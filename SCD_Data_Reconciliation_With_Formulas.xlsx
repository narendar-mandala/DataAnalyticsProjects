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_Data" sheetId="1" state="visible" r:id="rId3"/>
    <sheet name="SCD_Data" sheetId="2" state="visible" r:id="rId4"/>
    <sheet name="Reconciliation" sheetId="3" state="visible" r:id="rId5"/>
    <sheet name="Mismatch_Only" sheetId="4" state="visible" r:id="rId6"/>
    <sheet name="Summary_Dashboard" sheetId="5" state="visible" r:id="rId7"/>
    <sheet name="Instructions" sheetId="6" state="visible" r:id="rId8"/>
  </sheets>
  <definedNames>
    <definedName function="false" hidden="true" localSheetId="0" name="_xlnm._FilterDatabase" vbProcedure="false">Daily_Data!$A$2:$H$2</definedName>
    <definedName function="false" hidden="true" localSheetId="3" name="_xlnm._FilterDatabase" vbProcedure="false">Mismatch_Only!$A$2:$R$2</definedName>
    <definedName function="false" hidden="true" localSheetId="2" name="_xlnm._FilterDatabase" vbProcedure="false">Reconciliation!$A$3:$R$3</definedName>
    <definedName function="false" hidden="true" localSheetId="1" name="_xlnm._FilterDatabase" vbProcedure="false">SCD_Data!$A$2:$I$2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<sst xmlns="http://schemas.openxmlformats.org/spreadsheetml/2006/main" count="266" uniqueCount="142">
  <si>
    <t xml:space="preserve">📥  DAILY DATA  —  Paste your data below (row 3 onwards).  Do NOT change column order.</t>
  </si>
  <si>
    <t xml:space="preserve">effective_date</t>
  </si>
  <si>
    <t xml:space="preserve">employee_id</t>
  </si>
  <si>
    <t xml:space="preserve">department</t>
  </si>
  <si>
    <t xml:space="preserve">job_title</t>
  </si>
  <si>
    <t xml:space="preserve">salary</t>
  </si>
  <si>
    <t xml:space="preserve">location</t>
  </si>
  <si>
    <t xml:space="preserve">manager_id</t>
  </si>
  <si>
    <t xml:space="preserve">employee_name</t>
  </si>
  <si>
    <t xml:space="preserve">2024-01-01</t>
  </si>
  <si>
    <t xml:space="preserve">E001</t>
  </si>
  <si>
    <t xml:space="preserve">Engineering</t>
  </si>
  <si>
    <t xml:space="preserve">Engineer II</t>
  </si>
  <si>
    <t xml:space="preserve">Atlanta</t>
  </si>
  <si>
    <t xml:space="preserve">M001</t>
  </si>
  <si>
    <t xml:space="preserve">Alice Johnson</t>
  </si>
  <si>
    <t xml:space="preserve">2024-01-15</t>
  </si>
  <si>
    <t xml:space="preserve">2024-02-01</t>
  </si>
  <si>
    <t xml:space="preserve">Sr Engineer</t>
  </si>
  <si>
    <t xml:space="preserve">2024-03-15</t>
  </si>
  <si>
    <t xml:space="preserve">Product</t>
  </si>
  <si>
    <t xml:space="preserve">Remote</t>
  </si>
  <si>
    <t xml:space="preserve">M002</t>
  </si>
  <si>
    <t xml:space="preserve">2024-06-01</t>
  </si>
  <si>
    <t xml:space="preserve">E002</t>
  </si>
  <si>
    <t xml:space="preserve">Finance</t>
  </si>
  <si>
    <t xml:space="preserve">Analyst</t>
  </si>
  <si>
    <t xml:space="preserve">New York</t>
  </si>
  <si>
    <t xml:space="preserve">M003</t>
  </si>
  <si>
    <t xml:space="preserve">Bob Martinez</t>
  </si>
  <si>
    <t xml:space="preserve">2024-04-01</t>
  </si>
  <si>
    <t xml:space="preserve">Sr Analyst</t>
  </si>
  <si>
    <t xml:space="preserve">E003</t>
  </si>
  <si>
    <t xml:space="preserve">HR</t>
  </si>
  <si>
    <t xml:space="preserve">HR Manager</t>
  </si>
  <si>
    <t xml:space="preserve">Chicago</t>
  </si>
  <si>
    <t xml:space="preserve">M004</t>
  </si>
  <si>
    <t xml:space="preserve">Carol Lee</t>
  </si>
  <si>
    <t xml:space="preserve">HR Director</t>
  </si>
  <si>
    <t xml:space="preserve">2024-07-01</t>
  </si>
  <si>
    <t xml:space="preserve">📥  SCD DATA  —  Paste your SCD/compressed data below (row 3 onwards).  Do NOT change column order.</t>
  </si>
  <si>
    <t xml:space="preserve">effective_start_date</t>
  </si>
  <si>
    <t xml:space="preserve">effective_end_date</t>
  </si>
  <si>
    <t xml:space="preserve">2024-01-31</t>
  </si>
  <si>
    <t xml:space="preserve">2024-03-14</t>
  </si>
  <si>
    <t xml:space="preserve">9999-01-01</t>
  </si>
  <si>
    <t xml:space="preserve">2024-05-31</t>
  </si>
  <si>
    <t xml:space="preserve">2024-03-31</t>
  </si>
  <si>
    <t xml:space="preserve">🔍  SCD vs DAILY — RECONCILIATION   |   Green = Match   |   Red = Mismatch   |   Yellow = No SCD record found</t>
  </si>
  <si>
    <t xml:space="preserve">KEY</t>
  </si>
  <si>
    <t xml:space="preserve">◀ FROM DAILY_DATA</t>
  </si>
  <si>
    <t xml:space="preserve">◀ FROM SCD_DATA (date-range lookup)</t>
  </si>
  <si>
    <t xml:space="preserve">ATTRIBUTE MATCH FLAGS</t>
  </si>
  <si>
    <t xml:space="preserve">D_dept</t>
  </si>
  <si>
    <t xml:space="preserve">D_title</t>
  </si>
  <si>
    <t xml:space="preserve">D_salary</t>
  </si>
  <si>
    <t xml:space="preserve">D_location</t>
  </si>
  <si>
    <t xml:space="preserve">D_mgr</t>
  </si>
  <si>
    <t xml:space="preserve">S_dept</t>
  </si>
  <si>
    <t xml:space="preserve">S_title</t>
  </si>
  <si>
    <t xml:space="preserve">S_salary</t>
  </si>
  <si>
    <t xml:space="preserve">S_location</t>
  </si>
  <si>
    <t xml:space="preserve">S_mgr</t>
  </si>
  <si>
    <t xml:space="preserve">dept?</t>
  </si>
  <si>
    <t xml:space="preserve">title?</t>
  </si>
  <si>
    <t xml:space="preserve">salary?</t>
  </si>
  <si>
    <t xml:space="preserve">loc?</t>
  </si>
  <si>
    <t xml:space="preserve">mgr?</t>
  </si>
  <si>
    <t xml:space="preserve">OVERALL STATUS</t>
  </si>
  <si>
    <t xml:space="preserve">❌  MISMATCHES &amp; GAPS ONLY  —  Auto-filtered from Reconciliation tab  |  Refresh: Ctrl+Alt+F9</t>
  </si>
  <si>
    <t xml:space="preserve">📊  RECONCILIATION DASHBOARD  —  Auto-updates when data is pasted</t>
  </si>
  <si>
    <t xml:space="preserve">Total Daily Rows</t>
  </si>
  <si>
    <t xml:space="preserve">Total SCD Records</t>
  </si>
  <si>
    <t xml:space="preserve">✅ Matches</t>
  </si>
  <si>
    <t xml:space="preserve">❌ Mismatches</t>
  </si>
  <si>
    <t xml:space="preserve">⚠ No SCD Row</t>
  </si>
  <si>
    <t xml:space="preserve">Match Rate</t>
  </si>
  <si>
    <t xml:space="preserve">ATTRIBUTE-LEVEL MISMATCH COUNT  (how many daily rows have a mismatch per attribute)</t>
  </si>
  <si>
    <t xml:space="preserve">Attribute</t>
  </si>
  <si>
    <t xml:space="preserve">Daily Col</t>
  </si>
  <si>
    <t xml:space="preserve">SCD Col</t>
  </si>
  <si>
    <t xml:space="preserve">Mismatch Count</t>
  </si>
  <si>
    <t xml:space="preserve">% of Total Rows</t>
  </si>
  <si>
    <t xml:space="preserve">Department</t>
  </si>
  <si>
    <t xml:space="preserve">C (D_dept)</t>
  </si>
  <si>
    <t xml:space="preserve">H (S_dept)</t>
  </si>
  <si>
    <t xml:space="preserve">Job Title</t>
  </si>
  <si>
    <t xml:space="preserve">D (D_title)</t>
  </si>
  <si>
    <t xml:space="preserve">I (S_title)</t>
  </si>
  <si>
    <t xml:space="preserve">Salary</t>
  </si>
  <si>
    <t xml:space="preserve">E (D_salary)</t>
  </si>
  <si>
    <t xml:space="preserve">J (S_salary)</t>
  </si>
  <si>
    <t xml:space="preserve">Location</t>
  </si>
  <si>
    <t xml:space="preserve">F (D_location)</t>
  </si>
  <si>
    <t xml:space="preserve">K (S_location)</t>
  </si>
  <si>
    <t xml:space="preserve">Manager ID</t>
  </si>
  <si>
    <t xml:space="preserve">G (D_mgr)</t>
  </si>
  <si>
    <t xml:space="preserve">L (S_mgr)</t>
  </si>
  <si>
    <t xml:space="preserve">📘  HOW TO USE — SCD Reconciliation Tool</t>
  </si>
  <si>
    <t xml:space="preserve">STEP</t>
  </si>
  <si>
    <t xml:space="preserve">ACTION</t>
  </si>
  <si>
    <t xml:space="preserve">1 → Paste Daily Data</t>
  </si>
  <si>
    <t xml:space="preserve">Open Daily_Data sheet → clear rows 3+ → paste your daily records. Columns must stay in order: effective_date | employee_id | department | job_title | salary | location | manager_id | employee_name</t>
  </si>
  <si>
    <t xml:space="preserve">2 → Paste SCD Data</t>
  </si>
  <si>
    <t xml:space="preserve">Open SCD_Data sheet → clear rows 3+ → paste your SCD records. Columns: employee_id | employee_name | department | job_title | salary | location | manager_id | effective_start_date | effective_end_date</t>
  </si>
  <si>
    <t xml:space="preserve">3 → Force Recalculate</t>
  </si>
  <si>
    <t xml:space="preserve">Press Ctrl+Alt+F9 to recalculate all array formulas. (Or go to Formulas → Calculate Now)</t>
  </si>
  <si>
    <t xml:space="preserve">4 → Check Reconciliation</t>
  </si>
  <si>
    <t xml:space="preserve">Reconciliation tab shows every daily row with its matching SCD attributes side by side. Filter column R (OVERALL STATUS) to see mismatches only.</t>
  </si>
  <si>
    <t xml:space="preserve">5 → Check Mismatch_Only</t>
  </si>
  <si>
    <t xml:space="preserve">Mismatch_Only tab auto-shows only ❌ MISMATCH and ⚠ NO SCD ROW rows — no filtering needed.</t>
  </si>
  <si>
    <t xml:space="preserve">6 → Check Dashboard</t>
  </si>
  <si>
    <t xml:space="preserve">Summary_Dashboard gives totals: match count, mismatch count, gaps, and match rate. Attribute breakdown shows which field is dirtiest.</t>
  </si>
  <si>
    <t xml:space="preserve">COLUMN GUIDE — Reconciliation</t>
  </si>
  <si>
    <t xml:space="preserve">A–B</t>
  </si>
  <si>
    <t xml:space="preserve">Lookup keys: effective_date and employee_id (pulled from Daily_Data)</t>
  </si>
  <si>
    <t xml:space="preserve">C–G (orange)</t>
  </si>
  <si>
    <t xml:space="preserve">Daily_Data values: dept, title, salary, location, manager</t>
  </si>
  <si>
    <t xml:space="preserve">H–L (green)</t>
  </si>
  <si>
    <t xml:space="preserve">SCD values looked up via date range: same attributes from SCD_Data</t>
  </si>
  <si>
    <t xml:space="preserve">M–Q (yellow)</t>
  </si>
  <si>
    <t xml:space="preserve">Per-attribute match flags: ✓ = match, ✗ = mismatch, — = no SCD row found</t>
  </si>
  <si>
    <t xml:space="preserve">R</t>
  </si>
  <si>
    <t xml:space="preserve">Overall status: ✅ MATCH | ❌ MISMATCH | ⚠ NO SCD ROW</t>
  </si>
  <si>
    <t xml:space="preserve">LIMITS</t>
  </si>
  <si>
    <t xml:space="preserve">Max daily rows</t>
  </si>
  <si>
    <t xml:space="preserve">499 (rows 3–502 in Daily_Data sheet)</t>
  </si>
  <si>
    <t xml:space="preserve">Max SCD rows</t>
  </si>
  <si>
    <t xml:space="preserve">499 (rows 3–502 in SCD_Data sheet)</t>
  </si>
  <si>
    <t xml:space="preserve">Lookup method</t>
  </si>
  <si>
    <t xml:space="preserve">Array formula: INDEX/MATCH with 3-condition AND logic (employee_id + date &gt;= start + date &lt;= end)</t>
  </si>
  <si>
    <t xml:space="preserve">Extending capacity</t>
  </si>
  <si>
    <t xml:space="preserve">To support more rows: extend the SCD lookup ranges in formulas from $A$3:$A$502 to $A$3:$A$[N+3]</t>
  </si>
  <si>
    <t xml:space="preserve">TROUBLESHOOTING</t>
  </si>
  <si>
    <t xml:space="preserve">Dates show as numbers</t>
  </si>
  <si>
    <t xml:space="preserve">Format the effective_date columns as YYYY-MM-DD date format</t>
  </si>
  <si>
    <t xml:space="preserve">Lookup returns —</t>
  </si>
  <si>
    <t xml:space="preserve">Check SCD end date — 9999-01-01 must be entered exactly. Check employee_id is an exact text match.</t>
  </si>
  <si>
    <t xml:space="preserve">Formulas show as text</t>
  </si>
  <si>
    <t xml:space="preserve">Ensure cells are not formatted as Text. Select → Format Cells → General, then re-enter.</t>
  </si>
  <si>
    <t xml:space="preserve">Slow calculation</t>
  </si>
  <si>
    <t xml:space="preserve">Normal for array formulas on large data. Press Ctrl+Alt+F9 to force recalc once.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</si>
</sst>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General"/>
    <numFmt numFmtId="168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375623"/>
      <name val="Arial"/>
      <family val="0"/>
      <charset val="1"/>
    </font>
    <font>
      <b val="true"/>
      <sz val="22"/>
      <color rgb="FF9C0006"/>
      <name val="Arial"/>
      <family val="0"/>
      <charset val="1"/>
    </font>
    <font>
      <b val="true"/>
      <sz val="22"/>
      <color rgb="FF7D6608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9FCF6"/>
      </patternFill>
    </fill>
    <fill>
      <patternFill patternType="solid">
        <fgColor rgb="FFEEF2F9"/>
        <bgColor rgb="FFF9FCF6"/>
      </patternFill>
    </fill>
    <fill>
      <patternFill patternType="solid">
        <fgColor rgb="FFE2EFDA"/>
        <bgColor rgb="FFEEF2F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4CCCC"/>
        <bgColor rgb="FFFFC7CE"/>
      </patternFill>
    </fill>
    <fill>
      <patternFill patternType="solid">
        <fgColor rgb="FFC00000"/>
        <bgColor rgb="FF9C0006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4CCCC"/>
      </patternFill>
    </fill>
    <fill>
      <patternFill patternType="solid">
        <fgColor rgb="FFFFEB9C"/>
        <bgColor rgb="FFFFF2CC"/>
      </patternFill>
    </fill>
    <fill>
      <patternFill patternType="solid">
        <fgColor rgb="FFF9FC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7D6608"/>
        <sz val="10"/>
      </font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D6608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BFBFBF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EF2F9"/>
      <rgbColor rgb="FFC6EFCE"/>
      <rgbColor rgb="FFFFEB9C"/>
      <rgbColor rgb="FFFCE4D6"/>
      <rgbColor rgb="FFFFC7CE"/>
      <rgbColor rgb="FFF9FCF6"/>
      <rgbColor rgb="FFF4CCCC"/>
      <rgbColor rgb="FF4472C4"/>
      <rgbColor rgb="FF33CCCC"/>
      <rgbColor rgb="FF99CC00"/>
      <rgbColor rgb="FFFFC000"/>
      <rgbColor rgb="FFFF9900"/>
      <rgbColor rgb="FFED7D31"/>
      <rgbColor rgb="FF555555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1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15" hidden="false" customHeight="true" outlineLevel="0" collapsed="false">
      <c r="A3" s="4" t="s">
        <v>9</v>
      </c>
      <c r="B3" s="5" t="s">
        <v>10</v>
      </c>
      <c r="C3" s="5" t="s">
        <v>11</v>
      </c>
      <c r="D3" s="5" t="s">
        <v>12</v>
      </c>
      <c r="E3" s="6" t="n">
        <v>95000</v>
      </c>
      <c r="F3" s="5" t="s">
        <v>13</v>
      </c>
      <c r="G3" s="5" t="s">
        <v>14</v>
      </c>
      <c r="H3" s="5" t="s">
        <v>15</v>
      </c>
    </row>
    <row r="4" customFormat="false" ht="15" hidden="false" customHeight="true" outlineLevel="0" collapsed="false">
      <c r="A4" s="7" t="s">
        <v>16</v>
      </c>
      <c r="B4" s="8" t="s">
        <v>10</v>
      </c>
      <c r="C4" s="8" t="s">
        <v>11</v>
      </c>
      <c r="D4" s="8" t="s">
        <v>12</v>
      </c>
      <c r="E4" s="9" t="n">
        <v>95000</v>
      </c>
      <c r="F4" s="8" t="s">
        <v>13</v>
      </c>
      <c r="G4" s="8" t="s">
        <v>14</v>
      </c>
      <c r="H4" s="8" t="s">
        <v>15</v>
      </c>
    </row>
    <row r="5" customFormat="false" ht="15" hidden="false" customHeight="true" outlineLevel="0" collapsed="false">
      <c r="A5" s="4" t="s">
        <v>17</v>
      </c>
      <c r="B5" s="5" t="s">
        <v>10</v>
      </c>
      <c r="C5" s="5" t="s">
        <v>11</v>
      </c>
      <c r="D5" s="5" t="s">
        <v>18</v>
      </c>
      <c r="E5" s="6" t="n">
        <v>110000</v>
      </c>
      <c r="F5" s="5" t="s">
        <v>13</v>
      </c>
      <c r="G5" s="5" t="s">
        <v>14</v>
      </c>
      <c r="H5" s="5" t="s">
        <v>15</v>
      </c>
    </row>
    <row r="6" customFormat="false" ht="15" hidden="false" customHeight="true" outlineLevel="0" collapsed="false">
      <c r="A6" s="7" t="s">
        <v>19</v>
      </c>
      <c r="B6" s="8" t="s">
        <v>10</v>
      </c>
      <c r="C6" s="8" t="s">
        <v>20</v>
      </c>
      <c r="D6" s="8" t="s">
        <v>18</v>
      </c>
      <c r="E6" s="9" t="n">
        <v>110000</v>
      </c>
      <c r="F6" s="8" t="s">
        <v>21</v>
      </c>
      <c r="G6" s="8" t="s">
        <v>22</v>
      </c>
      <c r="H6" s="8" t="s">
        <v>15</v>
      </c>
    </row>
    <row r="7" customFormat="false" ht="15" hidden="false" customHeight="true" outlineLevel="0" collapsed="false">
      <c r="A7" s="4" t="s">
        <v>23</v>
      </c>
      <c r="B7" s="5" t="s">
        <v>10</v>
      </c>
      <c r="C7" s="5" t="s">
        <v>20</v>
      </c>
      <c r="D7" s="5" t="s">
        <v>18</v>
      </c>
      <c r="E7" s="6" t="n">
        <v>110000</v>
      </c>
      <c r="F7" s="5" t="s">
        <v>21</v>
      </c>
      <c r="G7" s="5" t="s">
        <v>22</v>
      </c>
      <c r="H7" s="5" t="s">
        <v>15</v>
      </c>
    </row>
    <row r="8" customFormat="false" ht="15" hidden="false" customHeight="true" outlineLevel="0" collapsed="false">
      <c r="A8" s="7" t="s">
        <v>9</v>
      </c>
      <c r="B8" s="8" t="s">
        <v>24</v>
      </c>
      <c r="C8" s="8" t="s">
        <v>25</v>
      </c>
      <c r="D8" s="8" t="s">
        <v>26</v>
      </c>
      <c r="E8" s="9" t="n">
        <v>72000</v>
      </c>
      <c r="F8" s="8" t="s">
        <v>27</v>
      </c>
      <c r="G8" s="8" t="s">
        <v>28</v>
      </c>
      <c r="H8" s="8" t="s">
        <v>29</v>
      </c>
    </row>
    <row r="9" customFormat="false" ht="15" hidden="false" customHeight="true" outlineLevel="0" collapsed="false">
      <c r="A9" s="4" t="s">
        <v>30</v>
      </c>
      <c r="B9" s="5" t="s">
        <v>24</v>
      </c>
      <c r="C9" s="5" t="s">
        <v>25</v>
      </c>
      <c r="D9" s="5" t="s">
        <v>26</v>
      </c>
      <c r="E9" s="6" t="n">
        <v>72000</v>
      </c>
      <c r="F9" s="5" t="s">
        <v>27</v>
      </c>
      <c r="G9" s="5" t="s">
        <v>28</v>
      </c>
      <c r="H9" s="5" t="s">
        <v>29</v>
      </c>
    </row>
    <row r="10" customFormat="false" ht="15" hidden="false" customHeight="true" outlineLevel="0" collapsed="false">
      <c r="A10" s="7" t="s">
        <v>23</v>
      </c>
      <c r="B10" s="8" t="s">
        <v>24</v>
      </c>
      <c r="C10" s="8" t="s">
        <v>25</v>
      </c>
      <c r="D10" s="8" t="s">
        <v>31</v>
      </c>
      <c r="E10" s="9" t="n">
        <v>85000</v>
      </c>
      <c r="F10" s="8" t="s">
        <v>27</v>
      </c>
      <c r="G10" s="8" t="s">
        <v>28</v>
      </c>
      <c r="H10" s="8" t="s">
        <v>29</v>
      </c>
    </row>
    <row r="11" customFormat="false" ht="15" hidden="false" customHeight="true" outlineLevel="0" collapsed="false">
      <c r="A11" s="4" t="s">
        <v>9</v>
      </c>
      <c r="B11" s="5" t="s">
        <v>32</v>
      </c>
      <c r="C11" s="5" t="s">
        <v>33</v>
      </c>
      <c r="D11" s="5" t="s">
        <v>34</v>
      </c>
      <c r="E11" s="6" t="n">
        <v>88000</v>
      </c>
      <c r="F11" s="5" t="s">
        <v>35</v>
      </c>
      <c r="G11" s="5" t="s">
        <v>36</v>
      </c>
      <c r="H11" s="5" t="s">
        <v>37</v>
      </c>
    </row>
    <row r="12" customFormat="false" ht="15" hidden="false" customHeight="true" outlineLevel="0" collapsed="false">
      <c r="A12" s="7" t="s">
        <v>30</v>
      </c>
      <c r="B12" s="8" t="s">
        <v>32</v>
      </c>
      <c r="C12" s="8" t="s">
        <v>33</v>
      </c>
      <c r="D12" s="8" t="s">
        <v>38</v>
      </c>
      <c r="E12" s="9" t="n">
        <v>105000</v>
      </c>
      <c r="F12" s="8" t="s">
        <v>35</v>
      </c>
      <c r="G12" s="8" t="s">
        <v>36</v>
      </c>
      <c r="H12" s="8" t="s">
        <v>37</v>
      </c>
    </row>
    <row r="13" customFormat="false" ht="15" hidden="false" customHeight="true" outlineLevel="0" collapsed="false">
      <c r="A13" s="4" t="s">
        <v>39</v>
      </c>
      <c r="B13" s="5" t="s">
        <v>32</v>
      </c>
      <c r="C13" s="5" t="s">
        <v>33</v>
      </c>
      <c r="D13" s="5" t="s">
        <v>38</v>
      </c>
      <c r="E13" s="6" t="n">
        <v>105000</v>
      </c>
      <c r="F13" s="5" t="s">
        <v>35</v>
      </c>
      <c r="G13" s="5" t="s">
        <v>36</v>
      </c>
      <c r="H13" s="5" t="s">
        <v>37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9" min="8" style="1" width="20"/>
  </cols>
  <sheetData>
    <row r="1" customFormat="false" ht="18" hidden="false" customHeight="true" outlineLevel="0" collapsed="false">
      <c r="A1" s="10" t="s">
        <v>40</v>
      </c>
      <c r="B1" s="10"/>
      <c r="C1" s="10"/>
      <c r="D1" s="10"/>
      <c r="E1" s="10"/>
      <c r="F1" s="10"/>
      <c r="G1" s="10"/>
      <c r="H1" s="10"/>
      <c r="I1" s="10"/>
    </row>
    <row r="2" customFormat="false" ht="27.75" hidden="false" customHeight="true" outlineLevel="0" collapsed="false">
      <c r="A2" s="3" t="s">
        <v>2</v>
      </c>
      <c r="B2" s="3" t="s">
        <v>8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41</v>
      </c>
      <c r="I2" s="3" t="s">
        <v>42</v>
      </c>
    </row>
    <row r="3" customFormat="false" ht="15" hidden="false" customHeight="true" outlineLevel="0" collapsed="false">
      <c r="A3" s="5" t="s">
        <v>10</v>
      </c>
      <c r="B3" s="5" t="s">
        <v>15</v>
      </c>
      <c r="C3" s="5" t="s">
        <v>11</v>
      </c>
      <c r="D3" s="5" t="s">
        <v>12</v>
      </c>
      <c r="E3" s="6" t="n">
        <v>95000</v>
      </c>
      <c r="F3" s="5" t="s">
        <v>13</v>
      </c>
      <c r="G3" s="5" t="s">
        <v>14</v>
      </c>
      <c r="H3" s="4" t="s">
        <v>9</v>
      </c>
      <c r="I3" s="4" t="s">
        <v>43</v>
      </c>
    </row>
    <row r="4" customFormat="false" ht="15" hidden="false" customHeight="true" outlineLevel="0" collapsed="false">
      <c r="A4" s="8" t="s">
        <v>10</v>
      </c>
      <c r="B4" s="8" t="s">
        <v>15</v>
      </c>
      <c r="C4" s="8" t="s">
        <v>11</v>
      </c>
      <c r="D4" s="8" t="s">
        <v>18</v>
      </c>
      <c r="E4" s="9" t="n">
        <v>110000</v>
      </c>
      <c r="F4" s="8" t="s">
        <v>13</v>
      </c>
      <c r="G4" s="8" t="s">
        <v>14</v>
      </c>
      <c r="H4" s="7" t="s">
        <v>17</v>
      </c>
      <c r="I4" s="7" t="s">
        <v>44</v>
      </c>
    </row>
    <row r="5" customFormat="false" ht="15" hidden="false" customHeight="true" outlineLevel="0" collapsed="false">
      <c r="A5" s="5" t="s">
        <v>10</v>
      </c>
      <c r="B5" s="5" t="s">
        <v>15</v>
      </c>
      <c r="C5" s="5" t="s">
        <v>20</v>
      </c>
      <c r="D5" s="5" t="s">
        <v>18</v>
      </c>
      <c r="E5" s="6" t="n">
        <v>110000</v>
      </c>
      <c r="F5" s="5" t="s">
        <v>21</v>
      </c>
      <c r="G5" s="5" t="s">
        <v>22</v>
      </c>
      <c r="H5" s="4" t="s">
        <v>19</v>
      </c>
      <c r="I5" s="4" t="s">
        <v>45</v>
      </c>
    </row>
    <row r="6" customFormat="false" ht="15" hidden="false" customHeight="true" outlineLevel="0" collapsed="false">
      <c r="A6" s="8" t="s">
        <v>24</v>
      </c>
      <c r="B6" s="8" t="s">
        <v>29</v>
      </c>
      <c r="C6" s="8" t="s">
        <v>25</v>
      </c>
      <c r="D6" s="8" t="s">
        <v>26</v>
      </c>
      <c r="E6" s="9" t="n">
        <v>72000</v>
      </c>
      <c r="F6" s="8" t="s">
        <v>27</v>
      </c>
      <c r="G6" s="8" t="s">
        <v>28</v>
      </c>
      <c r="H6" s="7" t="s">
        <v>9</v>
      </c>
      <c r="I6" s="7" t="s">
        <v>46</v>
      </c>
    </row>
    <row r="7" customFormat="false" ht="15" hidden="false" customHeight="true" outlineLevel="0" collapsed="false">
      <c r="A7" s="5" t="s">
        <v>24</v>
      </c>
      <c r="B7" s="5" t="s">
        <v>29</v>
      </c>
      <c r="C7" s="5" t="s">
        <v>25</v>
      </c>
      <c r="D7" s="5" t="s">
        <v>31</v>
      </c>
      <c r="E7" s="6" t="n">
        <v>85000</v>
      </c>
      <c r="F7" s="5" t="s">
        <v>27</v>
      </c>
      <c r="G7" s="5" t="s">
        <v>28</v>
      </c>
      <c r="H7" s="4" t="s">
        <v>23</v>
      </c>
      <c r="I7" s="4" t="s">
        <v>45</v>
      </c>
    </row>
    <row r="8" customFormat="false" ht="15" hidden="false" customHeight="true" outlineLevel="0" collapsed="false">
      <c r="A8" s="8" t="s">
        <v>32</v>
      </c>
      <c r="B8" s="8" t="s">
        <v>37</v>
      </c>
      <c r="C8" s="8" t="s">
        <v>33</v>
      </c>
      <c r="D8" s="8" t="s">
        <v>34</v>
      </c>
      <c r="E8" s="9" t="n">
        <v>88000</v>
      </c>
      <c r="F8" s="8" t="s">
        <v>35</v>
      </c>
      <c r="G8" s="8" t="s">
        <v>36</v>
      </c>
      <c r="H8" s="7" t="s">
        <v>9</v>
      </c>
      <c r="I8" s="7" t="s">
        <v>47</v>
      </c>
    </row>
    <row r="9" customFormat="false" ht="15" hidden="false" customHeight="true" outlineLevel="0" collapsed="false">
      <c r="A9" s="5" t="s">
        <v>32</v>
      </c>
      <c r="B9" s="5" t="s">
        <v>37</v>
      </c>
      <c r="C9" s="5" t="s">
        <v>33</v>
      </c>
      <c r="D9" s="5" t="s">
        <v>38</v>
      </c>
      <c r="E9" s="6" t="n">
        <v>99000</v>
      </c>
      <c r="F9" s="5" t="s">
        <v>35</v>
      </c>
      <c r="G9" s="5" t="s">
        <v>36</v>
      </c>
      <c r="H9" s="4" t="s">
        <v>30</v>
      </c>
      <c r="I9" s="4" t="s">
        <v>45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R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10"/>
    <col collapsed="false" customWidth="true" hidden="false" outlineLevel="0" max="12" min="11" style="1" width="12"/>
    <col collapsed="false" customWidth="true" hidden="false" outlineLevel="0" max="17" min="13" style="1" width="8"/>
    <col collapsed="false" customWidth="true" hidden="false" outlineLevel="0" max="18" min="18" style="1" width="18"/>
  </cols>
  <sheetData>
    <row r="1" customFormat="false" ht="24" hidden="false" customHeight="true" outlineLevel="0" collapsed="false">
      <c r="A1" s="11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customFormat="false" ht="18" hidden="false" customHeight="true" outlineLevel="0" collapsed="false">
      <c r="A2" s="12" t="s">
        <v>49</v>
      </c>
      <c r="B2" s="12"/>
      <c r="C2" s="13" t="s">
        <v>50</v>
      </c>
      <c r="D2" s="13"/>
      <c r="E2" s="13"/>
      <c r="F2" s="13"/>
      <c r="G2" s="13"/>
      <c r="H2" s="14" t="s">
        <v>51</v>
      </c>
      <c r="I2" s="14"/>
      <c r="J2" s="14"/>
      <c r="K2" s="14"/>
      <c r="L2" s="14"/>
      <c r="M2" s="15" t="s">
        <v>52</v>
      </c>
      <c r="N2" s="15"/>
      <c r="O2" s="15"/>
      <c r="P2" s="15"/>
      <c r="Q2" s="15"/>
      <c r="R2" s="16"/>
    </row>
    <row r="3" customFormat="false" ht="27.75" hidden="false" customHeight="true" outlineLevel="0" collapsed="false">
      <c r="A3" s="17" t="s">
        <v>1</v>
      </c>
      <c r="B3" s="17" t="s">
        <v>2</v>
      </c>
      <c r="C3" s="18" t="s">
        <v>53</v>
      </c>
      <c r="D3" s="18" t="s">
        <v>54</v>
      </c>
      <c r="E3" s="18" t="s">
        <v>55</v>
      </c>
      <c r="F3" s="18" t="s">
        <v>56</v>
      </c>
      <c r="G3" s="18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L3" s="19" t="s">
        <v>62</v>
      </c>
      <c r="M3" s="20" t="s">
        <v>63</v>
      </c>
      <c r="N3" s="20" t="s">
        <v>64</v>
      </c>
      <c r="O3" s="20" t="s">
        <v>65</v>
      </c>
      <c r="P3" s="20" t="s">
        <v>66</v>
      </c>
      <c r="Q3" s="20" t="s">
        <v>67</v>
      </c>
      <c r="R3" s="21" t="s">
        <v>68</v>
      </c>
    </row>
    <row r="4" customFormat="false" ht="15" hidden="false" customHeight="true" outlineLevel="0" collapsed="false">
      <c r="A4" s="22" t="str">
        <f aca="false">IF(Daily_Data!A3="","",Daily_Data!A3)</f>
        <v>2024-01-01</v>
      </c>
      <c r="B4" s="23" t="str">
        <f aca="false">IF(Daily_Data!B3="","",Daily_Data!B3)</f>
        <v>E001</v>
      </c>
      <c r="C4" s="23" t="str">
        <f aca="false">IF(A4="","",Daily_Data!C3)</f>
        <v>Engineering</v>
      </c>
      <c r="D4" s="23" t="str">
        <f aca="false">IF(A4="","",Daily_Data!D3)</f>
        <v>Engineer II</v>
      </c>
      <c r="E4" s="24" t="n">
        <f aca="false">IF(A4="","",Daily_Data!E3)</f>
        <v>95000</v>
      </c>
      <c r="F4" s="23" t="str">
        <f aca="false">IF(A4="","",Daily_Data!F3)</f>
        <v>Atlanta</v>
      </c>
      <c r="G4" s="23" t="str">
        <f aca="false">IF(A4="","",Daily_Data!G3)</f>
        <v>M001</v>
      </c>
      <c r="H4" s="25" t="str">
        <f aca="false">IF(A4="","",IFERROR(INDEX(SCD_Data!$C$3:$C$502,SUMPRODUCT((SCD_Data!$A$3:$A$502=B4)*(IFERROR(DATEVALUE(SCD_Data!$H$3:$H$502&amp;""),SCD_Data!$H$3:$H$502)&lt;=IFERROR(DATEVALUE(A4&amp;""),A4))*(IFERROR(DATEVALUE(SCD_Data!$I$3:$I$502&amp;""),SCD_Data!$I$3:$I$502)&gt;=IFERROR(DATEVALUE(A4&amp;""),A4))*(ROW(SCD_Data!$A$3:$A$502)-2))),"—"))</f>
        <v>Engineering</v>
      </c>
      <c r="I4" s="25" t="str">
        <f aca="false">IF(A4="","",IFERROR(INDEX(SCD_Data!$D$3:$D$502,SUMPRODUCT((SCD_Data!$A$3:$A$502=B4)*(IFERROR(DATEVALUE(SCD_Data!$H$3:$H$502&amp;""),SCD_Data!$H$3:$H$502)&lt;=IFERROR(DATEVALUE(A4&amp;""),A4))*(IFERROR(DATEVALUE(SCD_Data!$I$3:$I$502&amp;""),SCD_Data!$I$3:$I$502)&gt;=IFERROR(DATEVALUE(A4&amp;""),A4))*(ROW(SCD_Data!$A$3:$A$502)-2))),"—"))</f>
        <v>Engineer II</v>
      </c>
      <c r="J4" s="26" t="n">
        <f aca="false">IF(A4="","",IFERROR(INDEX(SCD_Data!$E$3:$E$502,SUMPRODUCT((SCD_Data!$A$3:$A$502=B4)*(IFERROR(DATEVALUE(SCD_Data!$H$3:$H$502&amp;""),SCD_Data!$H$3:$H$502)&lt;=IFERROR(DATEVALUE(A4&amp;""),A4))*(IFERROR(DATEVALUE(SCD_Data!$I$3:$I$502&amp;""),SCD_Data!$I$3:$I$502)&gt;=IFERROR(DATEVALUE(A4&amp;""),A4))*(ROW(SCD_Data!$A$3:$A$502)-2))),"—"))</f>
        <v>95000</v>
      </c>
      <c r="K4" s="25" t="str">
        <f aca="false">IF(A4="","",IFERROR(INDEX(SCD_Data!$F$3:$F$502,SUMPRODUCT((SCD_Data!$A$3:$A$502=B4)*(IFERROR(DATEVALUE(SCD_Data!$H$3:$H$502&amp;""),SCD_Data!$H$3:$H$502)&lt;=IFERROR(DATEVALUE(A4&amp;""),A4))*(IFERROR(DATEVALUE(SCD_Data!$I$3:$I$502&amp;""),SCD_Data!$I$3:$I$502)&gt;=IFERROR(DATEVALUE(A4&amp;""),A4))*(ROW(SCD_Data!$A$3:$A$502)-2))),"—"))</f>
        <v>Atlanta</v>
      </c>
      <c r="L4" s="25" t="str">
        <f aca="false">IF(A4="","",IFERROR(INDEX(SCD_Data!$G$3:$G$502,SUMPRODUCT((SCD_Data!$A$3:$A$502=B4)*(IFERROR(DATEVALUE(SCD_Data!$H$3:$H$502&amp;""),SCD_Data!$H$3:$H$502)&lt;=IFERROR(DATEVALUE(A4&amp;""),A4))*(IFERROR(DATEVALUE(SCD_Data!$I$3:$I$502&amp;""),SCD_Data!$I$3:$I$502)&gt;=IFERROR(DATEVALUE(A4&amp;""),A4))*(ROW(SCD_Data!$A$3:$A$502)-2))),"—"))</f>
        <v>M001</v>
      </c>
      <c r="M4" s="27" t="str">
        <f aca="false">IF(A4="","",IF(H4="—","—",IF(C4&amp;""=H4&amp;"","✓","✗")))</f>
        <v>✓</v>
      </c>
      <c r="N4" s="27" t="str">
        <f aca="false">IF(A4="","",IF(H4="—","—",IF(D4&amp;""=I4&amp;"","✓","✗")))</f>
        <v>✓</v>
      </c>
      <c r="O4" s="27" t="str">
        <f aca="false">IF(A4="","",IF(H4="—","—",IF(ABS(E4-J4)&lt;0.01,"✓","✗")))</f>
        <v>✓</v>
      </c>
      <c r="P4" s="27" t="str">
        <f aca="false">IF(A4="","",IF(H4="—","—",IF(F4&amp;""=K4&amp;"","✓","✗")))</f>
        <v>✓</v>
      </c>
      <c r="Q4" s="27" t="str">
        <f aca="false">IF(A4="","",IF(H4="—","—",IF(G4&amp;""=L4&amp;"","✓","✗")))</f>
        <v>✓</v>
      </c>
      <c r="R4" s="27" t="str">
        <f aca="false">IF(A4="","",IF(COUNTIF(M4:Q4,"—")=5,"⚠ NO SCD ROW",IF(COUNTIF(M4:Q4,"✗")&gt;0,"❌ MISMATCH","✅ MATCH")))</f>
        <v>✅ MATCH</v>
      </c>
    </row>
    <row r="5" customFormat="false" ht="15" hidden="false" customHeight="true" outlineLevel="0" collapsed="false">
      <c r="A5" s="22" t="str">
        <f aca="false">IF(Daily_Data!A4="","",Daily_Data!A4)</f>
        <v>2024-01-15</v>
      </c>
      <c r="B5" s="23" t="str">
        <f aca="false">IF(Daily_Data!B4="","",Daily_Data!B4)</f>
        <v>E001</v>
      </c>
      <c r="C5" s="23" t="str">
        <f aca="false">IF(A5="","",Daily_Data!C4)</f>
        <v>Engineering</v>
      </c>
      <c r="D5" s="23" t="str">
        <f aca="false">IF(A5="","",Daily_Data!D4)</f>
        <v>Engineer II</v>
      </c>
      <c r="E5" s="24" t="n">
        <f aca="false">IF(A5="","",Daily_Data!E4)</f>
        <v>95000</v>
      </c>
      <c r="F5" s="23" t="str">
        <f aca="false">IF(A5="","",Daily_Data!F4)</f>
        <v>Atlanta</v>
      </c>
      <c r="G5" s="23" t="str">
        <f aca="false">IF(A5="","",Daily_Data!G4)</f>
        <v>M001</v>
      </c>
      <c r="H5" s="25" t="str">
        <f aca="false">IF(A5="","",IFERROR(INDEX(SCD_Data!$C$3:$C$502,SUMPRODUCT((SCD_Data!$A$3:$A$502=B5)*(IFERROR(DATEVALUE(SCD_Data!$H$3:$H$502&amp;""),SCD_Data!$H$3:$H$502)&lt;=IFERROR(DATEVALUE(A5&amp;""),A5))*(IFERROR(DATEVALUE(SCD_Data!$I$3:$I$502&amp;""),SCD_Data!$I$3:$I$502)&gt;=IFERROR(DATEVALUE(A5&amp;""),A5))*(ROW(SCD_Data!$A$3:$A$502)-2))),"—"))</f>
        <v>Engineering</v>
      </c>
      <c r="I5" s="25" t="str">
        <f aca="false">IF(A5="","",IFERROR(INDEX(SCD_Data!$D$3:$D$502,SUMPRODUCT((SCD_Data!$A$3:$A$502=B5)*(IFERROR(DATEVALUE(SCD_Data!$H$3:$H$502&amp;""),SCD_Data!$H$3:$H$502)&lt;=IFERROR(DATEVALUE(A5&amp;""),A5))*(IFERROR(DATEVALUE(SCD_Data!$I$3:$I$502&amp;""),SCD_Data!$I$3:$I$502)&gt;=IFERROR(DATEVALUE(A5&amp;""),A5))*(ROW(SCD_Data!$A$3:$A$502)-2))),"—"))</f>
        <v>Engineer II</v>
      </c>
      <c r="J5" s="26" t="n">
        <f aca="false">IF(A5="","",IFERROR(INDEX(SCD_Data!$E$3:$E$502,SUMPRODUCT((SCD_Data!$A$3:$A$502=B5)*(IFERROR(DATEVALUE(SCD_Data!$H$3:$H$502&amp;""),SCD_Data!$H$3:$H$502)&lt;=IFERROR(DATEVALUE(A5&amp;""),A5))*(IFERROR(DATEVALUE(SCD_Data!$I$3:$I$502&amp;""),SCD_Data!$I$3:$I$502)&gt;=IFERROR(DATEVALUE(A5&amp;""),A5))*(ROW(SCD_Data!$A$3:$A$502)-2))),"—"))</f>
        <v>95000</v>
      </c>
      <c r="K5" s="25" t="str">
        <f aca="false">IF(A5="","",IFERROR(INDEX(SCD_Data!$F$3:$F$502,SUMPRODUCT((SCD_Data!$A$3:$A$502=B5)*(IFERROR(DATEVALUE(SCD_Data!$H$3:$H$502&amp;""),SCD_Data!$H$3:$H$502)&lt;=IFERROR(DATEVALUE(A5&amp;""),A5))*(IFERROR(DATEVALUE(SCD_Data!$I$3:$I$502&amp;""),SCD_Data!$I$3:$I$502)&gt;=IFERROR(DATEVALUE(A5&amp;""),A5))*(ROW(SCD_Data!$A$3:$A$502)-2))),"—"))</f>
        <v>Atlanta</v>
      </c>
      <c r="L5" s="25" t="str">
        <f aca="false">IF(A5="","",IFERROR(INDEX(SCD_Data!$G$3:$G$502,SUMPRODUCT((SCD_Data!$A$3:$A$502=B5)*(IFERROR(DATEVALUE(SCD_Data!$H$3:$H$502&amp;""),SCD_Data!$H$3:$H$502)&lt;=IFERROR(DATEVALUE(A5&amp;""),A5))*(IFERROR(DATEVALUE(SCD_Data!$I$3:$I$502&amp;""),SCD_Data!$I$3:$I$502)&gt;=IFERROR(DATEVALUE(A5&amp;""),A5))*(ROW(SCD_Data!$A$3:$A$502)-2))),"—"))</f>
        <v>M001</v>
      </c>
      <c r="M5" s="27" t="str">
        <f aca="false">IF(A5="","",IF(H5="—","—",IF(C5&amp;""=H5&amp;"","✓","✗")))</f>
        <v>✓</v>
      </c>
      <c r="N5" s="27" t="str">
        <f aca="false">IF(A5="","",IF(H5="—","—",IF(D5&amp;""=I5&amp;"","✓","✗")))</f>
        <v>✓</v>
      </c>
      <c r="O5" s="27" t="str">
        <f aca="false">IF(A5="","",IF(H5="—","—",IF(ABS(E5-J5)&lt;0.01,"✓","✗")))</f>
        <v>✓</v>
      </c>
      <c r="P5" s="27" t="str">
        <f aca="false">IF(A5="","",IF(H5="—","—",IF(F5&amp;""=K5&amp;"","✓","✗")))</f>
        <v>✓</v>
      </c>
      <c r="Q5" s="27" t="str">
        <f aca="false">IF(A5="","",IF(H5="—","—",IF(G5&amp;""=L5&amp;"","✓","✗")))</f>
        <v>✓</v>
      </c>
      <c r="R5" s="27" t="str">
        <f aca="false">IF(A5="","",IF(COUNTIF(M5:Q5,"—")=5,"⚠ NO SCD ROW",IF(COUNTIF(M5:Q5,"✗")&gt;0,"❌ MISMATCH","✅ MATCH")))</f>
        <v>✅ MATCH</v>
      </c>
    </row>
    <row r="6" customFormat="false" ht="15" hidden="false" customHeight="true" outlineLevel="0" collapsed="false">
      <c r="A6" s="22" t="str">
        <f aca="false">IF(Daily_Data!A5="","",Daily_Data!A5)</f>
        <v>2024-02-01</v>
      </c>
      <c r="B6" s="23" t="str">
        <f aca="false">IF(Daily_Data!B5="","",Daily_Data!B5)</f>
        <v>E001</v>
      </c>
      <c r="C6" s="23" t="str">
        <f aca="false">IF(A6="","",Daily_Data!C5)</f>
        <v>Engineering</v>
      </c>
      <c r="D6" s="23" t="str">
        <f aca="false">IF(A6="","",Daily_Data!D5)</f>
        <v>Sr Engineer</v>
      </c>
      <c r="E6" s="24" t="n">
        <f aca="false">IF(A6="","",Daily_Data!E5)</f>
        <v>110000</v>
      </c>
      <c r="F6" s="23" t="str">
        <f aca="false">IF(A6="","",Daily_Data!F5)</f>
        <v>Atlanta</v>
      </c>
      <c r="G6" s="23" t="str">
        <f aca="false">IF(A6="","",Daily_Data!G5)</f>
        <v>M001</v>
      </c>
      <c r="H6" s="25" t="str">
        <f aca="false">IF(A6="","",IFERROR(INDEX(SCD_Data!$C$3:$C$502,SUMPRODUCT((SCD_Data!$A$3:$A$502=B6)*(IFERROR(DATEVALUE(SCD_Data!$H$3:$H$502&amp;""),SCD_Data!$H$3:$H$502)&lt;=IFERROR(DATEVALUE(A6&amp;""),A6))*(IFERROR(DATEVALUE(SCD_Data!$I$3:$I$502&amp;""),SCD_Data!$I$3:$I$502)&gt;=IFERROR(DATEVALUE(A6&amp;""),A6))*(ROW(SCD_Data!$A$3:$A$502)-2))),"—"))</f>
        <v>Engineering</v>
      </c>
      <c r="I6" s="25" t="str">
        <f aca="false">IF(A6="","",IFERROR(INDEX(SCD_Data!$D$3:$D$502,SUMPRODUCT((SCD_Data!$A$3:$A$502=B6)*(IFERROR(DATEVALUE(SCD_Data!$H$3:$H$502&amp;""),SCD_Data!$H$3:$H$502)&lt;=IFERROR(DATEVALUE(A6&amp;""),A6))*(IFERROR(DATEVALUE(SCD_Data!$I$3:$I$502&amp;""),SCD_Data!$I$3:$I$502)&gt;=IFERROR(DATEVALUE(A6&amp;""),A6))*(ROW(SCD_Data!$A$3:$A$502)-2))),"—"))</f>
        <v>Sr Engineer</v>
      </c>
      <c r="J6" s="26" t="n">
        <f aca="false">IF(A6="","",IFERROR(INDEX(SCD_Data!$E$3:$E$502,SUMPRODUCT((SCD_Data!$A$3:$A$502=B6)*(IFERROR(DATEVALUE(SCD_Data!$H$3:$H$502&amp;""),SCD_Data!$H$3:$H$502)&lt;=IFERROR(DATEVALUE(A6&amp;""),A6))*(IFERROR(DATEVALUE(SCD_Data!$I$3:$I$502&amp;""),SCD_Data!$I$3:$I$502)&gt;=IFERROR(DATEVALUE(A6&amp;""),A6))*(ROW(SCD_Data!$A$3:$A$502)-2))),"—"))</f>
        <v>110000</v>
      </c>
      <c r="K6" s="25" t="str">
        <f aca="false">IF(A6="","",IFERROR(INDEX(SCD_Data!$F$3:$F$502,SUMPRODUCT((SCD_Data!$A$3:$A$502=B6)*(IFERROR(DATEVALUE(SCD_Data!$H$3:$H$502&amp;""),SCD_Data!$H$3:$H$502)&lt;=IFERROR(DATEVALUE(A6&amp;""),A6))*(IFERROR(DATEVALUE(SCD_Data!$I$3:$I$502&amp;""),SCD_Data!$I$3:$I$502)&gt;=IFERROR(DATEVALUE(A6&amp;""),A6))*(ROW(SCD_Data!$A$3:$A$502)-2))),"—"))</f>
        <v>Atlanta</v>
      </c>
      <c r="L6" s="25" t="str">
        <f aca="false">IF(A6="","",IFERROR(INDEX(SCD_Data!$G$3:$G$502,SUMPRODUCT((SCD_Data!$A$3:$A$502=B6)*(IFERROR(DATEVALUE(SCD_Data!$H$3:$H$502&amp;""),SCD_Data!$H$3:$H$502)&lt;=IFERROR(DATEVALUE(A6&amp;""),A6))*(IFERROR(DATEVALUE(SCD_Data!$I$3:$I$502&amp;""),SCD_Data!$I$3:$I$502)&gt;=IFERROR(DATEVALUE(A6&amp;""),A6))*(ROW(SCD_Data!$A$3:$A$502)-2))),"—"))</f>
        <v>M001</v>
      </c>
      <c r="M6" s="27" t="str">
        <f aca="false">IF(A6="","",IF(H6="—","—",IF(C6&amp;""=H6&amp;"","✓","✗")))</f>
        <v>✓</v>
      </c>
      <c r="N6" s="27" t="str">
        <f aca="false">IF(A6="","",IF(H6="—","—",IF(D6&amp;""=I6&amp;"","✓","✗")))</f>
        <v>✓</v>
      </c>
      <c r="O6" s="27" t="str">
        <f aca="false">IF(A6="","",IF(H6="—","—",IF(ABS(E6-J6)&lt;0.01,"✓","✗")))</f>
        <v>✓</v>
      </c>
      <c r="P6" s="27" t="str">
        <f aca="false">IF(A6="","",IF(H6="—","—",IF(F6&amp;""=K6&amp;"","✓","✗")))</f>
        <v>✓</v>
      </c>
      <c r="Q6" s="27" t="str">
        <f aca="false">IF(A6="","",IF(H6="—","—",IF(G6&amp;""=L6&amp;"","✓","✗")))</f>
        <v>✓</v>
      </c>
      <c r="R6" s="27" t="str">
        <f aca="false">IF(A6="","",IF(COUNTIF(M6:Q6,"—")=5,"⚠ NO SCD ROW",IF(COUNTIF(M6:Q6,"✗")&gt;0,"❌ MISMATCH","✅ MATCH")))</f>
        <v>✅ MATCH</v>
      </c>
    </row>
    <row r="7" customFormat="false" ht="15" hidden="false" customHeight="true" outlineLevel="0" collapsed="false">
      <c r="A7" s="22" t="str">
        <f aca="false">IF(Daily_Data!A6="","",Daily_Data!A6)</f>
        <v>2024-03-15</v>
      </c>
      <c r="B7" s="23" t="str">
        <f aca="false">IF(Daily_Data!B6="","",Daily_Data!B6)</f>
        <v>E001</v>
      </c>
      <c r="C7" s="23" t="str">
        <f aca="false">IF(A7="","",Daily_Data!C6)</f>
        <v>Product</v>
      </c>
      <c r="D7" s="23" t="str">
        <f aca="false">IF(A7="","",Daily_Data!D6)</f>
        <v>Sr Engineer</v>
      </c>
      <c r="E7" s="24" t="n">
        <f aca="false">IF(A7="","",Daily_Data!E6)</f>
        <v>110000</v>
      </c>
      <c r="F7" s="23" t="str">
        <f aca="false">IF(A7="","",Daily_Data!F6)</f>
        <v>Remote</v>
      </c>
      <c r="G7" s="23" t="str">
        <f aca="false">IF(A7="","",Daily_Data!G6)</f>
        <v>M002</v>
      </c>
      <c r="H7" s="25" t="str">
        <f aca="false">IF(A7="","",IFERROR(INDEX(SCD_Data!$C$3:$C$502,SUMPRODUCT((SCD_Data!$A$3:$A$502=B7)*(IFERROR(DATEVALUE(SCD_Data!$H$3:$H$502&amp;""),SCD_Data!$H$3:$H$502)&lt;=IFERROR(DATEVALUE(A7&amp;""),A7))*(IFERROR(DATEVALUE(SCD_Data!$I$3:$I$502&amp;""),SCD_Data!$I$3:$I$502)&gt;=IFERROR(DATEVALUE(A7&amp;""),A7))*(ROW(SCD_Data!$A$3:$A$502)-2))),"—"))</f>
        <v>Product</v>
      </c>
      <c r="I7" s="25" t="str">
        <f aca="false">IF(A7="","",IFERROR(INDEX(SCD_Data!$D$3:$D$502,SUMPRODUCT((SCD_Data!$A$3:$A$502=B7)*(IFERROR(DATEVALUE(SCD_Data!$H$3:$H$502&amp;""),SCD_Data!$H$3:$H$502)&lt;=IFERROR(DATEVALUE(A7&amp;""),A7))*(IFERROR(DATEVALUE(SCD_Data!$I$3:$I$502&amp;""),SCD_Data!$I$3:$I$502)&gt;=IFERROR(DATEVALUE(A7&amp;""),A7))*(ROW(SCD_Data!$A$3:$A$502)-2))),"—"))</f>
        <v>Sr Engineer</v>
      </c>
      <c r="J7" s="26" t="n">
        <f aca="false">IF(A7="","",IFERROR(INDEX(SCD_Data!$E$3:$E$502,SUMPRODUCT((SCD_Data!$A$3:$A$502=B7)*(IFERROR(DATEVALUE(SCD_Data!$H$3:$H$502&amp;""),SCD_Data!$H$3:$H$502)&lt;=IFERROR(DATEVALUE(A7&amp;""),A7))*(IFERROR(DATEVALUE(SCD_Data!$I$3:$I$502&amp;""),SCD_Data!$I$3:$I$502)&gt;=IFERROR(DATEVALUE(A7&amp;""),A7))*(ROW(SCD_Data!$A$3:$A$502)-2))),"—"))</f>
        <v>110000</v>
      </c>
      <c r="K7" s="25" t="str">
        <f aca="false">IF(A7="","",IFERROR(INDEX(SCD_Data!$F$3:$F$502,SUMPRODUCT((SCD_Data!$A$3:$A$502=B7)*(IFERROR(DATEVALUE(SCD_Data!$H$3:$H$502&amp;""),SCD_Data!$H$3:$H$502)&lt;=IFERROR(DATEVALUE(A7&amp;""),A7))*(IFERROR(DATEVALUE(SCD_Data!$I$3:$I$502&amp;""),SCD_Data!$I$3:$I$502)&gt;=IFERROR(DATEVALUE(A7&amp;""),A7))*(ROW(SCD_Data!$A$3:$A$502)-2))),"—"))</f>
        <v>Remote</v>
      </c>
      <c r="L7" s="25" t="str">
        <f aca="false">IF(A7="","",IFERROR(INDEX(SCD_Data!$G$3:$G$502,SUMPRODUCT((SCD_Data!$A$3:$A$502=B7)*(IFERROR(DATEVALUE(SCD_Data!$H$3:$H$502&amp;""),SCD_Data!$H$3:$H$502)&lt;=IFERROR(DATEVALUE(A7&amp;""),A7))*(IFERROR(DATEVALUE(SCD_Data!$I$3:$I$502&amp;""),SCD_Data!$I$3:$I$502)&gt;=IFERROR(DATEVALUE(A7&amp;""),A7))*(ROW(SCD_Data!$A$3:$A$502)-2))),"—"))</f>
        <v>M002</v>
      </c>
      <c r="M7" s="27" t="str">
        <f aca="false">IF(A7="","",IF(H7="—","—",IF(C7&amp;""=H7&amp;"","✓","✗")))</f>
        <v>✓</v>
      </c>
      <c r="N7" s="27" t="str">
        <f aca="false">IF(A7="","",IF(H7="—","—",IF(D7&amp;""=I7&amp;"","✓","✗")))</f>
        <v>✓</v>
      </c>
      <c r="O7" s="27" t="str">
        <f aca="false">IF(A7="","",IF(H7="—","—",IF(ABS(E7-J7)&lt;0.01,"✓","✗")))</f>
        <v>✓</v>
      </c>
      <c r="P7" s="27" t="str">
        <f aca="false">IF(A7="","",IF(H7="—","—",IF(F7&amp;""=K7&amp;"","✓","✗")))</f>
        <v>✓</v>
      </c>
      <c r="Q7" s="27" t="str">
        <f aca="false">IF(A7="","",IF(H7="—","—",IF(G7&amp;""=L7&amp;"","✓","✗")))</f>
        <v>✓</v>
      </c>
      <c r="R7" s="27" t="str">
        <f aca="false">IF(A7="","",IF(COUNTIF(M7:Q7,"—")=5,"⚠ NO SCD ROW",IF(COUNTIF(M7:Q7,"✗")&gt;0,"❌ MISMATCH","✅ MATCH")))</f>
        <v>✅ MATCH</v>
      </c>
    </row>
    <row r="8" customFormat="false" ht="15" hidden="false" customHeight="true" outlineLevel="0" collapsed="false">
      <c r="A8" s="22" t="str">
        <f aca="false">IF(Daily_Data!A7="","",Daily_Data!A7)</f>
        <v>2024-06-01</v>
      </c>
      <c r="B8" s="23" t="str">
        <f aca="false">IF(Daily_Data!B7="","",Daily_Data!B7)</f>
        <v>E001</v>
      </c>
      <c r="C8" s="23" t="str">
        <f aca="false">IF(A8="","",Daily_Data!C7)</f>
        <v>Product</v>
      </c>
      <c r="D8" s="23" t="str">
        <f aca="false">IF(A8="","",Daily_Data!D7)</f>
        <v>Sr Engineer</v>
      </c>
      <c r="E8" s="24" t="n">
        <f aca="false">IF(A8="","",Daily_Data!E7)</f>
        <v>110000</v>
      </c>
      <c r="F8" s="23" t="str">
        <f aca="false">IF(A8="","",Daily_Data!F7)</f>
        <v>Remote</v>
      </c>
      <c r="G8" s="23" t="str">
        <f aca="false">IF(A8="","",Daily_Data!G7)</f>
        <v>M002</v>
      </c>
      <c r="H8" s="25" t="str">
        <f aca="false">IF(A8="","",IFERROR(INDEX(SCD_Data!$C$3:$C$502,SUMPRODUCT((SCD_Data!$A$3:$A$502=B8)*(IFERROR(DATEVALUE(SCD_Data!$H$3:$H$502&amp;""),SCD_Data!$H$3:$H$502)&lt;=IFERROR(DATEVALUE(A8&amp;""),A8))*(IFERROR(DATEVALUE(SCD_Data!$I$3:$I$502&amp;""),SCD_Data!$I$3:$I$502)&gt;=IFERROR(DATEVALUE(A8&amp;""),A8))*(ROW(SCD_Data!$A$3:$A$502)-2))),"—"))</f>
        <v>Product</v>
      </c>
      <c r="I8" s="25" t="str">
        <f aca="false">IF(A8="","",IFERROR(INDEX(SCD_Data!$D$3:$D$502,SUMPRODUCT((SCD_Data!$A$3:$A$502=B8)*(IFERROR(DATEVALUE(SCD_Data!$H$3:$H$502&amp;""),SCD_Data!$H$3:$H$502)&lt;=IFERROR(DATEVALUE(A8&amp;""),A8))*(IFERROR(DATEVALUE(SCD_Data!$I$3:$I$502&amp;""),SCD_Data!$I$3:$I$502)&gt;=IFERROR(DATEVALUE(A8&amp;""),A8))*(ROW(SCD_Data!$A$3:$A$502)-2))),"—"))</f>
        <v>Sr Engineer</v>
      </c>
      <c r="J8" s="26" t="n">
        <f aca="false">IF(A8="","",IFERROR(INDEX(SCD_Data!$E$3:$E$502,SUMPRODUCT((SCD_Data!$A$3:$A$502=B8)*(IFERROR(DATEVALUE(SCD_Data!$H$3:$H$502&amp;""),SCD_Data!$H$3:$H$502)&lt;=IFERROR(DATEVALUE(A8&amp;""),A8))*(IFERROR(DATEVALUE(SCD_Data!$I$3:$I$502&amp;""),SCD_Data!$I$3:$I$502)&gt;=IFERROR(DATEVALUE(A8&amp;""),A8))*(ROW(SCD_Data!$A$3:$A$502)-2))),"—"))</f>
        <v>110000</v>
      </c>
      <c r="K8" s="25" t="str">
        <f aca="false">IF(A8="","",IFERROR(INDEX(SCD_Data!$F$3:$F$502,SUMPRODUCT((SCD_Data!$A$3:$A$502=B8)*(IFERROR(DATEVALUE(SCD_Data!$H$3:$H$502&amp;""),SCD_Data!$H$3:$H$502)&lt;=IFERROR(DATEVALUE(A8&amp;""),A8))*(IFERROR(DATEVALUE(SCD_Data!$I$3:$I$502&amp;""),SCD_Data!$I$3:$I$502)&gt;=IFERROR(DATEVALUE(A8&amp;""),A8))*(ROW(SCD_Data!$A$3:$A$502)-2))),"—"))</f>
        <v>Remote</v>
      </c>
      <c r="L8" s="25" t="str">
        <f aca="false">IF(A8="","",IFERROR(INDEX(SCD_Data!$G$3:$G$502,SUMPRODUCT((SCD_Data!$A$3:$A$502=B8)*(IFERROR(DATEVALUE(SCD_Data!$H$3:$H$502&amp;""),SCD_Data!$H$3:$H$502)&lt;=IFERROR(DATEVALUE(A8&amp;""),A8))*(IFERROR(DATEVALUE(SCD_Data!$I$3:$I$502&amp;""),SCD_Data!$I$3:$I$502)&gt;=IFERROR(DATEVALUE(A8&amp;""),A8))*(ROW(SCD_Data!$A$3:$A$502)-2))),"—"))</f>
        <v>M002</v>
      </c>
      <c r="M8" s="27" t="str">
        <f aca="false">IF(A8="","",IF(H8="—","—",IF(C8&amp;""=H8&amp;"","✓","✗")))</f>
        <v>✓</v>
      </c>
      <c r="N8" s="27" t="str">
        <f aca="false">IF(A8="","",IF(H8="—","—",IF(D8&amp;""=I8&amp;"","✓","✗")))</f>
        <v>✓</v>
      </c>
      <c r="O8" s="27" t="str">
        <f aca="false">IF(A8="","",IF(H8="—","—",IF(ABS(E8-J8)&lt;0.01,"✓","✗")))</f>
        <v>✓</v>
      </c>
      <c r="P8" s="27" t="str">
        <f aca="false">IF(A8="","",IF(H8="—","—",IF(F8&amp;""=K8&amp;"","✓","✗")))</f>
        <v>✓</v>
      </c>
      <c r="Q8" s="27" t="str">
        <f aca="false">IF(A8="","",IF(H8="—","—",IF(G8&amp;""=L8&amp;"","✓","✗")))</f>
        <v>✓</v>
      </c>
      <c r="R8" s="27" t="str">
        <f aca="false">IF(A8="","",IF(COUNTIF(M8:Q8,"—")=5,"⚠ NO SCD ROW",IF(COUNTIF(M8:Q8,"✗")&gt;0,"❌ MISMATCH","✅ MATCH")))</f>
        <v>✅ MATCH</v>
      </c>
    </row>
    <row r="9" customFormat="false" ht="15" hidden="false" customHeight="true" outlineLevel="0" collapsed="false">
      <c r="A9" s="22" t="str">
        <f aca="false">IF(Daily_Data!A8="","",Daily_Data!A8)</f>
        <v>2024-01-01</v>
      </c>
      <c r="B9" s="23" t="str">
        <f aca="false">IF(Daily_Data!B8="","",Daily_Data!B8)</f>
        <v>E002</v>
      </c>
      <c r="C9" s="23" t="str">
        <f aca="false">IF(A9="","",Daily_Data!C8)</f>
        <v>Finance</v>
      </c>
      <c r="D9" s="23" t="str">
        <f aca="false">IF(A9="","",Daily_Data!D8)</f>
        <v>Analyst</v>
      </c>
      <c r="E9" s="24" t="n">
        <f aca="false">IF(A9="","",Daily_Data!E8)</f>
        <v>72000</v>
      </c>
      <c r="F9" s="23" t="str">
        <f aca="false">IF(A9="","",Daily_Data!F8)</f>
        <v>New York</v>
      </c>
      <c r="G9" s="23" t="str">
        <f aca="false">IF(A9="","",Daily_Data!G8)</f>
        <v>M003</v>
      </c>
      <c r="H9" s="25" t="str">
        <f aca="false">IF(A9="","",IFERROR(INDEX(SCD_Data!$C$3:$C$502,SUMPRODUCT((SCD_Data!$A$3:$A$502=B9)*(IFERROR(DATEVALUE(SCD_Data!$H$3:$H$502&amp;""),SCD_Data!$H$3:$H$502)&lt;=IFERROR(DATEVALUE(A9&amp;""),A9))*(IFERROR(DATEVALUE(SCD_Data!$I$3:$I$502&amp;""),SCD_Data!$I$3:$I$502)&gt;=IFERROR(DATEVALUE(A9&amp;""),A9))*(ROW(SCD_Data!$A$3:$A$502)-2))),"—"))</f>
        <v>Finance</v>
      </c>
      <c r="I9" s="25" t="str">
        <f aca="false">IF(A9="","",IFERROR(INDEX(SCD_Data!$D$3:$D$502,SUMPRODUCT((SCD_Data!$A$3:$A$502=B9)*(IFERROR(DATEVALUE(SCD_Data!$H$3:$H$502&amp;""),SCD_Data!$H$3:$H$502)&lt;=IFERROR(DATEVALUE(A9&amp;""),A9))*(IFERROR(DATEVALUE(SCD_Data!$I$3:$I$502&amp;""),SCD_Data!$I$3:$I$502)&gt;=IFERROR(DATEVALUE(A9&amp;""),A9))*(ROW(SCD_Data!$A$3:$A$502)-2))),"—"))</f>
        <v>Analyst</v>
      </c>
      <c r="J9" s="26" t="n">
        <f aca="false">IF(A9="","",IFERROR(INDEX(SCD_Data!$E$3:$E$502,SUMPRODUCT((SCD_Data!$A$3:$A$502=B9)*(IFERROR(DATEVALUE(SCD_Data!$H$3:$H$502&amp;""),SCD_Data!$H$3:$H$502)&lt;=IFERROR(DATEVALUE(A9&amp;""),A9))*(IFERROR(DATEVALUE(SCD_Data!$I$3:$I$502&amp;""),SCD_Data!$I$3:$I$502)&gt;=IFERROR(DATEVALUE(A9&amp;""),A9))*(ROW(SCD_Data!$A$3:$A$502)-2))),"—"))</f>
        <v>72000</v>
      </c>
      <c r="K9" s="25" t="str">
        <f aca="false">IF(A9="","",IFERROR(INDEX(SCD_Data!$F$3:$F$502,SUMPRODUCT((SCD_Data!$A$3:$A$502=B9)*(IFERROR(DATEVALUE(SCD_Data!$H$3:$H$502&amp;""),SCD_Data!$H$3:$H$502)&lt;=IFERROR(DATEVALUE(A9&amp;""),A9))*(IFERROR(DATEVALUE(SCD_Data!$I$3:$I$502&amp;""),SCD_Data!$I$3:$I$502)&gt;=IFERROR(DATEVALUE(A9&amp;""),A9))*(ROW(SCD_Data!$A$3:$A$502)-2))),"—"))</f>
        <v>New York</v>
      </c>
      <c r="L9" s="25" t="str">
        <f aca="false">IF(A9="","",IFERROR(INDEX(SCD_Data!$G$3:$G$502,SUMPRODUCT((SCD_Data!$A$3:$A$502=B9)*(IFERROR(DATEVALUE(SCD_Data!$H$3:$H$502&amp;""),SCD_Data!$H$3:$H$502)&lt;=IFERROR(DATEVALUE(A9&amp;""),A9))*(IFERROR(DATEVALUE(SCD_Data!$I$3:$I$502&amp;""),SCD_Data!$I$3:$I$502)&gt;=IFERROR(DATEVALUE(A9&amp;""),A9))*(ROW(SCD_Data!$A$3:$A$502)-2))),"—"))</f>
        <v>M003</v>
      </c>
      <c r="M9" s="27" t="str">
        <f aca="false">IF(A9="","",IF(H9="—","—",IF(C9&amp;""=H9&amp;"","✓","✗")))</f>
        <v>✓</v>
      </c>
      <c r="N9" s="27" t="str">
        <f aca="false">IF(A9="","",IF(H9="—","—",IF(D9&amp;""=I9&amp;"","✓","✗")))</f>
        <v>✓</v>
      </c>
      <c r="O9" s="27" t="str">
        <f aca="false">IF(A9="","",IF(H9="—","—",IF(ABS(E9-J9)&lt;0.01,"✓","✗")))</f>
        <v>✓</v>
      </c>
      <c r="P9" s="27" t="str">
        <f aca="false">IF(A9="","",IF(H9="—","—",IF(F9&amp;""=K9&amp;"","✓","✗")))</f>
        <v>✓</v>
      </c>
      <c r="Q9" s="27" t="str">
        <f aca="false">IF(A9="","",IF(H9="—","—",IF(G9&amp;""=L9&amp;"","✓","✗")))</f>
        <v>✓</v>
      </c>
      <c r="R9" s="27" t="str">
        <f aca="false">IF(A9="","",IF(COUNTIF(M9:Q9,"—")=5,"⚠ NO SCD ROW",IF(COUNTIF(M9:Q9,"✗")&gt;0,"❌ MISMATCH","✅ MATCH")))</f>
        <v>✅ MATCH</v>
      </c>
    </row>
    <row r="10" customFormat="false" ht="15" hidden="false" customHeight="true" outlineLevel="0" collapsed="false">
      <c r="A10" s="22" t="str">
        <f aca="false">IF(Daily_Data!A9="","",Daily_Data!A9)</f>
        <v>2024-04-01</v>
      </c>
      <c r="B10" s="23" t="str">
        <f aca="false">IF(Daily_Data!B9="","",Daily_Data!B9)</f>
        <v>E002</v>
      </c>
      <c r="C10" s="23" t="str">
        <f aca="false">IF(A10="","",Daily_Data!C9)</f>
        <v>Finance</v>
      </c>
      <c r="D10" s="23" t="str">
        <f aca="false">IF(A10="","",Daily_Data!D9)</f>
        <v>Analyst</v>
      </c>
      <c r="E10" s="24" t="n">
        <f aca="false">IF(A10="","",Daily_Data!E9)</f>
        <v>72000</v>
      </c>
      <c r="F10" s="23" t="str">
        <f aca="false">IF(A10="","",Daily_Data!F9)</f>
        <v>New York</v>
      </c>
      <c r="G10" s="23" t="str">
        <f aca="false">IF(A10="","",Daily_Data!G9)</f>
        <v>M003</v>
      </c>
      <c r="H10" s="25" t="str">
        <f aca="false">IF(A10="","",IFERROR(INDEX(SCD_Data!$C$3:$C$502,SUMPRODUCT((SCD_Data!$A$3:$A$502=B10)*(IFERROR(DATEVALUE(SCD_Data!$H$3:$H$502&amp;""),SCD_Data!$H$3:$H$502)&lt;=IFERROR(DATEVALUE(A10&amp;""),A10))*(IFERROR(DATEVALUE(SCD_Data!$I$3:$I$502&amp;""),SCD_Data!$I$3:$I$502)&gt;=IFERROR(DATEVALUE(A10&amp;""),A10))*(ROW(SCD_Data!$A$3:$A$502)-2))),"—"))</f>
        <v>Finance</v>
      </c>
      <c r="I10" s="25" t="str">
        <f aca="false">IF(A10="","",IFERROR(INDEX(SCD_Data!$D$3:$D$502,SUMPRODUCT((SCD_Data!$A$3:$A$502=B10)*(IFERROR(DATEVALUE(SCD_Data!$H$3:$H$502&amp;""),SCD_Data!$H$3:$H$502)&lt;=IFERROR(DATEVALUE(A10&amp;""),A10))*(IFERROR(DATEVALUE(SCD_Data!$I$3:$I$502&amp;""),SCD_Data!$I$3:$I$502)&gt;=IFERROR(DATEVALUE(A10&amp;""),A10))*(ROW(SCD_Data!$A$3:$A$502)-2))),"—"))</f>
        <v>Analyst</v>
      </c>
      <c r="J10" s="26" t="n">
        <f aca="false">IF(A10="","",IFERROR(INDEX(SCD_Data!$E$3:$E$502,SUMPRODUCT((SCD_Data!$A$3:$A$502=B10)*(IFERROR(DATEVALUE(SCD_Data!$H$3:$H$502&amp;""),SCD_Data!$H$3:$H$502)&lt;=IFERROR(DATEVALUE(A10&amp;""),A10))*(IFERROR(DATEVALUE(SCD_Data!$I$3:$I$502&amp;""),SCD_Data!$I$3:$I$502)&gt;=IFERROR(DATEVALUE(A10&amp;""),A10))*(ROW(SCD_Data!$A$3:$A$502)-2))),"—"))</f>
        <v>72000</v>
      </c>
      <c r="K10" s="25" t="str">
        <f aca="false">IF(A10="","",IFERROR(INDEX(SCD_Data!$F$3:$F$502,SUMPRODUCT((SCD_Data!$A$3:$A$502=B10)*(IFERROR(DATEVALUE(SCD_Data!$H$3:$H$502&amp;""),SCD_Data!$H$3:$H$502)&lt;=IFERROR(DATEVALUE(A10&amp;""),A10))*(IFERROR(DATEVALUE(SCD_Data!$I$3:$I$502&amp;""),SCD_Data!$I$3:$I$502)&gt;=IFERROR(DATEVALUE(A10&amp;""),A10))*(ROW(SCD_Data!$A$3:$A$502)-2))),"—"))</f>
        <v>New York</v>
      </c>
      <c r="L10" s="25" t="str">
        <f aca="false">IF(A10="","",IFERROR(INDEX(SCD_Data!$G$3:$G$502,SUMPRODUCT((SCD_Data!$A$3:$A$502=B10)*(IFERROR(DATEVALUE(SCD_Data!$H$3:$H$502&amp;""),SCD_Data!$H$3:$H$502)&lt;=IFERROR(DATEVALUE(A10&amp;""),A10))*(IFERROR(DATEVALUE(SCD_Data!$I$3:$I$502&amp;""),SCD_Data!$I$3:$I$502)&gt;=IFERROR(DATEVALUE(A10&amp;""),A10))*(ROW(SCD_Data!$A$3:$A$502)-2))),"—"))</f>
        <v>M003</v>
      </c>
      <c r="M10" s="27" t="str">
        <f aca="false">IF(A10="","",IF(H10="—","—",IF(C10&amp;""=H10&amp;"","✓","✗")))</f>
        <v>✓</v>
      </c>
      <c r="N10" s="27" t="str">
        <f aca="false">IF(A10="","",IF(H10="—","—",IF(D10&amp;""=I10&amp;"","✓","✗")))</f>
        <v>✓</v>
      </c>
      <c r="O10" s="27" t="str">
        <f aca="false">IF(A10="","",IF(H10="—","—",IF(ABS(E10-J10)&lt;0.01,"✓","✗")))</f>
        <v>✓</v>
      </c>
      <c r="P10" s="27" t="str">
        <f aca="false">IF(A10="","",IF(H10="—","—",IF(F10&amp;""=K10&amp;"","✓","✗")))</f>
        <v>✓</v>
      </c>
      <c r="Q10" s="27" t="str">
        <f aca="false">IF(A10="","",IF(H10="—","—",IF(G10&amp;""=L10&amp;"","✓","✗")))</f>
        <v>✓</v>
      </c>
      <c r="R10" s="27" t="str">
        <f aca="false">IF(A10="","",IF(COUNTIF(M10:Q10,"—")=5,"⚠ NO SCD ROW",IF(COUNTIF(M10:Q10,"✗")&gt;0,"❌ MISMATCH","✅ MATCH")))</f>
        <v>✅ MATCH</v>
      </c>
    </row>
    <row r="11" customFormat="false" ht="15" hidden="false" customHeight="true" outlineLevel="0" collapsed="false">
      <c r="A11" s="22" t="str">
        <f aca="false">IF(Daily_Data!A10="","",Daily_Data!A10)</f>
        <v>2024-06-01</v>
      </c>
      <c r="B11" s="23" t="str">
        <f aca="false">IF(Daily_Data!B10="","",Daily_Data!B10)</f>
        <v>E002</v>
      </c>
      <c r="C11" s="23" t="str">
        <f aca="false">IF(A11="","",Daily_Data!C10)</f>
        <v>Finance</v>
      </c>
      <c r="D11" s="23" t="str">
        <f aca="false">IF(A11="","",Daily_Data!D10)</f>
        <v>Sr Analyst</v>
      </c>
      <c r="E11" s="24" t="n">
        <f aca="false">IF(A11="","",Daily_Data!E10)</f>
        <v>85000</v>
      </c>
      <c r="F11" s="23" t="str">
        <f aca="false">IF(A11="","",Daily_Data!F10)</f>
        <v>New York</v>
      </c>
      <c r="G11" s="23" t="str">
        <f aca="false">IF(A11="","",Daily_Data!G10)</f>
        <v>M003</v>
      </c>
      <c r="H11" s="25" t="str">
        <f aca="false">IF(A11="","",IFERROR(INDEX(SCD_Data!$C$3:$C$502,SUMPRODUCT((SCD_Data!$A$3:$A$502=B11)*(IFERROR(DATEVALUE(SCD_Data!$H$3:$H$502&amp;""),SCD_Data!$H$3:$H$502)&lt;=IFERROR(DATEVALUE(A11&amp;""),A11))*(IFERROR(DATEVALUE(SCD_Data!$I$3:$I$502&amp;""),SCD_Data!$I$3:$I$502)&gt;=IFERROR(DATEVALUE(A11&amp;""),A11))*(ROW(SCD_Data!$A$3:$A$502)-2))),"—"))</f>
        <v>Finance</v>
      </c>
      <c r="I11" s="25" t="str">
        <f aca="false">IF(A11="","",IFERROR(INDEX(SCD_Data!$D$3:$D$502,SUMPRODUCT((SCD_Data!$A$3:$A$502=B11)*(IFERROR(DATEVALUE(SCD_Data!$H$3:$H$502&amp;""),SCD_Data!$H$3:$H$502)&lt;=IFERROR(DATEVALUE(A11&amp;""),A11))*(IFERROR(DATEVALUE(SCD_Data!$I$3:$I$502&amp;""),SCD_Data!$I$3:$I$502)&gt;=IFERROR(DATEVALUE(A11&amp;""),A11))*(ROW(SCD_Data!$A$3:$A$502)-2))),"—"))</f>
        <v>Sr Analyst</v>
      </c>
      <c r="J11" s="26" t="n">
        <f aca="false">IF(A11="","",IFERROR(INDEX(SCD_Data!$E$3:$E$502,SUMPRODUCT((SCD_Data!$A$3:$A$502=B11)*(IFERROR(DATEVALUE(SCD_Data!$H$3:$H$502&amp;""),SCD_Data!$H$3:$H$502)&lt;=IFERROR(DATEVALUE(A11&amp;""),A11))*(IFERROR(DATEVALUE(SCD_Data!$I$3:$I$502&amp;""),SCD_Data!$I$3:$I$502)&gt;=IFERROR(DATEVALUE(A11&amp;""),A11))*(ROW(SCD_Data!$A$3:$A$502)-2))),"—"))</f>
        <v>85000</v>
      </c>
      <c r="K11" s="25" t="str">
        <f aca="false">IF(A11="","",IFERROR(INDEX(SCD_Data!$F$3:$F$502,SUMPRODUCT((SCD_Data!$A$3:$A$502=B11)*(IFERROR(DATEVALUE(SCD_Data!$H$3:$H$502&amp;""),SCD_Data!$H$3:$H$502)&lt;=IFERROR(DATEVALUE(A11&amp;""),A11))*(IFERROR(DATEVALUE(SCD_Data!$I$3:$I$502&amp;""),SCD_Data!$I$3:$I$502)&gt;=IFERROR(DATEVALUE(A11&amp;""),A11))*(ROW(SCD_Data!$A$3:$A$502)-2))),"—"))</f>
        <v>New York</v>
      </c>
      <c r="L11" s="25" t="str">
        <f aca="false">IF(A11="","",IFERROR(INDEX(SCD_Data!$G$3:$G$502,SUMPRODUCT((SCD_Data!$A$3:$A$502=B11)*(IFERROR(DATEVALUE(SCD_Data!$H$3:$H$502&amp;""),SCD_Data!$H$3:$H$502)&lt;=IFERROR(DATEVALUE(A11&amp;""),A11))*(IFERROR(DATEVALUE(SCD_Data!$I$3:$I$502&amp;""),SCD_Data!$I$3:$I$502)&gt;=IFERROR(DATEVALUE(A11&amp;""),A11))*(ROW(SCD_Data!$A$3:$A$502)-2))),"—"))</f>
        <v>M003</v>
      </c>
      <c r="M11" s="27" t="str">
        <f aca="false">IF(A11="","",IF(H11="—","—",IF(C11&amp;""=H11&amp;"","✓","✗")))</f>
        <v>✓</v>
      </c>
      <c r="N11" s="27" t="str">
        <f aca="false">IF(A11="","",IF(H11="—","—",IF(D11&amp;""=I11&amp;"","✓","✗")))</f>
        <v>✓</v>
      </c>
      <c r="O11" s="27" t="str">
        <f aca="false">IF(A11="","",IF(H11="—","—",IF(ABS(E11-J11)&lt;0.01,"✓","✗")))</f>
        <v>✓</v>
      </c>
      <c r="P11" s="27" t="str">
        <f aca="false">IF(A11="","",IF(H11="—","—",IF(F11&amp;""=K11&amp;"","✓","✗")))</f>
        <v>✓</v>
      </c>
      <c r="Q11" s="27" t="str">
        <f aca="false">IF(A11="","",IF(H11="—","—",IF(G11&amp;""=L11&amp;"","✓","✗")))</f>
        <v>✓</v>
      </c>
      <c r="R11" s="27" t="str">
        <f aca="false">IF(A11="","",IF(COUNTIF(M11:Q11,"—")=5,"⚠ NO SCD ROW",IF(COUNTIF(M11:Q11,"✗")&gt;0,"❌ MISMATCH","✅ MATCH")))</f>
        <v>✅ MATCH</v>
      </c>
    </row>
    <row r="12" customFormat="false" ht="15" hidden="false" customHeight="true" outlineLevel="0" collapsed="false">
      <c r="A12" s="22" t="str">
        <f aca="false">IF(Daily_Data!A11="","",Daily_Data!A11)</f>
        <v>2024-01-01</v>
      </c>
      <c r="B12" s="23" t="str">
        <f aca="false">IF(Daily_Data!B11="","",Daily_Data!B11)</f>
        <v>E003</v>
      </c>
      <c r="C12" s="23" t="str">
        <f aca="false">IF(A12="","",Daily_Data!C11)</f>
        <v>HR</v>
      </c>
      <c r="D12" s="23" t="str">
        <f aca="false">IF(A12="","",Daily_Data!D11)</f>
        <v>HR Manager</v>
      </c>
      <c r="E12" s="24" t="n">
        <f aca="false">IF(A12="","",Daily_Data!E11)</f>
        <v>88000</v>
      </c>
      <c r="F12" s="23" t="str">
        <f aca="false">IF(A12="","",Daily_Data!F11)</f>
        <v>Chicago</v>
      </c>
      <c r="G12" s="23" t="str">
        <f aca="false">IF(A12="","",Daily_Data!G11)</f>
        <v>M004</v>
      </c>
      <c r="H12" s="25" t="str">
        <f aca="false">IF(A12="","",IFERROR(INDEX(SCD_Data!$C$3:$C$502,SUMPRODUCT((SCD_Data!$A$3:$A$502=B12)*(IFERROR(DATEVALUE(SCD_Data!$H$3:$H$502&amp;""),SCD_Data!$H$3:$H$502)&lt;=IFERROR(DATEVALUE(A12&amp;""),A12))*(IFERROR(DATEVALUE(SCD_Data!$I$3:$I$502&amp;""),SCD_Data!$I$3:$I$502)&gt;=IFERROR(DATEVALUE(A12&amp;""),A12))*(ROW(SCD_Data!$A$3:$A$502)-2))),"—"))</f>
        <v>HR</v>
      </c>
      <c r="I12" s="25" t="str">
        <f aca="false">IF(A12="","",IFERROR(INDEX(SCD_Data!$D$3:$D$502,SUMPRODUCT((SCD_Data!$A$3:$A$502=B12)*(IFERROR(DATEVALUE(SCD_Data!$H$3:$H$502&amp;""),SCD_Data!$H$3:$H$502)&lt;=IFERROR(DATEVALUE(A12&amp;""),A12))*(IFERROR(DATEVALUE(SCD_Data!$I$3:$I$502&amp;""),SCD_Data!$I$3:$I$502)&gt;=IFERROR(DATEVALUE(A12&amp;""),A12))*(ROW(SCD_Data!$A$3:$A$502)-2))),"—"))</f>
        <v>HR Manager</v>
      </c>
      <c r="J12" s="26" t="n">
        <f aca="false">IF(A12="","",IFERROR(INDEX(SCD_Data!$E$3:$E$502,SUMPRODUCT((SCD_Data!$A$3:$A$502=B12)*(IFERROR(DATEVALUE(SCD_Data!$H$3:$H$502&amp;""),SCD_Data!$H$3:$H$502)&lt;=IFERROR(DATEVALUE(A12&amp;""),A12))*(IFERROR(DATEVALUE(SCD_Data!$I$3:$I$502&amp;""),SCD_Data!$I$3:$I$502)&gt;=IFERROR(DATEVALUE(A12&amp;""),A12))*(ROW(SCD_Data!$A$3:$A$502)-2))),"—"))</f>
        <v>88000</v>
      </c>
      <c r="K12" s="25" t="str">
        <f aca="false">IF(A12="","",IFERROR(INDEX(SCD_Data!$F$3:$F$502,SUMPRODUCT((SCD_Data!$A$3:$A$502=B12)*(IFERROR(DATEVALUE(SCD_Data!$H$3:$H$502&amp;""),SCD_Data!$H$3:$H$502)&lt;=IFERROR(DATEVALUE(A12&amp;""),A12))*(IFERROR(DATEVALUE(SCD_Data!$I$3:$I$502&amp;""),SCD_Data!$I$3:$I$502)&gt;=IFERROR(DATEVALUE(A12&amp;""),A12))*(ROW(SCD_Data!$A$3:$A$502)-2))),"—"))</f>
        <v>Chicago</v>
      </c>
      <c r="L12" s="25" t="str">
        <f aca="false">IF(A12="","",IFERROR(INDEX(SCD_Data!$G$3:$G$502,SUMPRODUCT((SCD_Data!$A$3:$A$502=B12)*(IFERROR(DATEVALUE(SCD_Data!$H$3:$H$502&amp;""),SCD_Data!$H$3:$H$502)&lt;=IFERROR(DATEVALUE(A12&amp;""),A12))*(IFERROR(DATEVALUE(SCD_Data!$I$3:$I$502&amp;""),SCD_Data!$I$3:$I$502)&gt;=IFERROR(DATEVALUE(A12&amp;""),A12))*(ROW(SCD_Data!$A$3:$A$502)-2))),"—"))</f>
        <v>M004</v>
      </c>
      <c r="M12" s="27" t="str">
        <f aca="false">IF(A12="","",IF(H12="—","—",IF(C12&amp;""=H12&amp;"","✓","✗")))</f>
        <v>✓</v>
      </c>
      <c r="N12" s="27" t="str">
        <f aca="false">IF(A12="","",IF(H12="—","—",IF(D12&amp;""=I12&amp;"","✓","✗")))</f>
        <v>✓</v>
      </c>
      <c r="O12" s="27" t="str">
        <f aca="false">IF(A12="","",IF(H12="—","—",IF(ABS(E12-J12)&lt;0.01,"✓","✗")))</f>
        <v>✓</v>
      </c>
      <c r="P12" s="27" t="str">
        <f aca="false">IF(A12="","",IF(H12="—","—",IF(F12&amp;""=K12&amp;"","✓","✗")))</f>
        <v>✓</v>
      </c>
      <c r="Q12" s="27" t="str">
        <f aca="false">IF(A12="","",IF(H12="—","—",IF(G12&amp;""=L12&amp;"","✓","✗")))</f>
        <v>✓</v>
      </c>
      <c r="R12" s="27" t="str">
        <f aca="false">IF(A12="","",IF(COUNTIF(M12:Q12,"—")=5,"⚠ NO SCD ROW",IF(COUNTIF(M12:Q12,"✗")&gt;0,"❌ MISMATCH","✅ MATCH")))</f>
        <v>✅ MATCH</v>
      </c>
    </row>
    <row r="13" customFormat="false" ht="15" hidden="false" customHeight="true" outlineLevel="0" collapsed="false">
      <c r="A13" s="22" t="str">
        <f aca="false">IF(Daily_Data!A12="","",Daily_Data!A12)</f>
        <v>2024-04-01</v>
      </c>
      <c r="B13" s="23" t="str">
        <f aca="false">IF(Daily_Data!B12="","",Daily_Data!B12)</f>
        <v>E003</v>
      </c>
      <c r="C13" s="23" t="str">
        <f aca="false">IF(A13="","",Daily_Data!C12)</f>
        <v>HR</v>
      </c>
      <c r="D13" s="23" t="str">
        <f aca="false">IF(A13="","",Daily_Data!D12)</f>
        <v>HR Director</v>
      </c>
      <c r="E13" s="24" t="n">
        <f aca="false">IF(A13="","",Daily_Data!E12)</f>
        <v>105000</v>
      </c>
      <c r="F13" s="23" t="str">
        <f aca="false">IF(A13="","",Daily_Data!F12)</f>
        <v>Chicago</v>
      </c>
      <c r="G13" s="23" t="str">
        <f aca="false">IF(A13="","",Daily_Data!G12)</f>
        <v>M004</v>
      </c>
      <c r="H13" s="25" t="str">
        <f aca="false">IF(A13="","",IFERROR(INDEX(SCD_Data!$C$3:$C$502,SUMPRODUCT((SCD_Data!$A$3:$A$502=B13)*(IFERROR(DATEVALUE(SCD_Data!$H$3:$H$502&amp;""),SCD_Data!$H$3:$H$502)&lt;=IFERROR(DATEVALUE(A13&amp;""),A13))*(IFERROR(DATEVALUE(SCD_Data!$I$3:$I$502&amp;""),SCD_Data!$I$3:$I$502)&gt;=IFERROR(DATEVALUE(A13&amp;""),A13))*(ROW(SCD_Data!$A$3:$A$502)-2))),"—"))</f>
        <v>HR</v>
      </c>
      <c r="I13" s="25" t="str">
        <f aca="false">IF(A13="","",IFERROR(INDEX(SCD_Data!$D$3:$D$502,SUMPRODUCT((SCD_Data!$A$3:$A$502=B13)*(IFERROR(DATEVALUE(SCD_Data!$H$3:$H$502&amp;""),SCD_Data!$H$3:$H$502)&lt;=IFERROR(DATEVALUE(A13&amp;""),A13))*(IFERROR(DATEVALUE(SCD_Data!$I$3:$I$502&amp;""),SCD_Data!$I$3:$I$502)&gt;=IFERROR(DATEVALUE(A13&amp;""),A13))*(ROW(SCD_Data!$A$3:$A$502)-2))),"—"))</f>
        <v>HR Director</v>
      </c>
      <c r="J13" s="26" t="n">
        <f aca="false">IF(A13="","",IFERROR(INDEX(SCD_Data!$E$3:$E$502,SUMPRODUCT((SCD_Data!$A$3:$A$502=B13)*(IFERROR(DATEVALUE(SCD_Data!$H$3:$H$502&amp;""),SCD_Data!$H$3:$H$502)&lt;=IFERROR(DATEVALUE(A13&amp;""),A13))*(IFERROR(DATEVALUE(SCD_Data!$I$3:$I$502&amp;""),SCD_Data!$I$3:$I$502)&gt;=IFERROR(DATEVALUE(A13&amp;""),A13))*(ROW(SCD_Data!$A$3:$A$502)-2))),"—"))</f>
        <v>99000</v>
      </c>
      <c r="K13" s="25" t="str">
        <f aca="false">IF(A13="","",IFERROR(INDEX(SCD_Data!$F$3:$F$502,SUMPRODUCT((SCD_Data!$A$3:$A$502=B13)*(IFERROR(DATEVALUE(SCD_Data!$H$3:$H$502&amp;""),SCD_Data!$H$3:$H$502)&lt;=IFERROR(DATEVALUE(A13&amp;""),A13))*(IFERROR(DATEVALUE(SCD_Data!$I$3:$I$502&amp;""),SCD_Data!$I$3:$I$502)&gt;=IFERROR(DATEVALUE(A13&amp;""),A13))*(ROW(SCD_Data!$A$3:$A$502)-2))),"—"))</f>
        <v>Chicago</v>
      </c>
      <c r="L13" s="25" t="str">
        <f aca="false">IF(A13="","",IFERROR(INDEX(SCD_Data!$G$3:$G$502,SUMPRODUCT((SCD_Data!$A$3:$A$502=B13)*(IFERROR(DATEVALUE(SCD_Data!$H$3:$H$502&amp;""),SCD_Data!$H$3:$H$502)&lt;=IFERROR(DATEVALUE(A13&amp;""),A13))*(IFERROR(DATEVALUE(SCD_Data!$I$3:$I$502&amp;""),SCD_Data!$I$3:$I$502)&gt;=IFERROR(DATEVALUE(A13&amp;""),A13))*(ROW(SCD_Data!$A$3:$A$502)-2))),"—"))</f>
        <v>M004</v>
      </c>
      <c r="M13" s="27" t="str">
        <f aca="false">IF(A13="","",IF(H13="—","—",IF(C13&amp;""=H13&amp;"","✓","✗")))</f>
        <v>✓</v>
      </c>
      <c r="N13" s="27" t="str">
        <f aca="false">IF(A13="","",IF(H13="—","—",IF(D13&amp;""=I13&amp;"","✓","✗")))</f>
        <v>✓</v>
      </c>
      <c r="O13" s="27" t="str">
        <f aca="false">IF(A13="","",IF(H13="—","—",IF(ABS(E13-J13)&lt;0.01,"✓","✗")))</f>
        <v>✗</v>
      </c>
      <c r="P13" s="27" t="str">
        <f aca="false">IF(A13="","",IF(H13="—","—",IF(F13&amp;""=K13&amp;"","✓","✗")))</f>
        <v>✓</v>
      </c>
      <c r="Q13" s="27" t="str">
        <f aca="false">IF(A13="","",IF(H13="—","—",IF(G13&amp;""=L13&amp;"","✓","✗")))</f>
        <v>✓</v>
      </c>
      <c r="R13" s="27" t="str">
        <f aca="false">IF(A13="","",IF(COUNTIF(M13:Q13,"—")=5,"⚠ NO SCD ROW",IF(COUNTIF(M13:Q13,"✗")&gt;0,"❌ MISMATCH","✅ MATCH")))</f>
        <v>❌ MISMATCH</v>
      </c>
    </row>
    <row r="14" customFormat="false" ht="15" hidden="false" customHeight="true" outlineLevel="0" collapsed="false">
      <c r="A14" s="22" t="str">
        <f aca="false">IF(Daily_Data!A13="","",Daily_Data!A13)</f>
        <v>2024-07-01</v>
      </c>
      <c r="B14" s="23" t="str">
        <f aca="false">IF(Daily_Data!B13="","",Daily_Data!B13)</f>
        <v>E003</v>
      </c>
      <c r="C14" s="23" t="str">
        <f aca="false">IF(A14="","",Daily_Data!C13)</f>
        <v>HR</v>
      </c>
      <c r="D14" s="23" t="str">
        <f aca="false">IF(A14="","",Daily_Data!D13)</f>
        <v>HR Director</v>
      </c>
      <c r="E14" s="24" t="n">
        <f aca="false">IF(A14="","",Daily_Data!E13)</f>
        <v>105000</v>
      </c>
      <c r="F14" s="23" t="str">
        <f aca="false">IF(A14="","",Daily_Data!F13)</f>
        <v>Chicago</v>
      </c>
      <c r="G14" s="23" t="str">
        <f aca="false">IF(A14="","",Daily_Data!G13)</f>
        <v>M004</v>
      </c>
      <c r="H14" s="25" t="str">
        <f aca="false">IF(A14="","",IFERROR(INDEX(SCD_Data!$C$3:$C$502,SUMPRODUCT((SCD_Data!$A$3:$A$502=B14)*(IFERROR(DATEVALUE(SCD_Data!$H$3:$H$502&amp;""),SCD_Data!$H$3:$H$502)&lt;=IFERROR(DATEVALUE(A14&amp;""),A14))*(IFERROR(DATEVALUE(SCD_Data!$I$3:$I$502&amp;""),SCD_Data!$I$3:$I$502)&gt;=IFERROR(DATEVALUE(A14&amp;""),A14))*(ROW(SCD_Data!$A$3:$A$502)-2))),"—"))</f>
        <v>HR</v>
      </c>
      <c r="I14" s="25" t="str">
        <f aca="false">IF(A14="","",IFERROR(INDEX(SCD_Data!$D$3:$D$502,SUMPRODUCT((SCD_Data!$A$3:$A$502=B14)*(IFERROR(DATEVALUE(SCD_Data!$H$3:$H$502&amp;""),SCD_Data!$H$3:$H$502)&lt;=IFERROR(DATEVALUE(A14&amp;""),A14))*(IFERROR(DATEVALUE(SCD_Data!$I$3:$I$502&amp;""),SCD_Data!$I$3:$I$502)&gt;=IFERROR(DATEVALUE(A14&amp;""),A14))*(ROW(SCD_Data!$A$3:$A$502)-2))),"—"))</f>
        <v>HR Director</v>
      </c>
      <c r="J14" s="26" t="n">
        <f aca="false">IF(A14="","",IFERROR(INDEX(SCD_Data!$E$3:$E$502,SUMPRODUCT((SCD_Data!$A$3:$A$502=B14)*(IFERROR(DATEVALUE(SCD_Data!$H$3:$H$502&amp;""),SCD_Data!$H$3:$H$502)&lt;=IFERROR(DATEVALUE(A14&amp;""),A14))*(IFERROR(DATEVALUE(SCD_Data!$I$3:$I$502&amp;""),SCD_Data!$I$3:$I$502)&gt;=IFERROR(DATEVALUE(A14&amp;""),A14))*(ROW(SCD_Data!$A$3:$A$502)-2))),"—"))</f>
        <v>99000</v>
      </c>
      <c r="K14" s="25" t="str">
        <f aca="false">IF(A14="","",IFERROR(INDEX(SCD_Data!$F$3:$F$502,SUMPRODUCT((SCD_Data!$A$3:$A$502=B14)*(IFERROR(DATEVALUE(SCD_Data!$H$3:$H$502&amp;""),SCD_Data!$H$3:$H$502)&lt;=IFERROR(DATEVALUE(A14&amp;""),A14))*(IFERROR(DATEVALUE(SCD_Data!$I$3:$I$502&amp;""),SCD_Data!$I$3:$I$502)&gt;=IFERROR(DATEVALUE(A14&amp;""),A14))*(ROW(SCD_Data!$A$3:$A$502)-2))),"—"))</f>
        <v>Chicago</v>
      </c>
      <c r="L14" s="25" t="str">
        <f aca="false">IF(A14="","",IFERROR(INDEX(SCD_Data!$G$3:$G$502,SUMPRODUCT((SCD_Data!$A$3:$A$502=B14)*(IFERROR(DATEVALUE(SCD_Data!$H$3:$H$502&amp;""),SCD_Data!$H$3:$H$502)&lt;=IFERROR(DATEVALUE(A14&amp;""),A14))*(IFERROR(DATEVALUE(SCD_Data!$I$3:$I$502&amp;""),SCD_Data!$I$3:$I$502)&gt;=IFERROR(DATEVALUE(A14&amp;""),A14))*(ROW(SCD_Data!$A$3:$A$502)-2))),"—"))</f>
        <v>M004</v>
      </c>
      <c r="M14" s="27" t="str">
        <f aca="false">IF(A14="","",IF(H14="—","—",IF(C14&amp;""=H14&amp;"","✓","✗")))</f>
        <v>✓</v>
      </c>
      <c r="N14" s="27" t="str">
        <f aca="false">IF(A14="","",IF(H14="—","—",IF(D14&amp;""=I14&amp;"","✓","✗")))</f>
        <v>✓</v>
      </c>
      <c r="O14" s="27" t="str">
        <f aca="false">IF(A14="","",IF(H14="—","—",IF(ABS(E14-J14)&lt;0.01,"✓","✗")))</f>
        <v>✗</v>
      </c>
      <c r="P14" s="27" t="str">
        <f aca="false">IF(A14="","",IF(H14="—","—",IF(F14&amp;""=K14&amp;"","✓","✗")))</f>
        <v>✓</v>
      </c>
      <c r="Q14" s="27" t="str">
        <f aca="false">IF(A14="","",IF(H14="—","—",IF(G14&amp;""=L14&amp;"","✓","✗")))</f>
        <v>✓</v>
      </c>
      <c r="R14" s="27" t="str">
        <f aca="false">IF(A14="","",IF(COUNTIF(M14:Q14,"—")=5,"⚠ NO SCD ROW",IF(COUNTIF(M14:Q14,"✗")&gt;0,"❌ MISMATCH","✅ MATCH")))</f>
        <v>❌ MISMATCH</v>
      </c>
    </row>
    <row r="15" customFormat="false" ht="15" hidden="false" customHeight="true" outlineLevel="0" collapsed="false">
      <c r="A15" s="22" t="str">
        <f aca="false">IF(Daily_Data!A14="","",Daily_Data!A14)</f>
        <v/>
      </c>
      <c r="B15" s="23" t="str">
        <f aca="false">IF(Daily_Data!B14="","",Daily_Data!B14)</f>
        <v/>
      </c>
      <c r="C15" s="23" t="str">
        <f aca="false">IF(A15="","",Daily_Data!C14)</f>
        <v/>
      </c>
      <c r="D15" s="23" t="str">
        <f aca="false">IF(A15="","",Daily_Data!D14)</f>
        <v/>
      </c>
      <c r="E15" s="24" t="str">
        <f aca="false">IF(A15="","",Daily_Data!E14)</f>
        <v/>
      </c>
      <c r="F15" s="23" t="str">
        <f aca="false">IF(A15="","",Daily_Data!F14)</f>
        <v/>
      </c>
      <c r="G15" s="23" t="str">
        <f aca="false">IF(A15="","",Daily_Data!G14)</f>
        <v/>
      </c>
      <c r="H15" s="25" t="str">
        <f aca="false">IF(A15="","",IFERROR(INDEX(SCD_Data!$C$3:$C$502,SUMPRODUCT((SCD_Data!$A$3:$A$502=B15)*(IFERROR(DATEVALUE(SCD_Data!$H$3:$H$502&amp;""),SCD_Data!$H$3:$H$502)&lt;=IFERROR(DATEVALUE(A15&amp;""),A15))*(IFERROR(DATEVALUE(SCD_Data!$I$3:$I$502&amp;""),SCD_Data!$I$3:$I$502)&gt;=IFERROR(DATEVALUE(A15&amp;""),A15))*(ROW(SCD_Data!$A$3:$A$502)-2))),"—"))</f>
        <v/>
      </c>
      <c r="I15" s="25" t="str">
        <f aca="false">IF(A15="","",IFERROR(INDEX(SCD_Data!$D$3:$D$502,SUMPRODUCT((SCD_Data!$A$3:$A$502=B15)*(IFERROR(DATEVALUE(SCD_Data!$H$3:$H$502&amp;""),SCD_Data!$H$3:$H$502)&lt;=IFERROR(DATEVALUE(A15&amp;""),A15))*(IFERROR(DATEVALUE(SCD_Data!$I$3:$I$502&amp;""),SCD_Data!$I$3:$I$502)&gt;=IFERROR(DATEVALUE(A15&amp;""),A15))*(ROW(SCD_Data!$A$3:$A$502)-2))),"—"))</f>
        <v/>
      </c>
      <c r="J15" s="26" t="str">
        <f aca="false">IF(A15="","",IFERROR(INDEX(SCD_Data!$E$3:$E$502,SUMPRODUCT((SCD_Data!$A$3:$A$502=B15)*(IFERROR(DATEVALUE(SCD_Data!$H$3:$H$502&amp;""),SCD_Data!$H$3:$H$502)&lt;=IFERROR(DATEVALUE(A15&amp;""),A15))*(IFERROR(DATEVALUE(SCD_Data!$I$3:$I$502&amp;""),SCD_Data!$I$3:$I$502)&gt;=IFERROR(DATEVALUE(A15&amp;""),A15))*(ROW(SCD_Data!$A$3:$A$502)-2))),"—"))</f>
        <v/>
      </c>
      <c r="K15" s="25" t="str">
        <f aca="false">IF(A15="","",IFERROR(INDEX(SCD_Data!$F$3:$F$502,SUMPRODUCT((SCD_Data!$A$3:$A$502=B15)*(IFERROR(DATEVALUE(SCD_Data!$H$3:$H$502&amp;""),SCD_Data!$H$3:$H$502)&lt;=IFERROR(DATEVALUE(A15&amp;""),A15))*(IFERROR(DATEVALUE(SCD_Data!$I$3:$I$502&amp;""),SCD_Data!$I$3:$I$502)&gt;=IFERROR(DATEVALUE(A15&amp;""),A15))*(ROW(SCD_Data!$A$3:$A$502)-2))),"—"))</f>
        <v/>
      </c>
      <c r="L15" s="25" t="str">
        <f aca="false">IF(A15="","",IFERROR(INDEX(SCD_Data!$G$3:$G$502,SUMPRODUCT((SCD_Data!$A$3:$A$502=B15)*(IFERROR(DATEVALUE(SCD_Data!$H$3:$H$502&amp;""),SCD_Data!$H$3:$H$502)&lt;=IFERROR(DATEVALUE(A15&amp;""),A15))*(IFERROR(DATEVALUE(SCD_Data!$I$3:$I$502&amp;""),SCD_Data!$I$3:$I$502)&gt;=IFERROR(DATEVALUE(A15&amp;""),A15))*(ROW(SCD_Data!$A$3:$A$502)-2))),"—"))</f>
        <v/>
      </c>
      <c r="M15" s="27" t="str">
        <f aca="false">IF(A15="","",IF(H15="—","—",IF(C15&amp;""=H15&amp;"","✓","✗")))</f>
        <v/>
      </c>
      <c r="N15" s="27" t="str">
        <f aca="false">IF(A15="","",IF(H15="—","—",IF(D15&amp;""=I15&amp;"","✓","✗")))</f>
        <v/>
      </c>
      <c r="O15" s="27" t="str">
        <f aca="false">IF(A15="","",IF(H15="—","—",IF(ABS(E15-J15)&lt;0.01,"✓","✗")))</f>
        <v/>
      </c>
      <c r="P15" s="27" t="str">
        <f aca="false">IF(A15="","",IF(H15="—","—",IF(F15&amp;""=K15&amp;"","✓","✗")))</f>
        <v/>
      </c>
      <c r="Q15" s="27" t="str">
        <f aca="false">IF(A15="","",IF(H15="—","—",IF(G15&amp;""=L15&amp;"","✓","✗")))</f>
        <v/>
      </c>
      <c r="R15" s="27" t="str">
        <f aca="false">IF(A15="","",IF(COUNTIF(M15:Q15,"—")=5,"⚠ NO SCD ROW",IF(COUNTIF(M15:Q15,"✗")&gt;0,"❌ MISMATCH","✅ MATCH")))</f>
        <v/>
      </c>
    </row>
    <row r="16" customFormat="false" ht="15" hidden="false" customHeight="true" outlineLevel="0" collapsed="false">
      <c r="A16" s="22" t="str">
        <f aca="false">IF(Daily_Data!A15="","",Daily_Data!A15)</f>
        <v/>
      </c>
      <c r="B16" s="23" t="str">
        <f aca="false">IF(Daily_Data!B15="","",Daily_Data!B15)</f>
        <v/>
      </c>
      <c r="C16" s="23" t="str">
        <f aca="false">IF(A16="","",Daily_Data!C15)</f>
        <v/>
      </c>
      <c r="D16" s="23" t="str">
        <f aca="false">IF(A16="","",Daily_Data!D15)</f>
        <v/>
      </c>
      <c r="E16" s="24" t="str">
        <f aca="false">IF(A16="","",Daily_Data!E15)</f>
        <v/>
      </c>
      <c r="F16" s="23" t="str">
        <f aca="false">IF(A16="","",Daily_Data!F15)</f>
        <v/>
      </c>
      <c r="G16" s="23" t="str">
        <f aca="false">IF(A16="","",Daily_Data!G15)</f>
        <v/>
      </c>
      <c r="H16" s="25" t="str">
        <f aca="false">IF(A16="","",IFERROR(INDEX(SCD_Data!$C$3:$C$502,SUMPRODUCT((SCD_Data!$A$3:$A$502=B16)*(IFERROR(DATEVALUE(SCD_Data!$H$3:$H$502&amp;""),SCD_Data!$H$3:$H$502)&lt;=IFERROR(DATEVALUE(A16&amp;""),A16))*(IFERROR(DATEVALUE(SCD_Data!$I$3:$I$502&amp;""),SCD_Data!$I$3:$I$502)&gt;=IFERROR(DATEVALUE(A16&amp;""),A16))*(ROW(SCD_Data!$A$3:$A$502)-2))),"—"))</f>
        <v/>
      </c>
      <c r="I16" s="25" t="str">
        <f aca="false">IF(A16="","",IFERROR(INDEX(SCD_Data!$D$3:$D$502,SUMPRODUCT((SCD_Data!$A$3:$A$502=B16)*(IFERROR(DATEVALUE(SCD_Data!$H$3:$H$502&amp;""),SCD_Data!$H$3:$H$502)&lt;=IFERROR(DATEVALUE(A16&amp;""),A16))*(IFERROR(DATEVALUE(SCD_Data!$I$3:$I$502&amp;""),SCD_Data!$I$3:$I$502)&gt;=IFERROR(DATEVALUE(A16&amp;""),A16))*(ROW(SCD_Data!$A$3:$A$502)-2))),"—"))</f>
        <v/>
      </c>
      <c r="J16" s="26" t="str">
        <f aca="false">IF(A16="","",IFERROR(INDEX(SCD_Data!$E$3:$E$502,SUMPRODUCT((SCD_Data!$A$3:$A$502=B16)*(IFERROR(DATEVALUE(SCD_Data!$H$3:$H$502&amp;""),SCD_Data!$H$3:$H$502)&lt;=IFERROR(DATEVALUE(A16&amp;""),A16))*(IFERROR(DATEVALUE(SCD_Data!$I$3:$I$502&amp;""),SCD_Data!$I$3:$I$502)&gt;=IFERROR(DATEVALUE(A16&amp;""),A16))*(ROW(SCD_Data!$A$3:$A$502)-2))),"—"))</f>
        <v/>
      </c>
      <c r="K16" s="25" t="str">
        <f aca="false">IF(A16="","",IFERROR(INDEX(SCD_Data!$F$3:$F$502,SUMPRODUCT((SCD_Data!$A$3:$A$502=B16)*(IFERROR(DATEVALUE(SCD_Data!$H$3:$H$502&amp;""),SCD_Data!$H$3:$H$502)&lt;=IFERROR(DATEVALUE(A16&amp;""),A16))*(IFERROR(DATEVALUE(SCD_Data!$I$3:$I$502&amp;""),SCD_Data!$I$3:$I$502)&gt;=IFERROR(DATEVALUE(A16&amp;""),A16))*(ROW(SCD_Data!$A$3:$A$502)-2))),"—"))</f>
        <v/>
      </c>
      <c r="L16" s="25" t="str">
        <f aca="false">IF(A16="","",IFERROR(INDEX(SCD_Data!$G$3:$G$502,SUMPRODUCT((SCD_Data!$A$3:$A$502=B16)*(IFERROR(DATEVALUE(SCD_Data!$H$3:$H$502&amp;""),SCD_Data!$H$3:$H$502)&lt;=IFERROR(DATEVALUE(A16&amp;""),A16))*(IFERROR(DATEVALUE(SCD_Data!$I$3:$I$502&amp;""),SCD_Data!$I$3:$I$502)&gt;=IFERROR(DATEVALUE(A16&amp;""),A16))*(ROW(SCD_Data!$A$3:$A$502)-2))),"—"))</f>
        <v/>
      </c>
      <c r="M16" s="27" t="str">
        <f aca="false">IF(A16="","",IF(H16="—","—",IF(C16&amp;""=H16&amp;"","✓","✗")))</f>
        <v/>
      </c>
      <c r="N16" s="27" t="str">
        <f aca="false">IF(A16="","",IF(H16="—","—",IF(D16&amp;""=I16&amp;"","✓","✗")))</f>
        <v/>
      </c>
      <c r="O16" s="27" t="str">
        <f aca="false">IF(A16="","",IF(H16="—","—",IF(ABS(E16-J16)&lt;0.01,"✓","✗")))</f>
        <v/>
      </c>
      <c r="P16" s="27" t="str">
        <f aca="false">IF(A16="","",IF(H16="—","—",IF(F16&amp;""=K16&amp;"","✓","✗")))</f>
        <v/>
      </c>
      <c r="Q16" s="27" t="str">
        <f aca="false">IF(A16="","",IF(H16="—","—",IF(G16&amp;""=L16&amp;"","✓","✗")))</f>
        <v/>
      </c>
      <c r="R16" s="27" t="str">
        <f aca="false">IF(A16="","",IF(COUNTIF(M16:Q16,"—")=5,"⚠ NO SCD ROW",IF(COUNTIF(M16:Q16,"✗")&gt;0,"❌ MISMATCH","✅ MATCH")))</f>
        <v/>
      </c>
    </row>
    <row r="17" customFormat="false" ht="15" hidden="false" customHeight="true" outlineLevel="0" collapsed="false">
      <c r="A17" s="22" t="str">
        <f aca="false">IF(Daily_Data!A16="","",Daily_Data!A16)</f>
        <v/>
      </c>
      <c r="B17" s="23" t="str">
        <f aca="false">IF(Daily_Data!B16="","",Daily_Data!B16)</f>
        <v/>
      </c>
      <c r="C17" s="23" t="str">
        <f aca="false">IF(A17="","",Daily_Data!C16)</f>
        <v/>
      </c>
      <c r="D17" s="23" t="str">
        <f aca="false">IF(A17="","",Daily_Data!D16)</f>
        <v/>
      </c>
      <c r="E17" s="24" t="str">
        <f aca="false">IF(A17="","",Daily_Data!E16)</f>
        <v/>
      </c>
      <c r="F17" s="23" t="str">
        <f aca="false">IF(A17="","",Daily_Data!F16)</f>
        <v/>
      </c>
      <c r="G17" s="23" t="str">
        <f aca="false">IF(A17="","",Daily_Data!G16)</f>
        <v/>
      </c>
      <c r="H17" s="25" t="str">
        <f aca="false">IF(A17="","",IFERROR(INDEX(SCD_Data!$C$3:$C$502,SUMPRODUCT((SCD_Data!$A$3:$A$502=B17)*(IFERROR(DATEVALUE(SCD_Data!$H$3:$H$502&amp;""),SCD_Data!$H$3:$H$502)&lt;=IFERROR(DATEVALUE(A17&amp;""),A17))*(IFERROR(DATEVALUE(SCD_Data!$I$3:$I$502&amp;""),SCD_Data!$I$3:$I$502)&gt;=IFERROR(DATEVALUE(A17&amp;""),A17))*(ROW(SCD_Data!$A$3:$A$502)-2))),"—"))</f>
        <v/>
      </c>
      <c r="I17" s="25" t="str">
        <f aca="false">IF(A17="","",IFERROR(INDEX(SCD_Data!$D$3:$D$502,SUMPRODUCT((SCD_Data!$A$3:$A$502=B17)*(IFERROR(DATEVALUE(SCD_Data!$H$3:$H$502&amp;""),SCD_Data!$H$3:$H$502)&lt;=IFERROR(DATEVALUE(A17&amp;""),A17))*(IFERROR(DATEVALUE(SCD_Data!$I$3:$I$502&amp;""),SCD_Data!$I$3:$I$502)&gt;=IFERROR(DATEVALUE(A17&amp;""),A17))*(ROW(SCD_Data!$A$3:$A$502)-2))),"—"))</f>
        <v/>
      </c>
      <c r="J17" s="26" t="str">
        <f aca="false">IF(A17="","",IFERROR(INDEX(SCD_Data!$E$3:$E$502,SUMPRODUCT((SCD_Data!$A$3:$A$502=B17)*(IFERROR(DATEVALUE(SCD_Data!$H$3:$H$502&amp;""),SCD_Data!$H$3:$H$502)&lt;=IFERROR(DATEVALUE(A17&amp;""),A17))*(IFERROR(DATEVALUE(SCD_Data!$I$3:$I$502&amp;""),SCD_Data!$I$3:$I$502)&gt;=IFERROR(DATEVALUE(A17&amp;""),A17))*(ROW(SCD_Data!$A$3:$A$502)-2))),"—"))</f>
        <v/>
      </c>
      <c r="K17" s="25" t="str">
        <f aca="false">IF(A17="","",IFERROR(INDEX(SCD_Data!$F$3:$F$502,SUMPRODUCT((SCD_Data!$A$3:$A$502=B17)*(IFERROR(DATEVALUE(SCD_Data!$H$3:$H$502&amp;""),SCD_Data!$H$3:$H$502)&lt;=IFERROR(DATEVALUE(A17&amp;""),A17))*(IFERROR(DATEVALUE(SCD_Data!$I$3:$I$502&amp;""),SCD_Data!$I$3:$I$502)&gt;=IFERROR(DATEVALUE(A17&amp;""),A17))*(ROW(SCD_Data!$A$3:$A$502)-2))),"—"))</f>
        <v/>
      </c>
      <c r="L17" s="25" t="str">
        <f aca="false">IF(A17="","",IFERROR(INDEX(SCD_Data!$G$3:$G$502,SUMPRODUCT((SCD_Data!$A$3:$A$502=B17)*(IFERROR(DATEVALUE(SCD_Data!$H$3:$H$502&amp;""),SCD_Data!$H$3:$H$502)&lt;=IFERROR(DATEVALUE(A17&amp;""),A17))*(IFERROR(DATEVALUE(SCD_Data!$I$3:$I$502&amp;""),SCD_Data!$I$3:$I$502)&gt;=IFERROR(DATEVALUE(A17&amp;""),A17))*(ROW(SCD_Data!$A$3:$A$502)-2))),"—"))</f>
        <v/>
      </c>
      <c r="M17" s="27" t="str">
        <f aca="false">IF(A17="","",IF(H17="—","—",IF(C17&amp;""=H17&amp;"","✓","✗")))</f>
        <v/>
      </c>
      <c r="N17" s="27" t="str">
        <f aca="false">IF(A17="","",IF(H17="—","—",IF(D17&amp;""=I17&amp;"","✓","✗")))</f>
        <v/>
      </c>
      <c r="O17" s="27" t="str">
        <f aca="false">IF(A17="","",IF(H17="—","—",IF(ABS(E17-J17)&lt;0.01,"✓","✗")))</f>
        <v/>
      </c>
      <c r="P17" s="27" t="str">
        <f aca="false">IF(A17="","",IF(H17="—","—",IF(F17&amp;""=K17&amp;"","✓","✗")))</f>
        <v/>
      </c>
      <c r="Q17" s="27" t="str">
        <f aca="false">IF(A17="","",IF(H17="—","—",IF(G17&amp;""=L17&amp;"","✓","✗")))</f>
        <v/>
      </c>
      <c r="R17" s="27" t="str">
        <f aca="false">IF(A17="","",IF(COUNTIF(M17:Q17,"—")=5,"⚠ NO SCD ROW",IF(COUNTIF(M17:Q17,"✗")&gt;0,"❌ MISMATCH","✅ MATCH")))</f>
        <v/>
      </c>
    </row>
    <row r="18" customFormat="false" ht="15" hidden="false" customHeight="true" outlineLevel="0" collapsed="false">
      <c r="A18" s="22" t="str">
        <f aca="false">IF(Daily_Data!A17="","",Daily_Data!A17)</f>
        <v/>
      </c>
      <c r="B18" s="23" t="str">
        <f aca="false">IF(Daily_Data!B17="","",Daily_Data!B17)</f>
        <v/>
      </c>
      <c r="C18" s="23" t="str">
        <f aca="false">IF(A18="","",Daily_Data!C17)</f>
        <v/>
      </c>
      <c r="D18" s="23" t="str">
        <f aca="false">IF(A18="","",Daily_Data!D17)</f>
        <v/>
      </c>
      <c r="E18" s="24" t="str">
        <f aca="false">IF(A18="","",Daily_Data!E17)</f>
        <v/>
      </c>
      <c r="F18" s="23" t="str">
        <f aca="false">IF(A18="","",Daily_Data!F17)</f>
        <v/>
      </c>
      <c r="G18" s="23" t="str">
        <f aca="false">IF(A18="","",Daily_Data!G17)</f>
        <v/>
      </c>
      <c r="H18" s="25" t="str">
        <f aca="false">IF(A18="","",IFERROR(INDEX(SCD_Data!$C$3:$C$502,SUMPRODUCT((SCD_Data!$A$3:$A$502=B18)*(IFERROR(DATEVALUE(SCD_Data!$H$3:$H$502&amp;""),SCD_Data!$H$3:$H$502)&lt;=IFERROR(DATEVALUE(A18&amp;""),A18))*(IFERROR(DATEVALUE(SCD_Data!$I$3:$I$502&amp;""),SCD_Data!$I$3:$I$502)&gt;=IFERROR(DATEVALUE(A18&amp;""),A18))*(ROW(SCD_Data!$A$3:$A$502)-2))),"—"))</f>
        <v/>
      </c>
      <c r="I18" s="25" t="str">
        <f aca="false">IF(A18="","",IFERROR(INDEX(SCD_Data!$D$3:$D$502,SUMPRODUCT((SCD_Data!$A$3:$A$502=B18)*(IFERROR(DATEVALUE(SCD_Data!$H$3:$H$502&amp;""),SCD_Data!$H$3:$H$502)&lt;=IFERROR(DATEVALUE(A18&amp;""),A18))*(IFERROR(DATEVALUE(SCD_Data!$I$3:$I$502&amp;""),SCD_Data!$I$3:$I$502)&gt;=IFERROR(DATEVALUE(A18&amp;""),A18))*(ROW(SCD_Data!$A$3:$A$502)-2))),"—"))</f>
        <v/>
      </c>
      <c r="J18" s="26" t="str">
        <f aca="false">IF(A18="","",IFERROR(INDEX(SCD_Data!$E$3:$E$502,SUMPRODUCT((SCD_Data!$A$3:$A$502=B18)*(IFERROR(DATEVALUE(SCD_Data!$H$3:$H$502&amp;""),SCD_Data!$H$3:$H$502)&lt;=IFERROR(DATEVALUE(A18&amp;""),A18))*(IFERROR(DATEVALUE(SCD_Data!$I$3:$I$502&amp;""),SCD_Data!$I$3:$I$502)&gt;=IFERROR(DATEVALUE(A18&amp;""),A18))*(ROW(SCD_Data!$A$3:$A$502)-2))),"—"))</f>
        <v/>
      </c>
      <c r="K18" s="25" t="str">
        <f aca="false">IF(A18="","",IFERROR(INDEX(SCD_Data!$F$3:$F$502,SUMPRODUCT((SCD_Data!$A$3:$A$502=B18)*(IFERROR(DATEVALUE(SCD_Data!$H$3:$H$502&amp;""),SCD_Data!$H$3:$H$502)&lt;=IFERROR(DATEVALUE(A18&amp;""),A18))*(IFERROR(DATEVALUE(SCD_Data!$I$3:$I$502&amp;""),SCD_Data!$I$3:$I$502)&gt;=IFERROR(DATEVALUE(A18&amp;""),A18))*(ROW(SCD_Data!$A$3:$A$502)-2))),"—"))</f>
        <v/>
      </c>
      <c r="L18" s="25" t="str">
        <f aca="false">IF(A18="","",IFERROR(INDEX(SCD_Data!$G$3:$G$502,SUMPRODUCT((SCD_Data!$A$3:$A$502=B18)*(IFERROR(DATEVALUE(SCD_Data!$H$3:$H$502&amp;""),SCD_Data!$H$3:$H$502)&lt;=IFERROR(DATEVALUE(A18&amp;""),A18))*(IFERROR(DATEVALUE(SCD_Data!$I$3:$I$502&amp;""),SCD_Data!$I$3:$I$502)&gt;=IFERROR(DATEVALUE(A18&amp;""),A18))*(ROW(SCD_Data!$A$3:$A$502)-2))),"—"))</f>
        <v/>
      </c>
      <c r="M18" s="27" t="str">
        <f aca="false">IF(A18="","",IF(H18="—","—",IF(C18&amp;""=H18&amp;"","✓","✗")))</f>
        <v/>
      </c>
      <c r="N18" s="27" t="str">
        <f aca="false">IF(A18="","",IF(H18="—","—",IF(D18&amp;""=I18&amp;"","✓","✗")))</f>
        <v/>
      </c>
      <c r="O18" s="27" t="str">
        <f aca="false">IF(A18="","",IF(H18="—","—",IF(ABS(E18-J18)&lt;0.01,"✓","✗")))</f>
        <v/>
      </c>
      <c r="P18" s="27" t="str">
        <f aca="false">IF(A18="","",IF(H18="—","—",IF(F18&amp;""=K18&amp;"","✓","✗")))</f>
        <v/>
      </c>
      <c r="Q18" s="27" t="str">
        <f aca="false">IF(A18="","",IF(H18="—","—",IF(G18&amp;""=L18&amp;"","✓","✗")))</f>
        <v/>
      </c>
      <c r="R18" s="27" t="str">
        <f aca="false">IF(A18="","",IF(COUNTIF(M18:Q18,"—")=5,"⚠ NO SCD ROW",IF(COUNTIF(M18:Q18,"✗")&gt;0,"❌ MISMATCH","✅ MATCH")))</f>
        <v/>
      </c>
    </row>
    <row r="19" customFormat="false" ht="15" hidden="false" customHeight="true" outlineLevel="0" collapsed="false">
      <c r="A19" s="22" t="str">
        <f aca="false">IF(Daily_Data!A18="","",Daily_Data!A18)</f>
        <v/>
      </c>
      <c r="B19" s="23" t="str">
        <f aca="false">IF(Daily_Data!B18="","",Daily_Data!B18)</f>
        <v/>
      </c>
      <c r="C19" s="23" t="str">
        <f aca="false">IF(A19="","",Daily_Data!C18)</f>
        <v/>
      </c>
      <c r="D19" s="23" t="str">
        <f aca="false">IF(A19="","",Daily_Data!D18)</f>
        <v/>
      </c>
      <c r="E19" s="24" t="str">
        <f aca="false">IF(A19="","",Daily_Data!E18)</f>
        <v/>
      </c>
      <c r="F19" s="23" t="str">
        <f aca="false">IF(A19="","",Daily_Data!F18)</f>
        <v/>
      </c>
      <c r="G19" s="23" t="str">
        <f aca="false">IF(A19="","",Daily_Data!G18)</f>
        <v/>
      </c>
      <c r="H19" s="25" t="str">
        <f aca="false">IF(A19="","",IFERROR(INDEX(SCD_Data!$C$3:$C$502,SUMPRODUCT((SCD_Data!$A$3:$A$502=B19)*(IFERROR(DATEVALUE(SCD_Data!$H$3:$H$502&amp;""),SCD_Data!$H$3:$H$502)&lt;=IFERROR(DATEVALUE(A19&amp;""),A19))*(IFERROR(DATEVALUE(SCD_Data!$I$3:$I$502&amp;""),SCD_Data!$I$3:$I$502)&gt;=IFERROR(DATEVALUE(A19&amp;""),A19))*(ROW(SCD_Data!$A$3:$A$502)-2))),"—"))</f>
        <v/>
      </c>
      <c r="I19" s="25" t="str">
        <f aca="false">IF(A19="","",IFERROR(INDEX(SCD_Data!$D$3:$D$502,SUMPRODUCT((SCD_Data!$A$3:$A$502=B19)*(IFERROR(DATEVALUE(SCD_Data!$H$3:$H$502&amp;""),SCD_Data!$H$3:$H$502)&lt;=IFERROR(DATEVALUE(A19&amp;""),A19))*(IFERROR(DATEVALUE(SCD_Data!$I$3:$I$502&amp;""),SCD_Data!$I$3:$I$502)&gt;=IFERROR(DATEVALUE(A19&amp;""),A19))*(ROW(SCD_Data!$A$3:$A$502)-2))),"—"))</f>
        <v/>
      </c>
      <c r="J19" s="26" t="str">
        <f aca="false">IF(A19="","",IFERROR(INDEX(SCD_Data!$E$3:$E$502,SUMPRODUCT((SCD_Data!$A$3:$A$502=B19)*(IFERROR(DATEVALUE(SCD_Data!$H$3:$H$502&amp;""),SCD_Data!$H$3:$H$502)&lt;=IFERROR(DATEVALUE(A19&amp;""),A19))*(IFERROR(DATEVALUE(SCD_Data!$I$3:$I$502&amp;""),SCD_Data!$I$3:$I$502)&gt;=IFERROR(DATEVALUE(A19&amp;""),A19))*(ROW(SCD_Data!$A$3:$A$502)-2))),"—"))</f>
        <v/>
      </c>
      <c r="K19" s="25" t="str">
        <f aca="false">IF(A19="","",IFERROR(INDEX(SCD_Data!$F$3:$F$502,SUMPRODUCT((SCD_Data!$A$3:$A$502=B19)*(IFERROR(DATEVALUE(SCD_Data!$H$3:$H$502&amp;""),SCD_Data!$H$3:$H$502)&lt;=IFERROR(DATEVALUE(A19&amp;""),A19))*(IFERROR(DATEVALUE(SCD_Data!$I$3:$I$502&amp;""),SCD_Data!$I$3:$I$502)&gt;=IFERROR(DATEVALUE(A19&amp;""),A19))*(ROW(SCD_Data!$A$3:$A$502)-2))),"—"))</f>
        <v/>
      </c>
      <c r="L19" s="25" t="str">
        <f aca="false">IF(A19="","",IFERROR(INDEX(SCD_Data!$G$3:$G$502,SUMPRODUCT((SCD_Data!$A$3:$A$502=B19)*(IFERROR(DATEVALUE(SCD_Data!$H$3:$H$502&amp;""),SCD_Data!$H$3:$H$502)&lt;=IFERROR(DATEVALUE(A19&amp;""),A19))*(IFERROR(DATEVALUE(SCD_Data!$I$3:$I$502&amp;""),SCD_Data!$I$3:$I$502)&gt;=IFERROR(DATEVALUE(A19&amp;""),A19))*(ROW(SCD_Data!$A$3:$A$502)-2))),"—"))</f>
        <v/>
      </c>
      <c r="M19" s="27" t="str">
        <f aca="false">IF(A19="","",IF(H19="—","—",IF(C19&amp;""=H19&amp;"","✓","✗")))</f>
        <v/>
      </c>
      <c r="N19" s="27" t="str">
        <f aca="false">IF(A19="","",IF(H19="—","—",IF(D19&amp;""=I19&amp;"","✓","✗")))</f>
        <v/>
      </c>
      <c r="O19" s="27" t="str">
        <f aca="false">IF(A19="","",IF(H19="—","—",IF(ABS(E19-J19)&lt;0.01,"✓","✗")))</f>
        <v/>
      </c>
      <c r="P19" s="27" t="str">
        <f aca="false">IF(A19="","",IF(H19="—","—",IF(F19&amp;""=K19&amp;"","✓","✗")))</f>
        <v/>
      </c>
      <c r="Q19" s="27" t="str">
        <f aca="false">IF(A19="","",IF(H19="—","—",IF(G19&amp;""=L19&amp;"","✓","✗")))</f>
        <v/>
      </c>
      <c r="R19" s="27" t="str">
        <f aca="false">IF(A19="","",IF(COUNTIF(M19:Q19,"—")=5,"⚠ NO SCD ROW",IF(COUNTIF(M19:Q19,"✗")&gt;0,"❌ MISMATCH","✅ MATCH")))</f>
        <v/>
      </c>
    </row>
    <row r="20" customFormat="false" ht="15" hidden="false" customHeight="true" outlineLevel="0" collapsed="false">
      <c r="A20" s="22" t="str">
        <f aca="false">IF(Daily_Data!A19="","",Daily_Data!A19)</f>
        <v/>
      </c>
      <c r="B20" s="23" t="str">
        <f aca="false">IF(Daily_Data!B19="","",Daily_Data!B19)</f>
        <v/>
      </c>
      <c r="C20" s="23" t="str">
        <f aca="false">IF(A20="","",Daily_Data!C19)</f>
        <v/>
      </c>
      <c r="D20" s="23" t="str">
        <f aca="false">IF(A20="","",Daily_Data!D19)</f>
        <v/>
      </c>
      <c r="E20" s="24" t="str">
        <f aca="false">IF(A20="","",Daily_Data!E19)</f>
        <v/>
      </c>
      <c r="F20" s="23" t="str">
        <f aca="false">IF(A20="","",Daily_Data!F19)</f>
        <v/>
      </c>
      <c r="G20" s="23" t="str">
        <f aca="false">IF(A20="","",Daily_Data!G19)</f>
        <v/>
      </c>
      <c r="H20" s="25" t="str">
        <f aca="false">IF(A20="","",IFERROR(INDEX(SCD_Data!$C$3:$C$502,SUMPRODUCT((SCD_Data!$A$3:$A$502=B20)*(IFERROR(DATEVALUE(SCD_Data!$H$3:$H$502&amp;""),SCD_Data!$H$3:$H$502)&lt;=IFERROR(DATEVALUE(A20&amp;""),A20))*(IFERROR(DATEVALUE(SCD_Data!$I$3:$I$502&amp;""),SCD_Data!$I$3:$I$502)&gt;=IFERROR(DATEVALUE(A20&amp;""),A20))*(ROW(SCD_Data!$A$3:$A$502)-2))),"—"))</f>
        <v/>
      </c>
      <c r="I20" s="25" t="str">
        <f aca="false">IF(A20="","",IFERROR(INDEX(SCD_Data!$D$3:$D$502,SUMPRODUCT((SCD_Data!$A$3:$A$502=B20)*(IFERROR(DATEVALUE(SCD_Data!$H$3:$H$502&amp;""),SCD_Data!$H$3:$H$502)&lt;=IFERROR(DATEVALUE(A20&amp;""),A20))*(IFERROR(DATEVALUE(SCD_Data!$I$3:$I$502&amp;""),SCD_Data!$I$3:$I$502)&gt;=IFERROR(DATEVALUE(A20&amp;""),A20))*(ROW(SCD_Data!$A$3:$A$502)-2))),"—"))</f>
        <v/>
      </c>
      <c r="J20" s="26" t="str">
        <f aca="false">IF(A20="","",IFERROR(INDEX(SCD_Data!$E$3:$E$502,SUMPRODUCT((SCD_Data!$A$3:$A$502=B20)*(IFERROR(DATEVALUE(SCD_Data!$H$3:$H$502&amp;""),SCD_Data!$H$3:$H$502)&lt;=IFERROR(DATEVALUE(A20&amp;""),A20))*(IFERROR(DATEVALUE(SCD_Data!$I$3:$I$502&amp;""),SCD_Data!$I$3:$I$502)&gt;=IFERROR(DATEVALUE(A20&amp;""),A20))*(ROW(SCD_Data!$A$3:$A$502)-2))),"—"))</f>
        <v/>
      </c>
      <c r="K20" s="25" t="str">
        <f aca="false">IF(A20="","",IFERROR(INDEX(SCD_Data!$F$3:$F$502,SUMPRODUCT((SCD_Data!$A$3:$A$502=B20)*(IFERROR(DATEVALUE(SCD_Data!$H$3:$H$502&amp;""),SCD_Data!$H$3:$H$502)&lt;=IFERROR(DATEVALUE(A20&amp;""),A20))*(IFERROR(DATEVALUE(SCD_Data!$I$3:$I$502&amp;""),SCD_Data!$I$3:$I$502)&gt;=IFERROR(DATEVALUE(A20&amp;""),A20))*(ROW(SCD_Data!$A$3:$A$502)-2))),"—"))</f>
        <v/>
      </c>
      <c r="L20" s="25" t="str">
        <f aca="false">IF(A20="","",IFERROR(INDEX(SCD_Data!$G$3:$G$502,SUMPRODUCT((SCD_Data!$A$3:$A$502=B20)*(IFERROR(DATEVALUE(SCD_Data!$H$3:$H$502&amp;""),SCD_Data!$H$3:$H$502)&lt;=IFERROR(DATEVALUE(A20&amp;""),A20))*(IFERROR(DATEVALUE(SCD_Data!$I$3:$I$502&amp;""),SCD_Data!$I$3:$I$502)&gt;=IFERROR(DATEVALUE(A20&amp;""),A20))*(ROW(SCD_Data!$A$3:$A$502)-2))),"—"))</f>
        <v/>
      </c>
      <c r="M20" s="27" t="str">
        <f aca="false">IF(A20="","",IF(H20="—","—",IF(C20&amp;""=H20&amp;"","✓","✗")))</f>
        <v/>
      </c>
      <c r="N20" s="27" t="str">
        <f aca="false">IF(A20="","",IF(H20="—","—",IF(D20&amp;""=I20&amp;"","✓","✗")))</f>
        <v/>
      </c>
      <c r="O20" s="27" t="str">
        <f aca="false">IF(A20="","",IF(H20="—","—",IF(ABS(E20-J20)&lt;0.01,"✓","✗")))</f>
        <v/>
      </c>
      <c r="P20" s="27" t="str">
        <f aca="false">IF(A20="","",IF(H20="—","—",IF(F20&amp;""=K20&amp;"","✓","✗")))</f>
        <v/>
      </c>
      <c r="Q20" s="27" t="str">
        <f aca="false">IF(A20="","",IF(H20="—","—",IF(G20&amp;""=L20&amp;"","✓","✗")))</f>
        <v/>
      </c>
      <c r="R20" s="27" t="str">
        <f aca="false">IF(A20="","",IF(COUNTIF(M20:Q20,"—")=5,"⚠ NO SCD ROW",IF(COUNTIF(M20:Q20,"✗")&gt;0,"❌ MISMATCH","✅ MATCH")))</f>
        <v/>
      </c>
    </row>
    <row r="21" customFormat="false" ht="15" hidden="false" customHeight="true" outlineLevel="0" collapsed="false">
      <c r="A21" s="22" t="str">
        <f aca="false">IF(Daily_Data!A20="","",Daily_Data!A20)</f>
        <v/>
      </c>
      <c r="B21" s="23" t="str">
        <f aca="false">IF(Daily_Data!B20="","",Daily_Data!B20)</f>
        <v/>
      </c>
      <c r="C21" s="23" t="str">
        <f aca="false">IF(A21="","",Daily_Data!C20)</f>
        <v/>
      </c>
      <c r="D21" s="23" t="str">
        <f aca="false">IF(A21="","",Daily_Data!D20)</f>
        <v/>
      </c>
      <c r="E21" s="24" t="str">
        <f aca="false">IF(A21="","",Daily_Data!E20)</f>
        <v/>
      </c>
      <c r="F21" s="23" t="str">
        <f aca="false">IF(A21="","",Daily_Data!F20)</f>
        <v/>
      </c>
      <c r="G21" s="23" t="str">
        <f aca="false">IF(A21="","",Daily_Data!G20)</f>
        <v/>
      </c>
      <c r="H21" s="25" t="str">
        <f aca="false">IF(A21="","",IFERROR(INDEX(SCD_Data!$C$3:$C$502,SUMPRODUCT((SCD_Data!$A$3:$A$502=B21)*(IFERROR(DATEVALUE(SCD_Data!$H$3:$H$502&amp;""),SCD_Data!$H$3:$H$502)&lt;=IFERROR(DATEVALUE(A21&amp;""),A21))*(IFERROR(DATEVALUE(SCD_Data!$I$3:$I$502&amp;""),SCD_Data!$I$3:$I$502)&gt;=IFERROR(DATEVALUE(A21&amp;""),A21))*(ROW(SCD_Data!$A$3:$A$502)-2))),"—"))</f>
        <v/>
      </c>
      <c r="I21" s="25" t="str">
        <f aca="false">IF(A21="","",IFERROR(INDEX(SCD_Data!$D$3:$D$502,SUMPRODUCT((SCD_Data!$A$3:$A$502=B21)*(IFERROR(DATEVALUE(SCD_Data!$H$3:$H$502&amp;""),SCD_Data!$H$3:$H$502)&lt;=IFERROR(DATEVALUE(A21&amp;""),A21))*(IFERROR(DATEVALUE(SCD_Data!$I$3:$I$502&amp;""),SCD_Data!$I$3:$I$502)&gt;=IFERROR(DATEVALUE(A21&amp;""),A21))*(ROW(SCD_Data!$A$3:$A$502)-2))),"—"))</f>
        <v/>
      </c>
      <c r="J21" s="26" t="str">
        <f aca="false">IF(A21="","",IFERROR(INDEX(SCD_Data!$E$3:$E$502,SUMPRODUCT((SCD_Data!$A$3:$A$502=B21)*(IFERROR(DATEVALUE(SCD_Data!$H$3:$H$502&amp;""),SCD_Data!$H$3:$H$502)&lt;=IFERROR(DATEVALUE(A21&amp;""),A21))*(IFERROR(DATEVALUE(SCD_Data!$I$3:$I$502&amp;""),SCD_Data!$I$3:$I$502)&gt;=IFERROR(DATEVALUE(A21&amp;""),A21))*(ROW(SCD_Data!$A$3:$A$502)-2))),"—"))</f>
        <v/>
      </c>
      <c r="K21" s="25" t="str">
        <f aca="false">IF(A21="","",IFERROR(INDEX(SCD_Data!$F$3:$F$502,SUMPRODUCT((SCD_Data!$A$3:$A$502=B21)*(IFERROR(DATEVALUE(SCD_Data!$H$3:$H$502&amp;""),SCD_Data!$H$3:$H$502)&lt;=IFERROR(DATEVALUE(A21&amp;""),A21))*(IFERROR(DATEVALUE(SCD_Data!$I$3:$I$502&amp;""),SCD_Data!$I$3:$I$502)&gt;=IFERROR(DATEVALUE(A21&amp;""),A21))*(ROW(SCD_Data!$A$3:$A$502)-2))),"—"))</f>
        <v/>
      </c>
      <c r="L21" s="25" t="str">
        <f aca="false">IF(A21="","",IFERROR(INDEX(SCD_Data!$G$3:$G$502,SUMPRODUCT((SCD_Data!$A$3:$A$502=B21)*(IFERROR(DATEVALUE(SCD_Data!$H$3:$H$502&amp;""),SCD_Data!$H$3:$H$502)&lt;=IFERROR(DATEVALUE(A21&amp;""),A21))*(IFERROR(DATEVALUE(SCD_Data!$I$3:$I$502&amp;""),SCD_Data!$I$3:$I$502)&gt;=IFERROR(DATEVALUE(A21&amp;""),A21))*(ROW(SCD_Data!$A$3:$A$502)-2))),"—"))</f>
        <v/>
      </c>
      <c r="M21" s="27" t="str">
        <f aca="false">IF(A21="","",IF(H21="—","—",IF(C21&amp;""=H21&amp;"","✓","✗")))</f>
        <v/>
      </c>
      <c r="N21" s="27" t="str">
        <f aca="false">IF(A21="","",IF(H21="—","—",IF(D21&amp;""=I21&amp;"","✓","✗")))</f>
        <v/>
      </c>
      <c r="O21" s="27" t="str">
        <f aca="false">IF(A21="","",IF(H21="—","—",IF(ABS(E21-J21)&lt;0.01,"✓","✗")))</f>
        <v/>
      </c>
      <c r="P21" s="27" t="str">
        <f aca="false">IF(A21="","",IF(H21="—","—",IF(F21&amp;""=K21&amp;"","✓","✗")))</f>
        <v/>
      </c>
      <c r="Q21" s="27" t="str">
        <f aca="false">IF(A21="","",IF(H21="—","—",IF(G21&amp;""=L21&amp;"","✓","✗")))</f>
        <v/>
      </c>
      <c r="R21" s="27" t="str">
        <f aca="false">IF(A21="","",IF(COUNTIF(M21:Q21,"—")=5,"⚠ NO SCD ROW",IF(COUNTIF(M21:Q21,"✗")&gt;0,"❌ MISMATCH","✅ MATCH")))</f>
        <v/>
      </c>
    </row>
    <row r="22" customFormat="false" ht="15" hidden="false" customHeight="true" outlineLevel="0" collapsed="false">
      <c r="A22" s="22" t="str">
        <f aca="false">IF(Daily_Data!A21="","",Daily_Data!A21)</f>
        <v/>
      </c>
      <c r="B22" s="23" t="str">
        <f aca="false">IF(Daily_Data!B21="","",Daily_Data!B21)</f>
        <v/>
      </c>
      <c r="C22" s="23" t="str">
        <f aca="false">IF(A22="","",Daily_Data!C21)</f>
        <v/>
      </c>
      <c r="D22" s="23" t="str">
        <f aca="false">IF(A22="","",Daily_Data!D21)</f>
        <v/>
      </c>
      <c r="E22" s="24" t="str">
        <f aca="false">IF(A22="","",Daily_Data!E21)</f>
        <v/>
      </c>
      <c r="F22" s="23" t="str">
        <f aca="false">IF(A22="","",Daily_Data!F21)</f>
        <v/>
      </c>
      <c r="G22" s="23" t="str">
        <f aca="false">IF(A22="","",Daily_Data!G21)</f>
        <v/>
      </c>
      <c r="H22" s="25" t="str">
        <f aca="false">IF(A22="","",IFERROR(INDEX(SCD_Data!$C$3:$C$502,SUMPRODUCT((SCD_Data!$A$3:$A$502=B22)*(IFERROR(DATEVALUE(SCD_Data!$H$3:$H$502&amp;""),SCD_Data!$H$3:$H$502)&lt;=IFERROR(DATEVALUE(A22&amp;""),A22))*(IFERROR(DATEVALUE(SCD_Data!$I$3:$I$502&amp;""),SCD_Data!$I$3:$I$502)&gt;=IFERROR(DATEVALUE(A22&amp;""),A22))*(ROW(SCD_Data!$A$3:$A$502)-2))),"—"))</f>
        <v/>
      </c>
      <c r="I22" s="25" t="str">
        <f aca="false">IF(A22="","",IFERROR(INDEX(SCD_Data!$D$3:$D$502,SUMPRODUCT((SCD_Data!$A$3:$A$502=B22)*(IFERROR(DATEVALUE(SCD_Data!$H$3:$H$502&amp;""),SCD_Data!$H$3:$H$502)&lt;=IFERROR(DATEVALUE(A22&amp;""),A22))*(IFERROR(DATEVALUE(SCD_Data!$I$3:$I$502&amp;""),SCD_Data!$I$3:$I$502)&gt;=IFERROR(DATEVALUE(A22&amp;""),A22))*(ROW(SCD_Data!$A$3:$A$502)-2))),"—"))</f>
        <v/>
      </c>
      <c r="J22" s="26" t="str">
        <f aca="false">IF(A22="","",IFERROR(INDEX(SCD_Data!$E$3:$E$502,SUMPRODUCT((SCD_Data!$A$3:$A$502=B22)*(IFERROR(DATEVALUE(SCD_Data!$H$3:$H$502&amp;""),SCD_Data!$H$3:$H$502)&lt;=IFERROR(DATEVALUE(A22&amp;""),A22))*(IFERROR(DATEVALUE(SCD_Data!$I$3:$I$502&amp;""),SCD_Data!$I$3:$I$502)&gt;=IFERROR(DATEVALUE(A22&amp;""),A22))*(ROW(SCD_Data!$A$3:$A$502)-2))),"—"))</f>
        <v/>
      </c>
      <c r="K22" s="25" t="str">
        <f aca="false">IF(A22="","",IFERROR(INDEX(SCD_Data!$F$3:$F$502,SUMPRODUCT((SCD_Data!$A$3:$A$502=B22)*(IFERROR(DATEVALUE(SCD_Data!$H$3:$H$502&amp;""),SCD_Data!$H$3:$H$502)&lt;=IFERROR(DATEVALUE(A22&amp;""),A22))*(IFERROR(DATEVALUE(SCD_Data!$I$3:$I$502&amp;""),SCD_Data!$I$3:$I$502)&gt;=IFERROR(DATEVALUE(A22&amp;""),A22))*(ROW(SCD_Data!$A$3:$A$502)-2))),"—"))</f>
        <v/>
      </c>
      <c r="L22" s="25" t="str">
        <f aca="false">IF(A22="","",IFERROR(INDEX(SCD_Data!$G$3:$G$502,SUMPRODUCT((SCD_Data!$A$3:$A$502=B22)*(IFERROR(DATEVALUE(SCD_Data!$H$3:$H$502&amp;""),SCD_Data!$H$3:$H$502)&lt;=IFERROR(DATEVALUE(A22&amp;""),A22))*(IFERROR(DATEVALUE(SCD_Data!$I$3:$I$502&amp;""),SCD_Data!$I$3:$I$502)&gt;=IFERROR(DATEVALUE(A22&amp;""),A22))*(ROW(SCD_Data!$A$3:$A$502)-2))),"—"))</f>
        <v/>
      </c>
      <c r="M22" s="27" t="str">
        <f aca="false">IF(A22="","",IF(H22="—","—",IF(C22&amp;""=H22&amp;"","✓","✗")))</f>
        <v/>
      </c>
      <c r="N22" s="27" t="str">
        <f aca="false">IF(A22="","",IF(H22="—","—",IF(D22&amp;""=I22&amp;"","✓","✗")))</f>
        <v/>
      </c>
      <c r="O22" s="27" t="str">
        <f aca="false">IF(A22="","",IF(H22="—","—",IF(ABS(E22-J22)&lt;0.01,"✓","✗")))</f>
        <v/>
      </c>
      <c r="P22" s="27" t="str">
        <f aca="false">IF(A22="","",IF(H22="—","—",IF(F22&amp;""=K22&amp;"","✓","✗")))</f>
        <v/>
      </c>
      <c r="Q22" s="27" t="str">
        <f aca="false">IF(A22="","",IF(H22="—","—",IF(G22&amp;""=L22&amp;"","✓","✗")))</f>
        <v/>
      </c>
      <c r="R22" s="27" t="str">
        <f aca="false">IF(A22="","",IF(COUNTIF(M22:Q22,"—")=5,"⚠ NO SCD ROW",IF(COUNTIF(M22:Q22,"✗")&gt;0,"❌ MISMATCH","✅ MATCH")))</f>
        <v/>
      </c>
    </row>
    <row r="23" customFormat="false" ht="15" hidden="false" customHeight="true" outlineLevel="0" collapsed="false">
      <c r="A23" s="22" t="str">
        <f aca="false">IF(Daily_Data!A22="","",Daily_Data!A22)</f>
        <v/>
      </c>
      <c r="B23" s="23" t="str">
        <f aca="false">IF(Daily_Data!B22="","",Daily_Data!B22)</f>
        <v/>
      </c>
      <c r="C23" s="23" t="str">
        <f aca="false">IF(A23="","",Daily_Data!C22)</f>
        <v/>
      </c>
      <c r="D23" s="23" t="str">
        <f aca="false">IF(A23="","",Daily_Data!D22)</f>
        <v/>
      </c>
      <c r="E23" s="24" t="str">
        <f aca="false">IF(A23="","",Daily_Data!E22)</f>
        <v/>
      </c>
      <c r="F23" s="23" t="str">
        <f aca="false">IF(A23="","",Daily_Data!F22)</f>
        <v/>
      </c>
      <c r="G23" s="23" t="str">
        <f aca="false">IF(A23="","",Daily_Data!G22)</f>
        <v/>
      </c>
      <c r="H23" s="25" t="str">
        <f aca="false">IF(A23="","",IFERROR(INDEX(SCD_Data!$C$3:$C$502,SUMPRODUCT((SCD_Data!$A$3:$A$502=B23)*(IFERROR(DATEVALUE(SCD_Data!$H$3:$H$502&amp;""),SCD_Data!$H$3:$H$502)&lt;=IFERROR(DATEVALUE(A23&amp;""),A23))*(IFERROR(DATEVALUE(SCD_Data!$I$3:$I$502&amp;""),SCD_Data!$I$3:$I$502)&gt;=IFERROR(DATEVALUE(A23&amp;""),A23))*(ROW(SCD_Data!$A$3:$A$502)-2))),"—"))</f>
        <v/>
      </c>
      <c r="I23" s="25" t="str">
        <f aca="false">IF(A23="","",IFERROR(INDEX(SCD_Data!$D$3:$D$502,SUMPRODUCT((SCD_Data!$A$3:$A$502=B23)*(IFERROR(DATEVALUE(SCD_Data!$H$3:$H$502&amp;""),SCD_Data!$H$3:$H$502)&lt;=IFERROR(DATEVALUE(A23&amp;""),A23))*(IFERROR(DATEVALUE(SCD_Data!$I$3:$I$502&amp;""),SCD_Data!$I$3:$I$502)&gt;=IFERROR(DATEVALUE(A23&amp;""),A23))*(ROW(SCD_Data!$A$3:$A$502)-2))),"—"))</f>
        <v/>
      </c>
      <c r="J23" s="26" t="str">
        <f aca="false">IF(A23="","",IFERROR(INDEX(SCD_Data!$E$3:$E$502,SUMPRODUCT((SCD_Data!$A$3:$A$502=B23)*(IFERROR(DATEVALUE(SCD_Data!$H$3:$H$502&amp;""),SCD_Data!$H$3:$H$502)&lt;=IFERROR(DATEVALUE(A23&amp;""),A23))*(IFERROR(DATEVALUE(SCD_Data!$I$3:$I$502&amp;""),SCD_Data!$I$3:$I$502)&gt;=IFERROR(DATEVALUE(A23&amp;""),A23))*(ROW(SCD_Data!$A$3:$A$502)-2))),"—"))</f>
        <v/>
      </c>
      <c r="K23" s="25" t="str">
        <f aca="false">IF(A23="","",IFERROR(INDEX(SCD_Data!$F$3:$F$502,SUMPRODUCT((SCD_Data!$A$3:$A$502=B23)*(IFERROR(DATEVALUE(SCD_Data!$H$3:$H$502&amp;""),SCD_Data!$H$3:$H$502)&lt;=IFERROR(DATEVALUE(A23&amp;""),A23))*(IFERROR(DATEVALUE(SCD_Data!$I$3:$I$502&amp;""),SCD_Data!$I$3:$I$502)&gt;=IFERROR(DATEVALUE(A23&amp;""),A23))*(ROW(SCD_Data!$A$3:$A$502)-2))),"—"))</f>
        <v/>
      </c>
      <c r="L23" s="25" t="str">
        <f aca="false">IF(A23="","",IFERROR(INDEX(SCD_Data!$G$3:$G$502,SUMPRODUCT((SCD_Data!$A$3:$A$502=B23)*(IFERROR(DATEVALUE(SCD_Data!$H$3:$H$502&amp;""),SCD_Data!$H$3:$H$502)&lt;=IFERROR(DATEVALUE(A23&amp;""),A23))*(IFERROR(DATEVALUE(SCD_Data!$I$3:$I$502&amp;""),SCD_Data!$I$3:$I$502)&gt;=IFERROR(DATEVALUE(A23&amp;""),A23))*(ROW(SCD_Data!$A$3:$A$502)-2))),"—"))</f>
        <v/>
      </c>
      <c r="M23" s="27" t="str">
        <f aca="false">IF(A23="","",IF(H23="—","—",IF(C23&amp;""=H23&amp;"","✓","✗")))</f>
        <v/>
      </c>
      <c r="N23" s="27" t="str">
        <f aca="false">IF(A23="","",IF(H23="—","—",IF(D23&amp;""=I23&amp;"","✓","✗")))</f>
        <v/>
      </c>
      <c r="O23" s="27" t="str">
        <f aca="false">IF(A23="","",IF(H23="—","—",IF(ABS(E23-J23)&lt;0.01,"✓","✗")))</f>
        <v/>
      </c>
      <c r="P23" s="27" t="str">
        <f aca="false">IF(A23="","",IF(H23="—","—",IF(F23&amp;""=K23&amp;"","✓","✗")))</f>
        <v/>
      </c>
      <c r="Q23" s="27" t="str">
        <f aca="false">IF(A23="","",IF(H23="—","—",IF(G23&amp;""=L23&amp;"","✓","✗")))</f>
        <v/>
      </c>
      <c r="R23" s="27" t="str">
        <f aca="false">IF(A23="","",IF(COUNTIF(M23:Q23,"—")=5,"⚠ NO SCD ROW",IF(COUNTIF(M23:Q23,"✗")&gt;0,"❌ MISMATCH","✅ MATCH")))</f>
        <v/>
      </c>
    </row>
    <row r="24" customFormat="false" ht="15" hidden="false" customHeight="true" outlineLevel="0" collapsed="false">
      <c r="A24" s="22" t="str">
        <f aca="false">IF(Daily_Data!A23="","",Daily_Data!A23)</f>
        <v/>
      </c>
      <c r="B24" s="23" t="str">
        <f aca="false">IF(Daily_Data!B23="","",Daily_Data!B23)</f>
        <v/>
      </c>
      <c r="C24" s="23" t="str">
        <f aca="false">IF(A24="","",Daily_Data!C23)</f>
        <v/>
      </c>
      <c r="D24" s="23" t="str">
        <f aca="false">IF(A24="","",Daily_Data!D23)</f>
        <v/>
      </c>
      <c r="E24" s="24" t="str">
        <f aca="false">IF(A24="","",Daily_Data!E23)</f>
        <v/>
      </c>
      <c r="F24" s="23" t="str">
        <f aca="false">IF(A24="","",Daily_Data!F23)</f>
        <v/>
      </c>
      <c r="G24" s="23" t="str">
        <f aca="false">IF(A24="","",Daily_Data!G23)</f>
        <v/>
      </c>
      <c r="H24" s="25" t="str">
        <f aca="false">IF(A24="","",IFERROR(INDEX(SCD_Data!$C$3:$C$502,SUMPRODUCT((SCD_Data!$A$3:$A$502=B24)*(IFERROR(DATEVALUE(SCD_Data!$H$3:$H$502&amp;""),SCD_Data!$H$3:$H$502)&lt;=IFERROR(DATEVALUE(A24&amp;""),A24))*(IFERROR(DATEVALUE(SCD_Data!$I$3:$I$502&amp;""),SCD_Data!$I$3:$I$502)&gt;=IFERROR(DATEVALUE(A24&amp;""),A24))*(ROW(SCD_Data!$A$3:$A$502)-2))),"—"))</f>
        <v/>
      </c>
      <c r="I24" s="25" t="str">
        <f aca="false">IF(A24="","",IFERROR(INDEX(SCD_Data!$D$3:$D$502,SUMPRODUCT((SCD_Data!$A$3:$A$502=B24)*(IFERROR(DATEVALUE(SCD_Data!$H$3:$H$502&amp;""),SCD_Data!$H$3:$H$502)&lt;=IFERROR(DATEVALUE(A24&amp;""),A24))*(IFERROR(DATEVALUE(SCD_Data!$I$3:$I$502&amp;""),SCD_Data!$I$3:$I$502)&gt;=IFERROR(DATEVALUE(A24&amp;""),A24))*(ROW(SCD_Data!$A$3:$A$502)-2))),"—"))</f>
        <v/>
      </c>
      <c r="J24" s="26" t="str">
        <f aca="false">IF(A24="","",IFERROR(INDEX(SCD_Data!$E$3:$E$502,SUMPRODUCT((SCD_Data!$A$3:$A$502=B24)*(IFERROR(DATEVALUE(SCD_Data!$H$3:$H$502&amp;""),SCD_Data!$H$3:$H$502)&lt;=IFERROR(DATEVALUE(A24&amp;""),A24))*(IFERROR(DATEVALUE(SCD_Data!$I$3:$I$502&amp;""),SCD_Data!$I$3:$I$502)&gt;=IFERROR(DATEVALUE(A24&amp;""),A24))*(ROW(SCD_Data!$A$3:$A$502)-2))),"—"))</f>
        <v/>
      </c>
      <c r="K24" s="25" t="str">
        <f aca="false">IF(A24="","",IFERROR(INDEX(SCD_Data!$F$3:$F$502,SUMPRODUCT((SCD_Data!$A$3:$A$502=B24)*(IFERROR(DATEVALUE(SCD_Data!$H$3:$H$502&amp;""),SCD_Data!$H$3:$H$502)&lt;=IFERROR(DATEVALUE(A24&amp;""),A24))*(IFERROR(DATEVALUE(SCD_Data!$I$3:$I$502&amp;""),SCD_Data!$I$3:$I$502)&gt;=IFERROR(DATEVALUE(A24&amp;""),A24))*(ROW(SCD_Data!$A$3:$A$502)-2))),"—"))</f>
        <v/>
      </c>
      <c r="L24" s="25" t="str">
        <f aca="false">IF(A24="","",IFERROR(INDEX(SCD_Data!$G$3:$G$502,SUMPRODUCT((SCD_Data!$A$3:$A$502=B24)*(IFERROR(DATEVALUE(SCD_Data!$H$3:$H$502&amp;""),SCD_Data!$H$3:$H$502)&lt;=IFERROR(DATEVALUE(A24&amp;""),A24))*(IFERROR(DATEVALUE(SCD_Data!$I$3:$I$502&amp;""),SCD_Data!$I$3:$I$502)&gt;=IFERROR(DATEVALUE(A24&amp;""),A24))*(ROW(SCD_Data!$A$3:$A$502)-2))),"—"))</f>
        <v/>
      </c>
      <c r="M24" s="27" t="str">
        <f aca="false">IF(A24="","",IF(H24="—","—",IF(C24&amp;""=H24&amp;"","✓","✗")))</f>
        <v/>
      </c>
      <c r="N24" s="27" t="str">
        <f aca="false">IF(A24="","",IF(H24="—","—",IF(D24&amp;""=I24&amp;"","✓","✗")))</f>
        <v/>
      </c>
      <c r="O24" s="27" t="str">
        <f aca="false">IF(A24="","",IF(H24="—","—",IF(ABS(E24-J24)&lt;0.01,"✓","✗")))</f>
        <v/>
      </c>
      <c r="P24" s="27" t="str">
        <f aca="false">IF(A24="","",IF(H24="—","—",IF(F24&amp;""=K24&amp;"","✓","✗")))</f>
        <v/>
      </c>
      <c r="Q24" s="27" t="str">
        <f aca="false">IF(A24="","",IF(H24="—","—",IF(G24&amp;""=L24&amp;"","✓","✗")))</f>
        <v/>
      </c>
      <c r="R24" s="27" t="str">
        <f aca="false">IF(A24="","",IF(COUNTIF(M24:Q24,"—")=5,"⚠ NO SCD ROW",IF(COUNTIF(M24:Q24,"✗")&gt;0,"❌ MISMATCH","✅ MATCH")))</f>
        <v/>
      </c>
    </row>
    <row r="25" customFormat="false" ht="15" hidden="false" customHeight="true" outlineLevel="0" collapsed="false">
      <c r="A25" s="22" t="str">
        <f aca="false">IF(Daily_Data!A24="","",Daily_Data!A24)</f>
        <v/>
      </c>
      <c r="B25" s="23" t="str">
        <f aca="false">IF(Daily_Data!B24="","",Daily_Data!B24)</f>
        <v/>
      </c>
      <c r="C25" s="23" t="str">
        <f aca="false">IF(A25="","",Daily_Data!C24)</f>
        <v/>
      </c>
      <c r="D25" s="23" t="str">
        <f aca="false">IF(A25="","",Daily_Data!D24)</f>
        <v/>
      </c>
      <c r="E25" s="24" t="str">
        <f aca="false">IF(A25="","",Daily_Data!E24)</f>
        <v/>
      </c>
      <c r="F25" s="23" t="str">
        <f aca="false">IF(A25="","",Daily_Data!F24)</f>
        <v/>
      </c>
      <c r="G25" s="23" t="str">
        <f aca="false">IF(A25="","",Daily_Data!G24)</f>
        <v/>
      </c>
      <c r="H25" s="25" t="str">
        <f aca="false">IF(A25="","",IFERROR(INDEX(SCD_Data!$C$3:$C$502,SUMPRODUCT((SCD_Data!$A$3:$A$502=B25)*(IFERROR(DATEVALUE(SCD_Data!$H$3:$H$502&amp;""),SCD_Data!$H$3:$H$502)&lt;=IFERROR(DATEVALUE(A25&amp;""),A25))*(IFERROR(DATEVALUE(SCD_Data!$I$3:$I$502&amp;""),SCD_Data!$I$3:$I$502)&gt;=IFERROR(DATEVALUE(A25&amp;""),A25))*(ROW(SCD_Data!$A$3:$A$502)-2))),"—"))</f>
        <v/>
      </c>
      <c r="I25" s="25" t="str">
        <f aca="false">IF(A25="","",IFERROR(INDEX(SCD_Data!$D$3:$D$502,SUMPRODUCT((SCD_Data!$A$3:$A$502=B25)*(IFERROR(DATEVALUE(SCD_Data!$H$3:$H$502&amp;""),SCD_Data!$H$3:$H$502)&lt;=IFERROR(DATEVALUE(A25&amp;""),A25))*(IFERROR(DATEVALUE(SCD_Data!$I$3:$I$502&amp;""),SCD_Data!$I$3:$I$502)&gt;=IFERROR(DATEVALUE(A25&amp;""),A25))*(ROW(SCD_Data!$A$3:$A$502)-2))),"—"))</f>
        <v/>
      </c>
      <c r="J25" s="26" t="str">
        <f aca="false">IF(A25="","",IFERROR(INDEX(SCD_Data!$E$3:$E$502,SUMPRODUCT((SCD_Data!$A$3:$A$502=B25)*(IFERROR(DATEVALUE(SCD_Data!$H$3:$H$502&amp;""),SCD_Data!$H$3:$H$502)&lt;=IFERROR(DATEVALUE(A25&amp;""),A25))*(IFERROR(DATEVALUE(SCD_Data!$I$3:$I$502&amp;""),SCD_Data!$I$3:$I$502)&gt;=IFERROR(DATEVALUE(A25&amp;""),A25))*(ROW(SCD_Data!$A$3:$A$502)-2))),"—"))</f>
        <v/>
      </c>
      <c r="K25" s="25" t="str">
        <f aca="false">IF(A25="","",IFERROR(INDEX(SCD_Data!$F$3:$F$502,SUMPRODUCT((SCD_Data!$A$3:$A$502=B25)*(IFERROR(DATEVALUE(SCD_Data!$H$3:$H$502&amp;""),SCD_Data!$H$3:$H$502)&lt;=IFERROR(DATEVALUE(A25&amp;""),A25))*(IFERROR(DATEVALUE(SCD_Data!$I$3:$I$502&amp;""),SCD_Data!$I$3:$I$502)&gt;=IFERROR(DATEVALUE(A25&amp;""),A25))*(ROW(SCD_Data!$A$3:$A$502)-2))),"—"))</f>
        <v/>
      </c>
      <c r="L25" s="25" t="str">
        <f aca="false">IF(A25="","",IFERROR(INDEX(SCD_Data!$G$3:$G$502,SUMPRODUCT((SCD_Data!$A$3:$A$502=B25)*(IFERROR(DATEVALUE(SCD_Data!$H$3:$H$502&amp;""),SCD_Data!$H$3:$H$502)&lt;=IFERROR(DATEVALUE(A25&amp;""),A25))*(IFERROR(DATEVALUE(SCD_Data!$I$3:$I$502&amp;""),SCD_Data!$I$3:$I$502)&gt;=IFERROR(DATEVALUE(A25&amp;""),A25))*(ROW(SCD_Data!$A$3:$A$502)-2))),"—"))</f>
        <v/>
      </c>
      <c r="M25" s="27" t="str">
        <f aca="false">IF(A25="","",IF(H25="—","—",IF(C25&amp;""=H25&amp;"","✓","✗")))</f>
        <v/>
      </c>
      <c r="N25" s="27" t="str">
        <f aca="false">IF(A25="","",IF(H25="—","—",IF(D25&amp;""=I25&amp;"","✓","✗")))</f>
        <v/>
      </c>
      <c r="O25" s="27" t="str">
        <f aca="false">IF(A25="","",IF(H25="—","—",IF(ABS(E25-J25)&lt;0.01,"✓","✗")))</f>
        <v/>
      </c>
      <c r="P25" s="27" t="str">
        <f aca="false">IF(A25="","",IF(H25="—","—",IF(F25&amp;""=K25&amp;"","✓","✗")))</f>
        <v/>
      </c>
      <c r="Q25" s="27" t="str">
        <f aca="false">IF(A25="","",IF(H25="—","—",IF(G25&amp;""=L25&amp;"","✓","✗")))</f>
        <v/>
      </c>
      <c r="R25" s="27" t="str">
        <f aca="false">IF(A25="","",IF(COUNTIF(M25:Q25,"—")=5,"⚠ NO SCD ROW",IF(COUNTIF(M25:Q25,"✗")&gt;0,"❌ MISMATCH","✅ MATCH")))</f>
        <v/>
      </c>
    </row>
    <row r="26" customFormat="false" ht="15" hidden="false" customHeight="true" outlineLevel="0" collapsed="false">
      <c r="A26" s="22" t="str">
        <f aca="false">IF(Daily_Data!A25="","",Daily_Data!A25)</f>
        <v/>
      </c>
      <c r="B26" s="23" t="str">
        <f aca="false">IF(Daily_Data!B25="","",Daily_Data!B25)</f>
        <v/>
      </c>
      <c r="C26" s="23" t="str">
        <f aca="false">IF(A26="","",Daily_Data!C25)</f>
        <v/>
      </c>
      <c r="D26" s="23" t="str">
        <f aca="false">IF(A26="","",Daily_Data!D25)</f>
        <v/>
      </c>
      <c r="E26" s="24" t="str">
        <f aca="false">IF(A26="","",Daily_Data!E25)</f>
        <v/>
      </c>
      <c r="F26" s="23" t="str">
        <f aca="false">IF(A26="","",Daily_Data!F25)</f>
        <v/>
      </c>
      <c r="G26" s="23" t="str">
        <f aca="false">IF(A26="","",Daily_Data!G25)</f>
        <v/>
      </c>
      <c r="H26" s="25" t="str">
        <f aca="false">IF(A26="","",IFERROR(INDEX(SCD_Data!$C$3:$C$502,SUMPRODUCT((SCD_Data!$A$3:$A$502=B26)*(IFERROR(DATEVALUE(SCD_Data!$H$3:$H$502&amp;""),SCD_Data!$H$3:$H$502)&lt;=IFERROR(DATEVALUE(A26&amp;""),A26))*(IFERROR(DATEVALUE(SCD_Data!$I$3:$I$502&amp;""),SCD_Data!$I$3:$I$502)&gt;=IFERROR(DATEVALUE(A26&amp;""),A26))*(ROW(SCD_Data!$A$3:$A$502)-2))),"—"))</f>
        <v/>
      </c>
      <c r="I26" s="25" t="str">
        <f aca="false">IF(A26="","",IFERROR(INDEX(SCD_Data!$D$3:$D$502,SUMPRODUCT((SCD_Data!$A$3:$A$502=B26)*(IFERROR(DATEVALUE(SCD_Data!$H$3:$H$502&amp;""),SCD_Data!$H$3:$H$502)&lt;=IFERROR(DATEVALUE(A26&amp;""),A26))*(IFERROR(DATEVALUE(SCD_Data!$I$3:$I$502&amp;""),SCD_Data!$I$3:$I$502)&gt;=IFERROR(DATEVALUE(A26&amp;""),A26))*(ROW(SCD_Data!$A$3:$A$502)-2))),"—"))</f>
        <v/>
      </c>
      <c r="J26" s="26" t="str">
        <f aca="false">IF(A26="","",IFERROR(INDEX(SCD_Data!$E$3:$E$502,SUMPRODUCT((SCD_Data!$A$3:$A$502=B26)*(IFERROR(DATEVALUE(SCD_Data!$H$3:$H$502&amp;""),SCD_Data!$H$3:$H$502)&lt;=IFERROR(DATEVALUE(A26&amp;""),A26))*(IFERROR(DATEVALUE(SCD_Data!$I$3:$I$502&amp;""),SCD_Data!$I$3:$I$502)&gt;=IFERROR(DATEVALUE(A26&amp;""),A26))*(ROW(SCD_Data!$A$3:$A$502)-2))),"—"))</f>
        <v/>
      </c>
      <c r="K26" s="25" t="str">
        <f aca="false">IF(A26="","",IFERROR(INDEX(SCD_Data!$F$3:$F$502,SUMPRODUCT((SCD_Data!$A$3:$A$502=B26)*(IFERROR(DATEVALUE(SCD_Data!$H$3:$H$502&amp;""),SCD_Data!$H$3:$H$502)&lt;=IFERROR(DATEVALUE(A26&amp;""),A26))*(IFERROR(DATEVALUE(SCD_Data!$I$3:$I$502&amp;""),SCD_Data!$I$3:$I$502)&gt;=IFERROR(DATEVALUE(A26&amp;""),A26))*(ROW(SCD_Data!$A$3:$A$502)-2))),"—"))</f>
        <v/>
      </c>
      <c r="L26" s="25" t="str">
        <f aca="false">IF(A26="","",IFERROR(INDEX(SCD_Data!$G$3:$G$502,SUMPRODUCT((SCD_Data!$A$3:$A$502=B26)*(IFERROR(DATEVALUE(SCD_Data!$H$3:$H$502&amp;""),SCD_Data!$H$3:$H$502)&lt;=IFERROR(DATEVALUE(A26&amp;""),A26))*(IFERROR(DATEVALUE(SCD_Data!$I$3:$I$502&amp;""),SCD_Data!$I$3:$I$502)&gt;=IFERROR(DATEVALUE(A26&amp;""),A26))*(ROW(SCD_Data!$A$3:$A$502)-2))),"—"))</f>
        <v/>
      </c>
      <c r="M26" s="27" t="str">
        <f aca="false">IF(A26="","",IF(H26="—","—",IF(C26&amp;""=H26&amp;"","✓","✗")))</f>
        <v/>
      </c>
      <c r="N26" s="27" t="str">
        <f aca="false">IF(A26="","",IF(H26="—","—",IF(D26&amp;""=I26&amp;"","✓","✗")))</f>
        <v/>
      </c>
      <c r="O26" s="27" t="str">
        <f aca="false">IF(A26="","",IF(H26="—","—",IF(ABS(E26-J26)&lt;0.01,"✓","✗")))</f>
        <v/>
      </c>
      <c r="P26" s="27" t="str">
        <f aca="false">IF(A26="","",IF(H26="—","—",IF(F26&amp;""=K26&amp;"","✓","✗")))</f>
        <v/>
      </c>
      <c r="Q26" s="27" t="str">
        <f aca="false">IF(A26="","",IF(H26="—","—",IF(G26&amp;""=L26&amp;"","✓","✗")))</f>
        <v/>
      </c>
      <c r="R26" s="27" t="str">
        <f aca="false">IF(A26="","",IF(COUNTIF(M26:Q26,"—")=5,"⚠ NO SCD ROW",IF(COUNTIF(M26:Q26,"✗")&gt;0,"❌ MISMATCH","✅ MATCH")))</f>
        <v/>
      </c>
    </row>
    <row r="27" customFormat="false" ht="15" hidden="false" customHeight="true" outlineLevel="0" collapsed="false">
      <c r="A27" s="22" t="str">
        <f aca="false">IF(Daily_Data!A26="","",Daily_Data!A26)</f>
        <v/>
      </c>
      <c r="B27" s="23" t="str">
        <f aca="false">IF(Daily_Data!B26="","",Daily_Data!B26)</f>
        <v/>
      </c>
      <c r="C27" s="23" t="str">
        <f aca="false">IF(A27="","",Daily_Data!C26)</f>
        <v/>
      </c>
      <c r="D27" s="23" t="str">
        <f aca="false">IF(A27="","",Daily_Data!D26)</f>
        <v/>
      </c>
      <c r="E27" s="24" t="str">
        <f aca="false">IF(A27="","",Daily_Data!E26)</f>
        <v/>
      </c>
      <c r="F27" s="23" t="str">
        <f aca="false">IF(A27="","",Daily_Data!F26)</f>
        <v/>
      </c>
      <c r="G27" s="23" t="str">
        <f aca="false">IF(A27="","",Daily_Data!G26)</f>
        <v/>
      </c>
      <c r="H27" s="25" t="str">
        <f aca="false">IF(A27="","",IFERROR(INDEX(SCD_Data!$C$3:$C$502,SUMPRODUCT((SCD_Data!$A$3:$A$502=B27)*(IFERROR(DATEVALUE(SCD_Data!$H$3:$H$502&amp;""),SCD_Data!$H$3:$H$502)&lt;=IFERROR(DATEVALUE(A27&amp;""),A27))*(IFERROR(DATEVALUE(SCD_Data!$I$3:$I$502&amp;""),SCD_Data!$I$3:$I$502)&gt;=IFERROR(DATEVALUE(A27&amp;""),A27))*(ROW(SCD_Data!$A$3:$A$502)-2))),"—"))</f>
        <v/>
      </c>
      <c r="I27" s="25" t="str">
        <f aca="false">IF(A27="","",IFERROR(INDEX(SCD_Data!$D$3:$D$502,SUMPRODUCT((SCD_Data!$A$3:$A$502=B27)*(IFERROR(DATEVALUE(SCD_Data!$H$3:$H$502&amp;""),SCD_Data!$H$3:$H$502)&lt;=IFERROR(DATEVALUE(A27&amp;""),A27))*(IFERROR(DATEVALUE(SCD_Data!$I$3:$I$502&amp;""),SCD_Data!$I$3:$I$502)&gt;=IFERROR(DATEVALUE(A27&amp;""),A27))*(ROW(SCD_Data!$A$3:$A$502)-2))),"—"))</f>
        <v/>
      </c>
      <c r="J27" s="26" t="str">
        <f aca="false">IF(A27="","",IFERROR(INDEX(SCD_Data!$E$3:$E$502,SUMPRODUCT((SCD_Data!$A$3:$A$502=B27)*(IFERROR(DATEVALUE(SCD_Data!$H$3:$H$502&amp;""),SCD_Data!$H$3:$H$502)&lt;=IFERROR(DATEVALUE(A27&amp;""),A27))*(IFERROR(DATEVALUE(SCD_Data!$I$3:$I$502&amp;""),SCD_Data!$I$3:$I$502)&gt;=IFERROR(DATEVALUE(A27&amp;""),A27))*(ROW(SCD_Data!$A$3:$A$502)-2))),"—"))</f>
        <v/>
      </c>
      <c r="K27" s="25" t="str">
        <f aca="false">IF(A27="","",IFERROR(INDEX(SCD_Data!$F$3:$F$502,SUMPRODUCT((SCD_Data!$A$3:$A$502=B27)*(IFERROR(DATEVALUE(SCD_Data!$H$3:$H$502&amp;""),SCD_Data!$H$3:$H$502)&lt;=IFERROR(DATEVALUE(A27&amp;""),A27))*(IFERROR(DATEVALUE(SCD_Data!$I$3:$I$502&amp;""),SCD_Data!$I$3:$I$502)&gt;=IFERROR(DATEVALUE(A27&amp;""),A27))*(ROW(SCD_Data!$A$3:$A$502)-2))),"—"))</f>
        <v/>
      </c>
      <c r="L27" s="25" t="str">
        <f aca="false">IF(A27="","",IFERROR(INDEX(SCD_Data!$G$3:$G$502,SUMPRODUCT((SCD_Data!$A$3:$A$502=B27)*(IFERROR(DATEVALUE(SCD_Data!$H$3:$H$502&amp;""),SCD_Data!$H$3:$H$502)&lt;=IFERROR(DATEVALUE(A27&amp;""),A27))*(IFERROR(DATEVALUE(SCD_Data!$I$3:$I$502&amp;""),SCD_Data!$I$3:$I$502)&gt;=IFERROR(DATEVALUE(A27&amp;""),A27))*(ROW(SCD_Data!$A$3:$A$502)-2))),"—"))</f>
        <v/>
      </c>
      <c r="M27" s="27" t="str">
        <f aca="false">IF(A27="","",IF(H27="—","—",IF(C27&amp;""=H27&amp;"","✓","✗")))</f>
        <v/>
      </c>
      <c r="N27" s="27" t="str">
        <f aca="false">IF(A27="","",IF(H27="—","—",IF(D27&amp;""=I27&amp;"","✓","✗")))</f>
        <v/>
      </c>
      <c r="O27" s="27" t="str">
        <f aca="false">IF(A27="","",IF(H27="—","—",IF(ABS(E27-J27)&lt;0.01,"✓","✗")))</f>
        <v/>
      </c>
      <c r="P27" s="27" t="str">
        <f aca="false">IF(A27="","",IF(H27="—","—",IF(F27&amp;""=K27&amp;"","✓","✗")))</f>
        <v/>
      </c>
      <c r="Q27" s="27" t="str">
        <f aca="false">IF(A27="","",IF(H27="—","—",IF(G27&amp;""=L27&amp;"","✓","✗")))</f>
        <v/>
      </c>
      <c r="R27" s="27" t="str">
        <f aca="false">IF(A27="","",IF(COUNTIF(M27:Q27,"—")=5,"⚠ NO SCD ROW",IF(COUNTIF(M27:Q27,"✗")&gt;0,"❌ MISMATCH","✅ MATCH")))</f>
        <v/>
      </c>
    </row>
    <row r="28" customFormat="false" ht="15" hidden="false" customHeight="true" outlineLevel="0" collapsed="false">
      <c r="A28" s="22" t="str">
        <f aca="false">IF(Daily_Data!A27="","",Daily_Data!A27)</f>
        <v/>
      </c>
      <c r="B28" s="23" t="str">
        <f aca="false">IF(Daily_Data!B27="","",Daily_Data!B27)</f>
        <v/>
      </c>
      <c r="C28" s="23" t="str">
        <f aca="false">IF(A28="","",Daily_Data!C27)</f>
        <v/>
      </c>
      <c r="D28" s="23" t="str">
        <f aca="false">IF(A28="","",Daily_Data!D27)</f>
        <v/>
      </c>
      <c r="E28" s="24" t="str">
        <f aca="false">IF(A28="","",Daily_Data!E27)</f>
        <v/>
      </c>
      <c r="F28" s="23" t="str">
        <f aca="false">IF(A28="","",Daily_Data!F27)</f>
        <v/>
      </c>
      <c r="G28" s="23" t="str">
        <f aca="false">IF(A28="","",Daily_Data!G27)</f>
        <v/>
      </c>
      <c r="H28" s="25" t="str">
        <f aca="false">IF(A28="","",IFERROR(INDEX(SCD_Data!$C$3:$C$502,SUMPRODUCT((SCD_Data!$A$3:$A$502=B28)*(IFERROR(DATEVALUE(SCD_Data!$H$3:$H$502&amp;""),SCD_Data!$H$3:$H$502)&lt;=IFERROR(DATEVALUE(A28&amp;""),A28))*(IFERROR(DATEVALUE(SCD_Data!$I$3:$I$502&amp;""),SCD_Data!$I$3:$I$502)&gt;=IFERROR(DATEVALUE(A28&amp;""),A28))*(ROW(SCD_Data!$A$3:$A$502)-2))),"—"))</f>
        <v/>
      </c>
      <c r="I28" s="25" t="str">
        <f aca="false">IF(A28="","",IFERROR(INDEX(SCD_Data!$D$3:$D$502,SUMPRODUCT((SCD_Data!$A$3:$A$502=B28)*(IFERROR(DATEVALUE(SCD_Data!$H$3:$H$502&amp;""),SCD_Data!$H$3:$H$502)&lt;=IFERROR(DATEVALUE(A28&amp;""),A28))*(IFERROR(DATEVALUE(SCD_Data!$I$3:$I$502&amp;""),SCD_Data!$I$3:$I$502)&gt;=IFERROR(DATEVALUE(A28&amp;""),A28))*(ROW(SCD_Data!$A$3:$A$502)-2))),"—"))</f>
        <v/>
      </c>
      <c r="J28" s="26" t="str">
        <f aca="false">IF(A28="","",IFERROR(INDEX(SCD_Data!$E$3:$E$502,SUMPRODUCT((SCD_Data!$A$3:$A$502=B28)*(IFERROR(DATEVALUE(SCD_Data!$H$3:$H$502&amp;""),SCD_Data!$H$3:$H$502)&lt;=IFERROR(DATEVALUE(A28&amp;""),A28))*(IFERROR(DATEVALUE(SCD_Data!$I$3:$I$502&amp;""),SCD_Data!$I$3:$I$502)&gt;=IFERROR(DATEVALUE(A28&amp;""),A28))*(ROW(SCD_Data!$A$3:$A$502)-2))),"—"))</f>
        <v/>
      </c>
      <c r="K28" s="25" t="str">
        <f aca="false">IF(A28="","",IFERROR(INDEX(SCD_Data!$F$3:$F$502,SUMPRODUCT((SCD_Data!$A$3:$A$502=B28)*(IFERROR(DATEVALUE(SCD_Data!$H$3:$H$502&amp;""),SCD_Data!$H$3:$H$502)&lt;=IFERROR(DATEVALUE(A28&amp;""),A28))*(IFERROR(DATEVALUE(SCD_Data!$I$3:$I$502&amp;""),SCD_Data!$I$3:$I$502)&gt;=IFERROR(DATEVALUE(A28&amp;""),A28))*(ROW(SCD_Data!$A$3:$A$502)-2))),"—"))</f>
        <v/>
      </c>
      <c r="L28" s="25" t="str">
        <f aca="false">IF(A28="","",IFERROR(INDEX(SCD_Data!$G$3:$G$502,SUMPRODUCT((SCD_Data!$A$3:$A$502=B28)*(IFERROR(DATEVALUE(SCD_Data!$H$3:$H$502&amp;""),SCD_Data!$H$3:$H$502)&lt;=IFERROR(DATEVALUE(A28&amp;""),A28))*(IFERROR(DATEVALUE(SCD_Data!$I$3:$I$502&amp;""),SCD_Data!$I$3:$I$502)&gt;=IFERROR(DATEVALUE(A28&amp;""),A28))*(ROW(SCD_Data!$A$3:$A$502)-2))),"—"))</f>
        <v/>
      </c>
      <c r="M28" s="27" t="str">
        <f aca="false">IF(A28="","",IF(H28="—","—",IF(C28&amp;""=H28&amp;"","✓","✗")))</f>
        <v/>
      </c>
      <c r="N28" s="27" t="str">
        <f aca="false">IF(A28="","",IF(H28="—","—",IF(D28&amp;""=I28&amp;"","✓","✗")))</f>
        <v/>
      </c>
      <c r="O28" s="27" t="str">
        <f aca="false">IF(A28="","",IF(H28="—","—",IF(ABS(E28-J28)&lt;0.01,"✓","✗")))</f>
        <v/>
      </c>
      <c r="P28" s="27" t="str">
        <f aca="false">IF(A28="","",IF(H28="—","—",IF(F28&amp;""=K28&amp;"","✓","✗")))</f>
        <v/>
      </c>
      <c r="Q28" s="27" t="str">
        <f aca="false">IF(A28="","",IF(H28="—","—",IF(G28&amp;""=L28&amp;"","✓","✗")))</f>
        <v/>
      </c>
      <c r="R28" s="27" t="str">
        <f aca="false">IF(A28="","",IF(COUNTIF(M28:Q28,"—")=5,"⚠ NO SCD ROW",IF(COUNTIF(M28:Q28,"✗")&gt;0,"❌ MISMATCH","✅ MATCH")))</f>
        <v/>
      </c>
    </row>
    <row r="29" customFormat="false" ht="15" hidden="false" customHeight="true" outlineLevel="0" collapsed="false">
      <c r="A29" s="22" t="str">
        <f aca="false">IF(Daily_Data!A28="","",Daily_Data!A28)</f>
        <v/>
      </c>
      <c r="B29" s="23" t="str">
        <f aca="false">IF(Daily_Data!B28="","",Daily_Data!B28)</f>
        <v/>
      </c>
      <c r="C29" s="23" t="str">
        <f aca="false">IF(A29="","",Daily_Data!C28)</f>
        <v/>
      </c>
      <c r="D29" s="23" t="str">
        <f aca="false">IF(A29="","",Daily_Data!D28)</f>
        <v/>
      </c>
      <c r="E29" s="24" t="str">
        <f aca="false">IF(A29="","",Daily_Data!E28)</f>
        <v/>
      </c>
      <c r="F29" s="23" t="str">
        <f aca="false">IF(A29="","",Daily_Data!F28)</f>
        <v/>
      </c>
      <c r="G29" s="23" t="str">
        <f aca="false">IF(A29="","",Daily_Data!G28)</f>
        <v/>
      </c>
      <c r="H29" s="25" t="str">
        <f aca="false">IF(A29="","",IFERROR(INDEX(SCD_Data!$C$3:$C$502,SUMPRODUCT((SCD_Data!$A$3:$A$502=B29)*(IFERROR(DATEVALUE(SCD_Data!$H$3:$H$502&amp;""),SCD_Data!$H$3:$H$502)&lt;=IFERROR(DATEVALUE(A29&amp;""),A29))*(IFERROR(DATEVALUE(SCD_Data!$I$3:$I$502&amp;""),SCD_Data!$I$3:$I$502)&gt;=IFERROR(DATEVALUE(A29&amp;""),A29))*(ROW(SCD_Data!$A$3:$A$502)-2))),"—"))</f>
        <v/>
      </c>
      <c r="I29" s="25" t="str">
        <f aca="false">IF(A29="","",IFERROR(INDEX(SCD_Data!$D$3:$D$502,SUMPRODUCT((SCD_Data!$A$3:$A$502=B29)*(IFERROR(DATEVALUE(SCD_Data!$H$3:$H$502&amp;""),SCD_Data!$H$3:$H$502)&lt;=IFERROR(DATEVALUE(A29&amp;""),A29))*(IFERROR(DATEVALUE(SCD_Data!$I$3:$I$502&amp;""),SCD_Data!$I$3:$I$502)&gt;=IFERROR(DATEVALUE(A29&amp;""),A29))*(ROW(SCD_Data!$A$3:$A$502)-2))),"—"))</f>
        <v/>
      </c>
      <c r="J29" s="26" t="str">
        <f aca="false">IF(A29="","",IFERROR(INDEX(SCD_Data!$E$3:$E$502,SUMPRODUCT((SCD_Data!$A$3:$A$502=B29)*(IFERROR(DATEVALUE(SCD_Data!$H$3:$H$502&amp;""),SCD_Data!$H$3:$H$502)&lt;=IFERROR(DATEVALUE(A29&amp;""),A29))*(IFERROR(DATEVALUE(SCD_Data!$I$3:$I$502&amp;""),SCD_Data!$I$3:$I$502)&gt;=IFERROR(DATEVALUE(A29&amp;""),A29))*(ROW(SCD_Data!$A$3:$A$502)-2))),"—"))</f>
        <v/>
      </c>
      <c r="K29" s="25" t="str">
        <f aca="false">IF(A29="","",IFERROR(INDEX(SCD_Data!$F$3:$F$502,SUMPRODUCT((SCD_Data!$A$3:$A$502=B29)*(IFERROR(DATEVALUE(SCD_Data!$H$3:$H$502&amp;""),SCD_Data!$H$3:$H$502)&lt;=IFERROR(DATEVALUE(A29&amp;""),A29))*(IFERROR(DATEVALUE(SCD_Data!$I$3:$I$502&amp;""),SCD_Data!$I$3:$I$502)&gt;=IFERROR(DATEVALUE(A29&amp;""),A29))*(ROW(SCD_Data!$A$3:$A$502)-2))),"—"))</f>
        <v/>
      </c>
      <c r="L29" s="25" t="str">
        <f aca="false">IF(A29="","",IFERROR(INDEX(SCD_Data!$G$3:$G$502,SUMPRODUCT((SCD_Data!$A$3:$A$502=B29)*(IFERROR(DATEVALUE(SCD_Data!$H$3:$H$502&amp;""),SCD_Data!$H$3:$H$502)&lt;=IFERROR(DATEVALUE(A29&amp;""),A29))*(IFERROR(DATEVALUE(SCD_Data!$I$3:$I$502&amp;""),SCD_Data!$I$3:$I$502)&gt;=IFERROR(DATEVALUE(A29&amp;""),A29))*(ROW(SCD_Data!$A$3:$A$502)-2))),"—"))</f>
        <v/>
      </c>
      <c r="M29" s="27" t="str">
        <f aca="false">IF(A29="","",IF(H29="—","—",IF(C29&amp;""=H29&amp;"","✓","✗")))</f>
        <v/>
      </c>
      <c r="N29" s="27" t="str">
        <f aca="false">IF(A29="","",IF(H29="—","—",IF(D29&amp;""=I29&amp;"","✓","✗")))</f>
        <v/>
      </c>
      <c r="O29" s="27" t="str">
        <f aca="false">IF(A29="","",IF(H29="—","—",IF(ABS(E29-J29)&lt;0.01,"✓","✗")))</f>
        <v/>
      </c>
      <c r="P29" s="27" t="str">
        <f aca="false">IF(A29="","",IF(H29="—","—",IF(F29&amp;""=K29&amp;"","✓","✗")))</f>
        <v/>
      </c>
      <c r="Q29" s="27" t="str">
        <f aca="false">IF(A29="","",IF(H29="—","—",IF(G29&amp;""=L29&amp;"","✓","✗")))</f>
        <v/>
      </c>
      <c r="R29" s="27" t="str">
        <f aca="false">IF(A29="","",IF(COUNTIF(M29:Q29,"—")=5,"⚠ NO SCD ROW",IF(COUNTIF(M29:Q29,"✗")&gt;0,"❌ MISMATCH","✅ MATCH")))</f>
        <v/>
      </c>
    </row>
    <row r="30" customFormat="false" ht="15" hidden="false" customHeight="true" outlineLevel="0" collapsed="false">
      <c r="A30" s="22" t="str">
        <f aca="false">IF(Daily_Data!A29="","",Daily_Data!A29)</f>
        <v/>
      </c>
      <c r="B30" s="23" t="str">
        <f aca="false">IF(Daily_Data!B29="","",Daily_Data!B29)</f>
        <v/>
      </c>
      <c r="C30" s="23" t="str">
        <f aca="false">IF(A30="","",Daily_Data!C29)</f>
        <v/>
      </c>
      <c r="D30" s="23" t="str">
        <f aca="false">IF(A30="","",Daily_Data!D29)</f>
        <v/>
      </c>
      <c r="E30" s="24" t="str">
        <f aca="false">IF(A30="","",Daily_Data!E29)</f>
        <v/>
      </c>
      <c r="F30" s="23" t="str">
        <f aca="false">IF(A30="","",Daily_Data!F29)</f>
        <v/>
      </c>
      <c r="G30" s="23" t="str">
        <f aca="false">IF(A30="","",Daily_Data!G29)</f>
        <v/>
      </c>
      <c r="H30" s="25" t="str">
        <f aca="false">IF(A30="","",IFERROR(INDEX(SCD_Data!$C$3:$C$502,SUMPRODUCT((SCD_Data!$A$3:$A$502=B30)*(IFERROR(DATEVALUE(SCD_Data!$H$3:$H$502&amp;""),SCD_Data!$H$3:$H$502)&lt;=IFERROR(DATEVALUE(A30&amp;""),A30))*(IFERROR(DATEVALUE(SCD_Data!$I$3:$I$502&amp;""),SCD_Data!$I$3:$I$502)&gt;=IFERROR(DATEVALUE(A30&amp;""),A30))*(ROW(SCD_Data!$A$3:$A$502)-2))),"—"))</f>
        <v/>
      </c>
      <c r="I30" s="25" t="str">
        <f aca="false">IF(A30="","",IFERROR(INDEX(SCD_Data!$D$3:$D$502,SUMPRODUCT((SCD_Data!$A$3:$A$502=B30)*(IFERROR(DATEVALUE(SCD_Data!$H$3:$H$502&amp;""),SCD_Data!$H$3:$H$502)&lt;=IFERROR(DATEVALUE(A30&amp;""),A30))*(IFERROR(DATEVALUE(SCD_Data!$I$3:$I$502&amp;""),SCD_Data!$I$3:$I$502)&gt;=IFERROR(DATEVALUE(A30&amp;""),A30))*(ROW(SCD_Data!$A$3:$A$502)-2))),"—"))</f>
        <v/>
      </c>
      <c r="J30" s="26" t="str">
        <f aca="false">IF(A30="","",IFERROR(INDEX(SCD_Data!$E$3:$E$502,SUMPRODUCT((SCD_Data!$A$3:$A$502=B30)*(IFERROR(DATEVALUE(SCD_Data!$H$3:$H$502&amp;""),SCD_Data!$H$3:$H$502)&lt;=IFERROR(DATEVALUE(A30&amp;""),A30))*(IFERROR(DATEVALUE(SCD_Data!$I$3:$I$502&amp;""),SCD_Data!$I$3:$I$502)&gt;=IFERROR(DATEVALUE(A30&amp;""),A30))*(ROW(SCD_Data!$A$3:$A$502)-2))),"—"))</f>
        <v/>
      </c>
      <c r="K30" s="25" t="str">
        <f aca="false">IF(A30="","",IFERROR(INDEX(SCD_Data!$F$3:$F$502,SUMPRODUCT((SCD_Data!$A$3:$A$502=B30)*(IFERROR(DATEVALUE(SCD_Data!$H$3:$H$502&amp;""),SCD_Data!$H$3:$H$502)&lt;=IFERROR(DATEVALUE(A30&amp;""),A30))*(IFERROR(DATEVALUE(SCD_Data!$I$3:$I$502&amp;""),SCD_Data!$I$3:$I$502)&gt;=IFERROR(DATEVALUE(A30&amp;""),A30))*(ROW(SCD_Data!$A$3:$A$502)-2))),"—"))</f>
        <v/>
      </c>
      <c r="L30" s="25" t="str">
        <f aca="false">IF(A30="","",IFERROR(INDEX(SCD_Data!$G$3:$G$502,SUMPRODUCT((SCD_Data!$A$3:$A$502=B30)*(IFERROR(DATEVALUE(SCD_Data!$H$3:$H$502&amp;""),SCD_Data!$H$3:$H$502)&lt;=IFERROR(DATEVALUE(A30&amp;""),A30))*(IFERROR(DATEVALUE(SCD_Data!$I$3:$I$502&amp;""),SCD_Data!$I$3:$I$502)&gt;=IFERROR(DATEVALUE(A30&amp;""),A30))*(ROW(SCD_Data!$A$3:$A$502)-2))),"—"))</f>
        <v/>
      </c>
      <c r="M30" s="27" t="str">
        <f aca="false">IF(A30="","",IF(H30="—","—",IF(C30&amp;""=H30&amp;"","✓","✗")))</f>
        <v/>
      </c>
      <c r="N30" s="27" t="str">
        <f aca="false">IF(A30="","",IF(H30="—","—",IF(D30&amp;""=I30&amp;"","✓","✗")))</f>
        <v/>
      </c>
      <c r="O30" s="27" t="str">
        <f aca="false">IF(A30="","",IF(H30="—","—",IF(ABS(E30-J30)&lt;0.01,"✓","✗")))</f>
        <v/>
      </c>
      <c r="P30" s="27" t="str">
        <f aca="false">IF(A30="","",IF(H30="—","—",IF(F30&amp;""=K30&amp;"","✓","✗")))</f>
        <v/>
      </c>
      <c r="Q30" s="27" t="str">
        <f aca="false">IF(A30="","",IF(H30="—","—",IF(G30&amp;""=L30&amp;"","✓","✗")))</f>
        <v/>
      </c>
      <c r="R30" s="27" t="str">
        <f aca="false">IF(A30="","",IF(COUNTIF(M30:Q30,"—")=5,"⚠ NO SCD ROW",IF(COUNTIF(M30:Q30,"✗")&gt;0,"❌ MISMATCH","✅ MATCH")))</f>
        <v/>
      </c>
    </row>
    <row r="31" customFormat="false" ht="15" hidden="false" customHeight="true" outlineLevel="0" collapsed="false">
      <c r="A31" s="22" t="str">
        <f aca="false">IF(Daily_Data!A30="","",Daily_Data!A30)</f>
        <v/>
      </c>
      <c r="B31" s="23" t="str">
        <f aca="false">IF(Daily_Data!B30="","",Daily_Data!B30)</f>
        <v/>
      </c>
      <c r="C31" s="23" t="str">
        <f aca="false">IF(A31="","",Daily_Data!C30)</f>
        <v/>
      </c>
      <c r="D31" s="23" t="str">
        <f aca="false">IF(A31="","",Daily_Data!D30)</f>
        <v/>
      </c>
      <c r="E31" s="24" t="str">
        <f aca="false">IF(A31="","",Daily_Data!E30)</f>
        <v/>
      </c>
      <c r="F31" s="23" t="str">
        <f aca="false">IF(A31="","",Daily_Data!F30)</f>
        <v/>
      </c>
      <c r="G31" s="23" t="str">
        <f aca="false">IF(A31="","",Daily_Data!G30)</f>
        <v/>
      </c>
      <c r="H31" s="25" t="str">
        <f aca="false">IF(A31="","",IFERROR(INDEX(SCD_Data!$C$3:$C$502,SUMPRODUCT((SCD_Data!$A$3:$A$502=B31)*(IFERROR(DATEVALUE(SCD_Data!$H$3:$H$502&amp;""),SCD_Data!$H$3:$H$502)&lt;=IFERROR(DATEVALUE(A31&amp;""),A31))*(IFERROR(DATEVALUE(SCD_Data!$I$3:$I$502&amp;""),SCD_Data!$I$3:$I$502)&gt;=IFERROR(DATEVALUE(A31&amp;""),A31))*(ROW(SCD_Data!$A$3:$A$502)-2))),"—"))</f>
        <v/>
      </c>
      <c r="I31" s="25" t="str">
        <f aca="false">IF(A31="","",IFERROR(INDEX(SCD_Data!$D$3:$D$502,SUMPRODUCT((SCD_Data!$A$3:$A$502=B31)*(IFERROR(DATEVALUE(SCD_Data!$H$3:$H$502&amp;""),SCD_Data!$H$3:$H$502)&lt;=IFERROR(DATEVALUE(A31&amp;""),A31))*(IFERROR(DATEVALUE(SCD_Data!$I$3:$I$502&amp;""),SCD_Data!$I$3:$I$502)&gt;=IFERROR(DATEVALUE(A31&amp;""),A31))*(ROW(SCD_Data!$A$3:$A$502)-2))),"—"))</f>
        <v/>
      </c>
      <c r="J31" s="26" t="str">
        <f aca="false">IF(A31="","",IFERROR(INDEX(SCD_Data!$E$3:$E$502,SUMPRODUCT((SCD_Data!$A$3:$A$502=B31)*(IFERROR(DATEVALUE(SCD_Data!$H$3:$H$502&amp;""),SCD_Data!$H$3:$H$502)&lt;=IFERROR(DATEVALUE(A31&amp;""),A31))*(IFERROR(DATEVALUE(SCD_Data!$I$3:$I$502&amp;""),SCD_Data!$I$3:$I$502)&gt;=IFERROR(DATEVALUE(A31&amp;""),A31))*(ROW(SCD_Data!$A$3:$A$502)-2))),"—"))</f>
        <v/>
      </c>
      <c r="K31" s="25" t="str">
        <f aca="false">IF(A31="","",IFERROR(INDEX(SCD_Data!$F$3:$F$502,SUMPRODUCT((SCD_Data!$A$3:$A$502=B31)*(IFERROR(DATEVALUE(SCD_Data!$H$3:$H$502&amp;""),SCD_Data!$H$3:$H$502)&lt;=IFERROR(DATEVALUE(A31&amp;""),A31))*(IFERROR(DATEVALUE(SCD_Data!$I$3:$I$502&amp;""),SCD_Data!$I$3:$I$502)&gt;=IFERROR(DATEVALUE(A31&amp;""),A31))*(ROW(SCD_Data!$A$3:$A$502)-2))),"—"))</f>
        <v/>
      </c>
      <c r="L31" s="25" t="str">
        <f aca="false">IF(A31="","",IFERROR(INDEX(SCD_Data!$G$3:$G$502,SUMPRODUCT((SCD_Data!$A$3:$A$502=B31)*(IFERROR(DATEVALUE(SCD_Data!$H$3:$H$502&amp;""),SCD_Data!$H$3:$H$502)&lt;=IFERROR(DATEVALUE(A31&amp;""),A31))*(IFERROR(DATEVALUE(SCD_Data!$I$3:$I$502&amp;""),SCD_Data!$I$3:$I$502)&gt;=IFERROR(DATEVALUE(A31&amp;""),A31))*(ROW(SCD_Data!$A$3:$A$502)-2))),"—"))</f>
        <v/>
      </c>
      <c r="M31" s="27" t="str">
        <f aca="false">IF(A31="","",IF(H31="—","—",IF(C31&amp;""=H31&amp;"","✓","✗")))</f>
        <v/>
      </c>
      <c r="N31" s="27" t="str">
        <f aca="false">IF(A31="","",IF(H31="—","—",IF(D31&amp;""=I31&amp;"","✓","✗")))</f>
        <v/>
      </c>
      <c r="O31" s="27" t="str">
        <f aca="false">IF(A31="","",IF(H31="—","—",IF(ABS(E31-J31)&lt;0.01,"✓","✗")))</f>
        <v/>
      </c>
      <c r="P31" s="27" t="str">
        <f aca="false">IF(A31="","",IF(H31="—","—",IF(F31&amp;""=K31&amp;"","✓","✗")))</f>
        <v/>
      </c>
      <c r="Q31" s="27" t="str">
        <f aca="false">IF(A31="","",IF(H31="—","—",IF(G31&amp;""=L31&amp;"","✓","✗")))</f>
        <v/>
      </c>
      <c r="R31" s="27" t="str">
        <f aca="false">IF(A31="","",IF(COUNTIF(M31:Q31,"—")=5,"⚠ NO SCD ROW",IF(COUNTIF(M31:Q31,"✗")&gt;0,"❌ MISMATCH","✅ MATCH")))</f>
        <v/>
      </c>
    </row>
    <row r="32" customFormat="false" ht="15" hidden="false" customHeight="true" outlineLevel="0" collapsed="false">
      <c r="A32" s="22" t="str">
        <f aca="false">IF(Daily_Data!A31="","",Daily_Data!A31)</f>
        <v/>
      </c>
      <c r="B32" s="23" t="str">
        <f aca="false">IF(Daily_Data!B31="","",Daily_Data!B31)</f>
        <v/>
      </c>
      <c r="C32" s="23" t="str">
        <f aca="false">IF(A32="","",Daily_Data!C31)</f>
        <v/>
      </c>
      <c r="D32" s="23" t="str">
        <f aca="false">IF(A32="","",Daily_Data!D31)</f>
        <v/>
      </c>
      <c r="E32" s="24" t="str">
        <f aca="false">IF(A32="","",Daily_Data!E31)</f>
        <v/>
      </c>
      <c r="F32" s="23" t="str">
        <f aca="false">IF(A32="","",Daily_Data!F31)</f>
        <v/>
      </c>
      <c r="G32" s="23" t="str">
        <f aca="false">IF(A32="","",Daily_Data!G31)</f>
        <v/>
      </c>
      <c r="H32" s="25" t="str">
        <f aca="false">IF(A32="","",IFERROR(INDEX(SCD_Data!$C$3:$C$502,SUMPRODUCT((SCD_Data!$A$3:$A$502=B32)*(IFERROR(DATEVALUE(SCD_Data!$H$3:$H$502&amp;""),SCD_Data!$H$3:$H$502)&lt;=IFERROR(DATEVALUE(A32&amp;""),A32))*(IFERROR(DATEVALUE(SCD_Data!$I$3:$I$502&amp;""),SCD_Data!$I$3:$I$502)&gt;=IFERROR(DATEVALUE(A32&amp;""),A32))*(ROW(SCD_Data!$A$3:$A$502)-2))),"—"))</f>
        <v/>
      </c>
      <c r="I32" s="25" t="str">
        <f aca="false">IF(A32="","",IFERROR(INDEX(SCD_Data!$D$3:$D$502,SUMPRODUCT((SCD_Data!$A$3:$A$502=B32)*(IFERROR(DATEVALUE(SCD_Data!$H$3:$H$502&amp;""),SCD_Data!$H$3:$H$502)&lt;=IFERROR(DATEVALUE(A32&amp;""),A32))*(IFERROR(DATEVALUE(SCD_Data!$I$3:$I$502&amp;""),SCD_Data!$I$3:$I$502)&gt;=IFERROR(DATEVALUE(A32&amp;""),A32))*(ROW(SCD_Data!$A$3:$A$502)-2))),"—"))</f>
        <v/>
      </c>
      <c r="J32" s="26" t="str">
        <f aca="false">IF(A32="","",IFERROR(INDEX(SCD_Data!$E$3:$E$502,SUMPRODUCT((SCD_Data!$A$3:$A$502=B32)*(IFERROR(DATEVALUE(SCD_Data!$H$3:$H$502&amp;""),SCD_Data!$H$3:$H$502)&lt;=IFERROR(DATEVALUE(A32&amp;""),A32))*(IFERROR(DATEVALUE(SCD_Data!$I$3:$I$502&amp;""),SCD_Data!$I$3:$I$502)&gt;=IFERROR(DATEVALUE(A32&amp;""),A32))*(ROW(SCD_Data!$A$3:$A$502)-2))),"—"))</f>
        <v/>
      </c>
      <c r="K32" s="25" t="str">
        <f aca="false">IF(A32="","",IFERROR(INDEX(SCD_Data!$F$3:$F$502,SUMPRODUCT((SCD_Data!$A$3:$A$502=B32)*(IFERROR(DATEVALUE(SCD_Data!$H$3:$H$502&amp;""),SCD_Data!$H$3:$H$502)&lt;=IFERROR(DATEVALUE(A32&amp;""),A32))*(IFERROR(DATEVALUE(SCD_Data!$I$3:$I$502&amp;""),SCD_Data!$I$3:$I$502)&gt;=IFERROR(DATEVALUE(A32&amp;""),A32))*(ROW(SCD_Data!$A$3:$A$502)-2))),"—"))</f>
        <v/>
      </c>
      <c r="L32" s="25" t="str">
        <f aca="false">IF(A32="","",IFERROR(INDEX(SCD_Data!$G$3:$G$502,SUMPRODUCT((SCD_Data!$A$3:$A$502=B32)*(IFERROR(DATEVALUE(SCD_Data!$H$3:$H$502&amp;""),SCD_Data!$H$3:$H$502)&lt;=IFERROR(DATEVALUE(A32&amp;""),A32))*(IFERROR(DATEVALUE(SCD_Data!$I$3:$I$502&amp;""),SCD_Data!$I$3:$I$502)&gt;=IFERROR(DATEVALUE(A32&amp;""),A32))*(ROW(SCD_Data!$A$3:$A$502)-2))),"—"))</f>
        <v/>
      </c>
      <c r="M32" s="27" t="str">
        <f aca="false">IF(A32="","",IF(H32="—","—",IF(C32&amp;""=H32&amp;"","✓","✗")))</f>
        <v/>
      </c>
      <c r="N32" s="27" t="str">
        <f aca="false">IF(A32="","",IF(H32="—","—",IF(D32&amp;""=I32&amp;"","✓","✗")))</f>
        <v/>
      </c>
      <c r="O32" s="27" t="str">
        <f aca="false">IF(A32="","",IF(H32="—","—",IF(ABS(E32-J32)&lt;0.01,"✓","✗")))</f>
        <v/>
      </c>
      <c r="P32" s="27" t="str">
        <f aca="false">IF(A32="","",IF(H32="—","—",IF(F32&amp;""=K32&amp;"","✓","✗")))</f>
        <v/>
      </c>
      <c r="Q32" s="27" t="str">
        <f aca="false">IF(A32="","",IF(H32="—","—",IF(G32&amp;""=L32&amp;"","✓","✗")))</f>
        <v/>
      </c>
      <c r="R32" s="27" t="str">
        <f aca="false">IF(A32="","",IF(COUNTIF(M32:Q32,"—")=5,"⚠ NO SCD ROW",IF(COUNTIF(M32:Q32,"✗")&gt;0,"❌ MISMATCH","✅ MATCH")))</f>
        <v/>
      </c>
    </row>
    <row r="33" customFormat="false" ht="15" hidden="false" customHeight="true" outlineLevel="0" collapsed="false">
      <c r="A33" s="22" t="str">
        <f aca="false">IF(Daily_Data!A32="","",Daily_Data!A32)</f>
        <v/>
      </c>
      <c r="B33" s="23" t="str">
        <f aca="false">IF(Daily_Data!B32="","",Daily_Data!B32)</f>
        <v/>
      </c>
      <c r="C33" s="23" t="str">
        <f aca="false">IF(A33="","",Daily_Data!C32)</f>
        <v/>
      </c>
      <c r="D33" s="23" t="str">
        <f aca="false">IF(A33="","",Daily_Data!D32)</f>
        <v/>
      </c>
      <c r="E33" s="24" t="str">
        <f aca="false">IF(A33="","",Daily_Data!E32)</f>
        <v/>
      </c>
      <c r="F33" s="23" t="str">
        <f aca="false">IF(A33="","",Daily_Data!F32)</f>
        <v/>
      </c>
      <c r="G33" s="23" t="str">
        <f aca="false">IF(A33="","",Daily_Data!G32)</f>
        <v/>
      </c>
      <c r="H33" s="25" t="str">
        <f aca="false">IF(A33="","",IFERROR(INDEX(SCD_Data!$C$3:$C$502,SUMPRODUCT((SCD_Data!$A$3:$A$502=B33)*(IFERROR(DATEVALUE(SCD_Data!$H$3:$H$502&amp;""),SCD_Data!$H$3:$H$502)&lt;=IFERROR(DATEVALUE(A33&amp;""),A33))*(IFERROR(DATEVALUE(SCD_Data!$I$3:$I$502&amp;""),SCD_Data!$I$3:$I$502)&gt;=IFERROR(DATEVALUE(A33&amp;""),A33))*(ROW(SCD_Data!$A$3:$A$502)-2))),"—"))</f>
        <v/>
      </c>
      <c r="I33" s="25" t="str">
        <f aca="false">IF(A33="","",IFERROR(INDEX(SCD_Data!$D$3:$D$502,SUMPRODUCT((SCD_Data!$A$3:$A$502=B33)*(IFERROR(DATEVALUE(SCD_Data!$H$3:$H$502&amp;""),SCD_Data!$H$3:$H$502)&lt;=IFERROR(DATEVALUE(A33&amp;""),A33))*(IFERROR(DATEVALUE(SCD_Data!$I$3:$I$502&amp;""),SCD_Data!$I$3:$I$502)&gt;=IFERROR(DATEVALUE(A33&amp;""),A33))*(ROW(SCD_Data!$A$3:$A$502)-2))),"—"))</f>
        <v/>
      </c>
      <c r="J33" s="26" t="str">
        <f aca="false">IF(A33="","",IFERROR(INDEX(SCD_Data!$E$3:$E$502,SUMPRODUCT((SCD_Data!$A$3:$A$502=B33)*(IFERROR(DATEVALUE(SCD_Data!$H$3:$H$502&amp;""),SCD_Data!$H$3:$H$502)&lt;=IFERROR(DATEVALUE(A33&amp;""),A33))*(IFERROR(DATEVALUE(SCD_Data!$I$3:$I$502&amp;""),SCD_Data!$I$3:$I$502)&gt;=IFERROR(DATEVALUE(A33&amp;""),A33))*(ROW(SCD_Data!$A$3:$A$502)-2))),"—"))</f>
        <v/>
      </c>
      <c r="K33" s="25" t="str">
        <f aca="false">IF(A33="","",IFERROR(INDEX(SCD_Data!$F$3:$F$502,SUMPRODUCT((SCD_Data!$A$3:$A$502=B33)*(IFERROR(DATEVALUE(SCD_Data!$H$3:$H$502&amp;""),SCD_Data!$H$3:$H$502)&lt;=IFERROR(DATEVALUE(A33&amp;""),A33))*(IFERROR(DATEVALUE(SCD_Data!$I$3:$I$502&amp;""),SCD_Data!$I$3:$I$502)&gt;=IFERROR(DATEVALUE(A33&amp;""),A33))*(ROW(SCD_Data!$A$3:$A$502)-2))),"—"))</f>
        <v/>
      </c>
      <c r="L33" s="25" t="str">
        <f aca="false">IF(A33="","",IFERROR(INDEX(SCD_Data!$G$3:$G$502,SUMPRODUCT((SCD_Data!$A$3:$A$502=B33)*(IFERROR(DATEVALUE(SCD_Data!$H$3:$H$502&amp;""),SCD_Data!$H$3:$H$502)&lt;=IFERROR(DATEVALUE(A33&amp;""),A33))*(IFERROR(DATEVALUE(SCD_Data!$I$3:$I$502&amp;""),SCD_Data!$I$3:$I$502)&gt;=IFERROR(DATEVALUE(A33&amp;""),A33))*(ROW(SCD_Data!$A$3:$A$502)-2))),"—"))</f>
        <v/>
      </c>
      <c r="M33" s="27" t="str">
        <f aca="false">IF(A33="","",IF(H33="—","—",IF(C33&amp;""=H33&amp;"","✓","✗")))</f>
        <v/>
      </c>
      <c r="N33" s="27" t="str">
        <f aca="false">IF(A33="","",IF(H33="—","—",IF(D33&amp;""=I33&amp;"","✓","✗")))</f>
        <v/>
      </c>
      <c r="O33" s="27" t="str">
        <f aca="false">IF(A33="","",IF(H33="—","—",IF(ABS(E33-J33)&lt;0.01,"✓","✗")))</f>
        <v/>
      </c>
      <c r="P33" s="27" t="str">
        <f aca="false">IF(A33="","",IF(H33="—","—",IF(F33&amp;""=K33&amp;"","✓","✗")))</f>
        <v/>
      </c>
      <c r="Q33" s="27" t="str">
        <f aca="false">IF(A33="","",IF(H33="—","—",IF(G33&amp;""=L33&amp;"","✓","✗")))</f>
        <v/>
      </c>
      <c r="R33" s="27" t="str">
        <f aca="false">IF(A33="","",IF(COUNTIF(M33:Q33,"—")=5,"⚠ NO SCD ROW",IF(COUNTIF(M33:Q33,"✗")&gt;0,"❌ MISMATCH","✅ MATCH")))</f>
        <v/>
      </c>
    </row>
    <row r="34" customFormat="false" ht="15" hidden="false" customHeight="true" outlineLevel="0" collapsed="false">
      <c r="A34" s="22" t="str">
        <f aca="false">IF(Daily_Data!A33="","",Daily_Data!A33)</f>
        <v/>
      </c>
      <c r="B34" s="23" t="str">
        <f aca="false">IF(Daily_Data!B33="","",Daily_Data!B33)</f>
        <v/>
      </c>
      <c r="C34" s="23" t="str">
        <f aca="false">IF(A34="","",Daily_Data!C33)</f>
        <v/>
      </c>
      <c r="D34" s="23" t="str">
        <f aca="false">IF(A34="","",Daily_Data!D33)</f>
        <v/>
      </c>
      <c r="E34" s="24" t="str">
        <f aca="false">IF(A34="","",Daily_Data!E33)</f>
        <v/>
      </c>
      <c r="F34" s="23" t="str">
        <f aca="false">IF(A34="","",Daily_Data!F33)</f>
        <v/>
      </c>
      <c r="G34" s="23" t="str">
        <f aca="false">IF(A34="","",Daily_Data!G33)</f>
        <v/>
      </c>
      <c r="H34" s="25" t="str">
        <f aca="false">IF(A34="","",IFERROR(INDEX(SCD_Data!$C$3:$C$502,SUMPRODUCT((SCD_Data!$A$3:$A$502=B34)*(IFERROR(DATEVALUE(SCD_Data!$H$3:$H$502&amp;""),SCD_Data!$H$3:$H$502)&lt;=IFERROR(DATEVALUE(A34&amp;""),A34))*(IFERROR(DATEVALUE(SCD_Data!$I$3:$I$502&amp;""),SCD_Data!$I$3:$I$502)&gt;=IFERROR(DATEVALUE(A34&amp;""),A34))*(ROW(SCD_Data!$A$3:$A$502)-2))),"—"))</f>
        <v/>
      </c>
      <c r="I34" s="25" t="str">
        <f aca="false">IF(A34="","",IFERROR(INDEX(SCD_Data!$D$3:$D$502,SUMPRODUCT((SCD_Data!$A$3:$A$502=B34)*(IFERROR(DATEVALUE(SCD_Data!$H$3:$H$502&amp;""),SCD_Data!$H$3:$H$502)&lt;=IFERROR(DATEVALUE(A34&amp;""),A34))*(IFERROR(DATEVALUE(SCD_Data!$I$3:$I$502&amp;""),SCD_Data!$I$3:$I$502)&gt;=IFERROR(DATEVALUE(A34&amp;""),A34))*(ROW(SCD_Data!$A$3:$A$502)-2))),"—"))</f>
        <v/>
      </c>
      <c r="J34" s="26" t="str">
        <f aca="false">IF(A34="","",IFERROR(INDEX(SCD_Data!$E$3:$E$502,SUMPRODUCT((SCD_Data!$A$3:$A$502=B34)*(IFERROR(DATEVALUE(SCD_Data!$H$3:$H$502&amp;""),SCD_Data!$H$3:$H$502)&lt;=IFERROR(DATEVALUE(A34&amp;""),A34))*(IFERROR(DATEVALUE(SCD_Data!$I$3:$I$502&amp;""),SCD_Data!$I$3:$I$502)&gt;=IFERROR(DATEVALUE(A34&amp;""),A34))*(ROW(SCD_Data!$A$3:$A$502)-2))),"—"))</f>
        <v/>
      </c>
      <c r="K34" s="25" t="str">
        <f aca="false">IF(A34="","",IFERROR(INDEX(SCD_Data!$F$3:$F$502,SUMPRODUCT((SCD_Data!$A$3:$A$502=B34)*(IFERROR(DATEVALUE(SCD_Data!$H$3:$H$502&amp;""),SCD_Data!$H$3:$H$502)&lt;=IFERROR(DATEVALUE(A34&amp;""),A34))*(IFERROR(DATEVALUE(SCD_Data!$I$3:$I$502&amp;""),SCD_Data!$I$3:$I$502)&gt;=IFERROR(DATEVALUE(A34&amp;""),A34))*(ROW(SCD_Data!$A$3:$A$502)-2))),"—"))</f>
        <v/>
      </c>
      <c r="L34" s="25" t="str">
        <f aca="false">IF(A34="","",IFERROR(INDEX(SCD_Data!$G$3:$G$502,SUMPRODUCT((SCD_Data!$A$3:$A$502=B34)*(IFERROR(DATEVALUE(SCD_Data!$H$3:$H$502&amp;""),SCD_Data!$H$3:$H$502)&lt;=IFERROR(DATEVALUE(A34&amp;""),A34))*(IFERROR(DATEVALUE(SCD_Data!$I$3:$I$502&amp;""),SCD_Data!$I$3:$I$502)&gt;=IFERROR(DATEVALUE(A34&amp;""),A34))*(ROW(SCD_Data!$A$3:$A$502)-2))),"—"))</f>
        <v/>
      </c>
      <c r="M34" s="27" t="str">
        <f aca="false">IF(A34="","",IF(H34="—","—",IF(C34&amp;""=H34&amp;"","✓","✗")))</f>
        <v/>
      </c>
      <c r="N34" s="27" t="str">
        <f aca="false">IF(A34="","",IF(H34="—","—",IF(D34&amp;""=I34&amp;"","✓","✗")))</f>
        <v/>
      </c>
      <c r="O34" s="27" t="str">
        <f aca="false">IF(A34="","",IF(H34="—","—",IF(ABS(E34-J34)&lt;0.01,"✓","✗")))</f>
        <v/>
      </c>
      <c r="P34" s="27" t="str">
        <f aca="false">IF(A34="","",IF(H34="—","—",IF(F34&amp;""=K34&amp;"","✓","✗")))</f>
        <v/>
      </c>
      <c r="Q34" s="27" t="str">
        <f aca="false">IF(A34="","",IF(H34="—","—",IF(G34&amp;""=L34&amp;"","✓","✗")))</f>
        <v/>
      </c>
      <c r="R34" s="27" t="str">
        <f aca="false">IF(A34="","",IF(COUNTIF(M34:Q34,"—")=5,"⚠ NO SCD ROW",IF(COUNTIF(M34:Q34,"✗")&gt;0,"❌ MISMATCH","✅ MATCH")))</f>
        <v/>
      </c>
    </row>
    <row r="35" customFormat="false" ht="15" hidden="false" customHeight="true" outlineLevel="0" collapsed="false">
      <c r="A35" s="22" t="str">
        <f aca="false">IF(Daily_Data!A34="","",Daily_Data!A34)</f>
        <v/>
      </c>
      <c r="B35" s="23" t="str">
        <f aca="false">IF(Daily_Data!B34="","",Daily_Data!B34)</f>
        <v/>
      </c>
      <c r="C35" s="23" t="str">
        <f aca="false">IF(A35="","",Daily_Data!C34)</f>
        <v/>
      </c>
      <c r="D35" s="23" t="str">
        <f aca="false">IF(A35="","",Daily_Data!D34)</f>
        <v/>
      </c>
      <c r="E35" s="24" t="str">
        <f aca="false">IF(A35="","",Daily_Data!E34)</f>
        <v/>
      </c>
      <c r="F35" s="23" t="str">
        <f aca="false">IF(A35="","",Daily_Data!F34)</f>
        <v/>
      </c>
      <c r="G35" s="23" t="str">
        <f aca="false">IF(A35="","",Daily_Data!G34)</f>
        <v/>
      </c>
      <c r="H35" s="25" t="str">
        <f aca="false">IF(A35="","",IFERROR(INDEX(SCD_Data!$C$3:$C$502,SUMPRODUCT((SCD_Data!$A$3:$A$502=B35)*(IFERROR(DATEVALUE(SCD_Data!$H$3:$H$502&amp;""),SCD_Data!$H$3:$H$502)&lt;=IFERROR(DATEVALUE(A35&amp;""),A35))*(IFERROR(DATEVALUE(SCD_Data!$I$3:$I$502&amp;""),SCD_Data!$I$3:$I$502)&gt;=IFERROR(DATEVALUE(A35&amp;""),A35))*(ROW(SCD_Data!$A$3:$A$502)-2))),"—"))</f>
        <v/>
      </c>
      <c r="I35" s="25" t="str">
        <f aca="false">IF(A35="","",IFERROR(INDEX(SCD_Data!$D$3:$D$502,SUMPRODUCT((SCD_Data!$A$3:$A$502=B35)*(IFERROR(DATEVALUE(SCD_Data!$H$3:$H$502&amp;""),SCD_Data!$H$3:$H$502)&lt;=IFERROR(DATEVALUE(A35&amp;""),A35))*(IFERROR(DATEVALUE(SCD_Data!$I$3:$I$502&amp;""),SCD_Data!$I$3:$I$502)&gt;=IFERROR(DATEVALUE(A35&amp;""),A35))*(ROW(SCD_Data!$A$3:$A$502)-2))),"—"))</f>
        <v/>
      </c>
      <c r="J35" s="26" t="str">
        <f aca="false">IF(A35="","",IFERROR(INDEX(SCD_Data!$E$3:$E$502,SUMPRODUCT((SCD_Data!$A$3:$A$502=B35)*(IFERROR(DATEVALUE(SCD_Data!$H$3:$H$502&amp;""),SCD_Data!$H$3:$H$502)&lt;=IFERROR(DATEVALUE(A35&amp;""),A35))*(IFERROR(DATEVALUE(SCD_Data!$I$3:$I$502&amp;""),SCD_Data!$I$3:$I$502)&gt;=IFERROR(DATEVALUE(A35&amp;""),A35))*(ROW(SCD_Data!$A$3:$A$502)-2))),"—"))</f>
        <v/>
      </c>
      <c r="K35" s="25" t="str">
        <f aca="false">IF(A35="","",IFERROR(INDEX(SCD_Data!$F$3:$F$502,SUMPRODUCT((SCD_Data!$A$3:$A$502=B35)*(IFERROR(DATEVALUE(SCD_Data!$H$3:$H$502&amp;""),SCD_Data!$H$3:$H$502)&lt;=IFERROR(DATEVALUE(A35&amp;""),A35))*(IFERROR(DATEVALUE(SCD_Data!$I$3:$I$502&amp;""),SCD_Data!$I$3:$I$502)&gt;=IFERROR(DATEVALUE(A35&amp;""),A35))*(ROW(SCD_Data!$A$3:$A$502)-2))),"—"))</f>
        <v/>
      </c>
      <c r="L35" s="25" t="str">
        <f aca="false">IF(A35="","",IFERROR(INDEX(SCD_Data!$G$3:$G$502,SUMPRODUCT((SCD_Data!$A$3:$A$502=B35)*(IFERROR(DATEVALUE(SCD_Data!$H$3:$H$502&amp;""),SCD_Data!$H$3:$H$502)&lt;=IFERROR(DATEVALUE(A35&amp;""),A35))*(IFERROR(DATEVALUE(SCD_Data!$I$3:$I$502&amp;""),SCD_Data!$I$3:$I$502)&gt;=IFERROR(DATEVALUE(A35&amp;""),A35))*(ROW(SCD_Data!$A$3:$A$502)-2))),"—"))</f>
        <v/>
      </c>
      <c r="M35" s="27" t="str">
        <f aca="false">IF(A35="","",IF(H35="—","—",IF(C35&amp;""=H35&amp;"","✓","✗")))</f>
        <v/>
      </c>
      <c r="N35" s="27" t="str">
        <f aca="false">IF(A35="","",IF(H35="—","—",IF(D35&amp;""=I35&amp;"","✓","✗")))</f>
        <v/>
      </c>
      <c r="O35" s="27" t="str">
        <f aca="false">IF(A35="","",IF(H35="—","—",IF(ABS(E35-J35)&lt;0.01,"✓","✗")))</f>
        <v/>
      </c>
      <c r="P35" s="27" t="str">
        <f aca="false">IF(A35="","",IF(H35="—","—",IF(F35&amp;""=K35&amp;"","✓","✗")))</f>
        <v/>
      </c>
      <c r="Q35" s="27" t="str">
        <f aca="false">IF(A35="","",IF(H35="—","—",IF(G35&amp;""=L35&amp;"","✓","✗")))</f>
        <v/>
      </c>
      <c r="R35" s="27" t="str">
        <f aca="false">IF(A35="","",IF(COUNTIF(M35:Q35,"—")=5,"⚠ NO SCD ROW",IF(COUNTIF(M35:Q35,"✗")&gt;0,"❌ MISMATCH","✅ MATCH")))</f>
        <v/>
      </c>
    </row>
    <row r="36" customFormat="false" ht="15" hidden="false" customHeight="true" outlineLevel="0" collapsed="false">
      <c r="A36" s="22" t="str">
        <f aca="false">IF(Daily_Data!A35="","",Daily_Data!A35)</f>
        <v/>
      </c>
      <c r="B36" s="23" t="str">
        <f aca="false">IF(Daily_Data!B35="","",Daily_Data!B35)</f>
        <v/>
      </c>
      <c r="C36" s="23" t="str">
        <f aca="false">IF(A36="","",Daily_Data!C35)</f>
        <v/>
      </c>
      <c r="D36" s="23" t="str">
        <f aca="false">IF(A36="","",Daily_Data!D35)</f>
        <v/>
      </c>
      <c r="E36" s="24" t="str">
        <f aca="false">IF(A36="","",Daily_Data!E35)</f>
        <v/>
      </c>
      <c r="F36" s="23" t="str">
        <f aca="false">IF(A36="","",Daily_Data!F35)</f>
        <v/>
      </c>
      <c r="G36" s="23" t="str">
        <f aca="false">IF(A36="","",Daily_Data!G35)</f>
        <v/>
      </c>
      <c r="H36" s="25" t="str">
        <f aca="false">IF(A36="","",IFERROR(INDEX(SCD_Data!$C$3:$C$502,SUMPRODUCT((SCD_Data!$A$3:$A$502=B36)*(IFERROR(DATEVALUE(SCD_Data!$H$3:$H$502&amp;""),SCD_Data!$H$3:$H$502)&lt;=IFERROR(DATEVALUE(A36&amp;""),A36))*(IFERROR(DATEVALUE(SCD_Data!$I$3:$I$502&amp;""),SCD_Data!$I$3:$I$502)&gt;=IFERROR(DATEVALUE(A36&amp;""),A36))*(ROW(SCD_Data!$A$3:$A$502)-2))),"—"))</f>
        <v/>
      </c>
      <c r="I36" s="25" t="str">
        <f aca="false">IF(A36="","",IFERROR(INDEX(SCD_Data!$D$3:$D$502,SUMPRODUCT((SCD_Data!$A$3:$A$502=B36)*(IFERROR(DATEVALUE(SCD_Data!$H$3:$H$502&amp;""),SCD_Data!$H$3:$H$502)&lt;=IFERROR(DATEVALUE(A36&amp;""),A36))*(IFERROR(DATEVALUE(SCD_Data!$I$3:$I$502&amp;""),SCD_Data!$I$3:$I$502)&gt;=IFERROR(DATEVALUE(A36&amp;""),A36))*(ROW(SCD_Data!$A$3:$A$502)-2))),"—"))</f>
        <v/>
      </c>
      <c r="J36" s="26" t="str">
        <f aca="false">IF(A36="","",IFERROR(INDEX(SCD_Data!$E$3:$E$502,SUMPRODUCT((SCD_Data!$A$3:$A$502=B36)*(IFERROR(DATEVALUE(SCD_Data!$H$3:$H$502&amp;""),SCD_Data!$H$3:$H$502)&lt;=IFERROR(DATEVALUE(A36&amp;""),A36))*(IFERROR(DATEVALUE(SCD_Data!$I$3:$I$502&amp;""),SCD_Data!$I$3:$I$502)&gt;=IFERROR(DATEVALUE(A36&amp;""),A36))*(ROW(SCD_Data!$A$3:$A$502)-2))),"—"))</f>
        <v/>
      </c>
      <c r="K36" s="25" t="str">
        <f aca="false">IF(A36="","",IFERROR(INDEX(SCD_Data!$F$3:$F$502,SUMPRODUCT((SCD_Data!$A$3:$A$502=B36)*(IFERROR(DATEVALUE(SCD_Data!$H$3:$H$502&amp;""),SCD_Data!$H$3:$H$502)&lt;=IFERROR(DATEVALUE(A36&amp;""),A36))*(IFERROR(DATEVALUE(SCD_Data!$I$3:$I$502&amp;""),SCD_Data!$I$3:$I$502)&gt;=IFERROR(DATEVALUE(A36&amp;""),A36))*(ROW(SCD_Data!$A$3:$A$502)-2))),"—"))</f>
        <v/>
      </c>
      <c r="L36" s="25" t="str">
        <f aca="false">IF(A36="","",IFERROR(INDEX(SCD_Data!$G$3:$G$502,SUMPRODUCT((SCD_Data!$A$3:$A$502=B36)*(IFERROR(DATEVALUE(SCD_Data!$H$3:$H$502&amp;""),SCD_Data!$H$3:$H$502)&lt;=IFERROR(DATEVALUE(A36&amp;""),A36))*(IFERROR(DATEVALUE(SCD_Data!$I$3:$I$502&amp;""),SCD_Data!$I$3:$I$502)&gt;=IFERROR(DATEVALUE(A36&amp;""),A36))*(ROW(SCD_Data!$A$3:$A$502)-2))),"—"))</f>
        <v/>
      </c>
      <c r="M36" s="27" t="str">
        <f aca="false">IF(A36="","",IF(H36="—","—",IF(C36&amp;""=H36&amp;"","✓","✗")))</f>
        <v/>
      </c>
      <c r="N36" s="27" t="str">
        <f aca="false">IF(A36="","",IF(H36="—","—",IF(D36&amp;""=I36&amp;"","✓","✗")))</f>
        <v/>
      </c>
      <c r="O36" s="27" t="str">
        <f aca="false">IF(A36="","",IF(H36="—","—",IF(ABS(E36-J36)&lt;0.01,"✓","✗")))</f>
        <v/>
      </c>
      <c r="P36" s="27" t="str">
        <f aca="false">IF(A36="","",IF(H36="—","—",IF(F36&amp;""=K36&amp;"","✓","✗")))</f>
        <v/>
      </c>
      <c r="Q36" s="27" t="str">
        <f aca="false">IF(A36="","",IF(H36="—","—",IF(G36&amp;""=L36&amp;"","✓","✗")))</f>
        <v/>
      </c>
      <c r="R36" s="27" t="str">
        <f aca="false">IF(A36="","",IF(COUNTIF(M36:Q36,"—")=5,"⚠ NO SCD ROW",IF(COUNTIF(M36:Q36,"✗")&gt;0,"❌ MISMATCH","✅ MATCH")))</f>
        <v/>
      </c>
    </row>
    <row r="37" customFormat="false" ht="15" hidden="false" customHeight="true" outlineLevel="0" collapsed="false">
      <c r="A37" s="22" t="str">
        <f aca="false">IF(Daily_Data!A36="","",Daily_Data!A36)</f>
        <v/>
      </c>
      <c r="B37" s="23" t="str">
        <f aca="false">IF(Daily_Data!B36="","",Daily_Data!B36)</f>
        <v/>
      </c>
      <c r="C37" s="23" t="str">
        <f aca="false">IF(A37="","",Daily_Data!C36)</f>
        <v/>
      </c>
      <c r="D37" s="23" t="str">
        <f aca="false">IF(A37="","",Daily_Data!D36)</f>
        <v/>
      </c>
      <c r="E37" s="24" t="str">
        <f aca="false">IF(A37="","",Daily_Data!E36)</f>
        <v/>
      </c>
      <c r="F37" s="23" t="str">
        <f aca="false">IF(A37="","",Daily_Data!F36)</f>
        <v/>
      </c>
      <c r="G37" s="23" t="str">
        <f aca="false">IF(A37="","",Daily_Data!G36)</f>
        <v/>
      </c>
      <c r="H37" s="25" t="str">
        <f aca="false">IF(A37="","",IFERROR(INDEX(SCD_Data!$C$3:$C$502,SUMPRODUCT((SCD_Data!$A$3:$A$502=B37)*(IFERROR(DATEVALUE(SCD_Data!$H$3:$H$502&amp;""),SCD_Data!$H$3:$H$502)&lt;=IFERROR(DATEVALUE(A37&amp;""),A37))*(IFERROR(DATEVALUE(SCD_Data!$I$3:$I$502&amp;""),SCD_Data!$I$3:$I$502)&gt;=IFERROR(DATEVALUE(A37&amp;""),A37))*(ROW(SCD_Data!$A$3:$A$502)-2))),"—"))</f>
        <v/>
      </c>
      <c r="I37" s="25" t="str">
        <f aca="false">IF(A37="","",IFERROR(INDEX(SCD_Data!$D$3:$D$502,SUMPRODUCT((SCD_Data!$A$3:$A$502=B37)*(IFERROR(DATEVALUE(SCD_Data!$H$3:$H$502&amp;""),SCD_Data!$H$3:$H$502)&lt;=IFERROR(DATEVALUE(A37&amp;""),A37))*(IFERROR(DATEVALUE(SCD_Data!$I$3:$I$502&amp;""),SCD_Data!$I$3:$I$502)&gt;=IFERROR(DATEVALUE(A37&amp;""),A37))*(ROW(SCD_Data!$A$3:$A$502)-2))),"—"))</f>
        <v/>
      </c>
      <c r="J37" s="26" t="str">
        <f aca="false">IF(A37="","",IFERROR(INDEX(SCD_Data!$E$3:$E$502,SUMPRODUCT((SCD_Data!$A$3:$A$502=B37)*(IFERROR(DATEVALUE(SCD_Data!$H$3:$H$502&amp;""),SCD_Data!$H$3:$H$502)&lt;=IFERROR(DATEVALUE(A37&amp;""),A37))*(IFERROR(DATEVALUE(SCD_Data!$I$3:$I$502&amp;""),SCD_Data!$I$3:$I$502)&gt;=IFERROR(DATEVALUE(A37&amp;""),A37))*(ROW(SCD_Data!$A$3:$A$502)-2))),"—"))</f>
        <v/>
      </c>
      <c r="K37" s="25" t="str">
        <f aca="false">IF(A37="","",IFERROR(INDEX(SCD_Data!$F$3:$F$502,SUMPRODUCT((SCD_Data!$A$3:$A$502=B37)*(IFERROR(DATEVALUE(SCD_Data!$H$3:$H$502&amp;""),SCD_Data!$H$3:$H$502)&lt;=IFERROR(DATEVALUE(A37&amp;""),A37))*(IFERROR(DATEVALUE(SCD_Data!$I$3:$I$502&amp;""),SCD_Data!$I$3:$I$502)&gt;=IFERROR(DATEVALUE(A37&amp;""),A37))*(ROW(SCD_Data!$A$3:$A$502)-2))),"—"))</f>
        <v/>
      </c>
      <c r="L37" s="25" t="str">
        <f aca="false">IF(A37="","",IFERROR(INDEX(SCD_Data!$G$3:$G$502,SUMPRODUCT((SCD_Data!$A$3:$A$502=B37)*(IFERROR(DATEVALUE(SCD_Data!$H$3:$H$502&amp;""),SCD_Data!$H$3:$H$502)&lt;=IFERROR(DATEVALUE(A37&amp;""),A37))*(IFERROR(DATEVALUE(SCD_Data!$I$3:$I$502&amp;""),SCD_Data!$I$3:$I$502)&gt;=IFERROR(DATEVALUE(A37&amp;""),A37))*(ROW(SCD_Data!$A$3:$A$502)-2))),"—"))</f>
        <v/>
      </c>
      <c r="M37" s="27" t="str">
        <f aca="false">IF(A37="","",IF(H37="—","—",IF(C37&amp;""=H37&amp;"","✓","✗")))</f>
        <v/>
      </c>
      <c r="N37" s="27" t="str">
        <f aca="false">IF(A37="","",IF(H37="—","—",IF(D37&amp;""=I37&amp;"","✓","✗")))</f>
        <v/>
      </c>
      <c r="O37" s="27" t="str">
        <f aca="false">IF(A37="","",IF(H37="—","—",IF(ABS(E37-J37)&lt;0.01,"✓","✗")))</f>
        <v/>
      </c>
      <c r="P37" s="27" t="str">
        <f aca="false">IF(A37="","",IF(H37="—","—",IF(F37&amp;""=K37&amp;"","✓","✗")))</f>
        <v/>
      </c>
      <c r="Q37" s="27" t="str">
        <f aca="false">IF(A37="","",IF(H37="—","—",IF(G37&amp;""=L37&amp;"","✓","✗")))</f>
        <v/>
      </c>
      <c r="R37" s="27" t="str">
        <f aca="false">IF(A37="","",IF(COUNTIF(M37:Q37,"—")=5,"⚠ NO SCD ROW",IF(COUNTIF(M37:Q37,"✗")&gt;0,"❌ MISMATCH","✅ MATCH")))</f>
        <v/>
      </c>
    </row>
    <row r="38" customFormat="false" ht="15" hidden="false" customHeight="true" outlineLevel="0" collapsed="false">
      <c r="A38" s="22" t="str">
        <f aca="false">IF(Daily_Data!A37="","",Daily_Data!A37)</f>
        <v/>
      </c>
      <c r="B38" s="23" t="str">
        <f aca="false">IF(Daily_Data!B37="","",Daily_Data!B37)</f>
        <v/>
      </c>
      <c r="C38" s="23" t="str">
        <f aca="false">IF(A38="","",Daily_Data!C37)</f>
        <v/>
      </c>
      <c r="D38" s="23" t="str">
        <f aca="false">IF(A38="","",Daily_Data!D37)</f>
        <v/>
      </c>
      <c r="E38" s="24" t="str">
        <f aca="false">IF(A38="","",Daily_Data!E37)</f>
        <v/>
      </c>
      <c r="F38" s="23" t="str">
        <f aca="false">IF(A38="","",Daily_Data!F37)</f>
        <v/>
      </c>
      <c r="G38" s="23" t="str">
        <f aca="false">IF(A38="","",Daily_Data!G37)</f>
        <v/>
      </c>
      <c r="H38" s="25" t="str">
        <f aca="false">IF(A38="","",IFERROR(INDEX(SCD_Data!$C$3:$C$502,SUMPRODUCT((SCD_Data!$A$3:$A$502=B38)*(IFERROR(DATEVALUE(SCD_Data!$H$3:$H$502&amp;""),SCD_Data!$H$3:$H$502)&lt;=IFERROR(DATEVALUE(A38&amp;""),A38))*(IFERROR(DATEVALUE(SCD_Data!$I$3:$I$502&amp;""),SCD_Data!$I$3:$I$502)&gt;=IFERROR(DATEVALUE(A38&amp;""),A38))*(ROW(SCD_Data!$A$3:$A$502)-2))),"—"))</f>
        <v/>
      </c>
      <c r="I38" s="25" t="str">
        <f aca="false">IF(A38="","",IFERROR(INDEX(SCD_Data!$D$3:$D$502,SUMPRODUCT((SCD_Data!$A$3:$A$502=B38)*(IFERROR(DATEVALUE(SCD_Data!$H$3:$H$502&amp;""),SCD_Data!$H$3:$H$502)&lt;=IFERROR(DATEVALUE(A38&amp;""),A38))*(IFERROR(DATEVALUE(SCD_Data!$I$3:$I$502&amp;""),SCD_Data!$I$3:$I$502)&gt;=IFERROR(DATEVALUE(A38&amp;""),A38))*(ROW(SCD_Data!$A$3:$A$502)-2))),"—"))</f>
        <v/>
      </c>
      <c r="J38" s="26" t="str">
        <f aca="false">IF(A38="","",IFERROR(INDEX(SCD_Data!$E$3:$E$502,SUMPRODUCT((SCD_Data!$A$3:$A$502=B38)*(IFERROR(DATEVALUE(SCD_Data!$H$3:$H$502&amp;""),SCD_Data!$H$3:$H$502)&lt;=IFERROR(DATEVALUE(A38&amp;""),A38))*(IFERROR(DATEVALUE(SCD_Data!$I$3:$I$502&amp;""),SCD_Data!$I$3:$I$502)&gt;=IFERROR(DATEVALUE(A38&amp;""),A38))*(ROW(SCD_Data!$A$3:$A$502)-2))),"—"))</f>
        <v/>
      </c>
      <c r="K38" s="25" t="str">
        <f aca="false">IF(A38="","",IFERROR(INDEX(SCD_Data!$F$3:$F$502,SUMPRODUCT((SCD_Data!$A$3:$A$502=B38)*(IFERROR(DATEVALUE(SCD_Data!$H$3:$H$502&amp;""),SCD_Data!$H$3:$H$502)&lt;=IFERROR(DATEVALUE(A38&amp;""),A38))*(IFERROR(DATEVALUE(SCD_Data!$I$3:$I$502&amp;""),SCD_Data!$I$3:$I$502)&gt;=IFERROR(DATEVALUE(A38&amp;""),A38))*(ROW(SCD_Data!$A$3:$A$502)-2))),"—"))</f>
        <v/>
      </c>
      <c r="L38" s="25" t="str">
        <f aca="false">IF(A38="","",IFERROR(INDEX(SCD_Data!$G$3:$G$502,SUMPRODUCT((SCD_Data!$A$3:$A$502=B38)*(IFERROR(DATEVALUE(SCD_Data!$H$3:$H$502&amp;""),SCD_Data!$H$3:$H$502)&lt;=IFERROR(DATEVALUE(A38&amp;""),A38))*(IFERROR(DATEVALUE(SCD_Data!$I$3:$I$502&amp;""),SCD_Data!$I$3:$I$502)&gt;=IFERROR(DATEVALUE(A38&amp;""),A38))*(ROW(SCD_Data!$A$3:$A$502)-2))),"—"))</f>
        <v/>
      </c>
      <c r="M38" s="27" t="str">
        <f aca="false">IF(A38="","",IF(H38="—","—",IF(C38&amp;""=H38&amp;"","✓","✗")))</f>
        <v/>
      </c>
      <c r="N38" s="27" t="str">
        <f aca="false">IF(A38="","",IF(H38="—","—",IF(D38&amp;""=I38&amp;"","✓","✗")))</f>
        <v/>
      </c>
      <c r="O38" s="27" t="str">
        <f aca="false">IF(A38="","",IF(H38="—","—",IF(ABS(E38-J38)&lt;0.01,"✓","✗")))</f>
        <v/>
      </c>
      <c r="P38" s="27" t="str">
        <f aca="false">IF(A38="","",IF(H38="—","—",IF(F38&amp;""=K38&amp;"","✓","✗")))</f>
        <v/>
      </c>
      <c r="Q38" s="27" t="str">
        <f aca="false">IF(A38="","",IF(H38="—","—",IF(G38&amp;""=L38&amp;"","✓","✗")))</f>
        <v/>
      </c>
      <c r="R38" s="27" t="str">
        <f aca="false">IF(A38="","",IF(COUNTIF(M38:Q38,"—")=5,"⚠ NO SCD ROW",IF(COUNTIF(M38:Q38,"✗")&gt;0,"❌ MISMATCH","✅ MATCH")))</f>
        <v/>
      </c>
    </row>
    <row r="39" customFormat="false" ht="15" hidden="false" customHeight="true" outlineLevel="0" collapsed="false">
      <c r="A39" s="22" t="str">
        <f aca="false">IF(Daily_Data!A38="","",Daily_Data!A38)</f>
        <v/>
      </c>
      <c r="B39" s="23" t="str">
        <f aca="false">IF(Daily_Data!B38="","",Daily_Data!B38)</f>
        <v/>
      </c>
      <c r="C39" s="23" t="str">
        <f aca="false">IF(A39="","",Daily_Data!C38)</f>
        <v/>
      </c>
      <c r="D39" s="23" t="str">
        <f aca="false">IF(A39="","",Daily_Data!D38)</f>
        <v/>
      </c>
      <c r="E39" s="24" t="str">
        <f aca="false">IF(A39="","",Daily_Data!E38)</f>
        <v/>
      </c>
      <c r="F39" s="23" t="str">
        <f aca="false">IF(A39="","",Daily_Data!F38)</f>
        <v/>
      </c>
      <c r="G39" s="23" t="str">
        <f aca="false">IF(A39="","",Daily_Data!G38)</f>
        <v/>
      </c>
      <c r="H39" s="25" t="str">
        <f aca="false">IF(A39="","",IFERROR(INDEX(SCD_Data!$C$3:$C$502,SUMPRODUCT((SCD_Data!$A$3:$A$502=B39)*(IFERROR(DATEVALUE(SCD_Data!$H$3:$H$502&amp;""),SCD_Data!$H$3:$H$502)&lt;=IFERROR(DATEVALUE(A39&amp;""),A39))*(IFERROR(DATEVALUE(SCD_Data!$I$3:$I$502&amp;""),SCD_Data!$I$3:$I$502)&gt;=IFERROR(DATEVALUE(A39&amp;""),A39))*(ROW(SCD_Data!$A$3:$A$502)-2))),"—"))</f>
        <v/>
      </c>
      <c r="I39" s="25" t="str">
        <f aca="false">IF(A39="","",IFERROR(INDEX(SCD_Data!$D$3:$D$502,SUMPRODUCT((SCD_Data!$A$3:$A$502=B39)*(IFERROR(DATEVALUE(SCD_Data!$H$3:$H$502&amp;""),SCD_Data!$H$3:$H$502)&lt;=IFERROR(DATEVALUE(A39&amp;""),A39))*(IFERROR(DATEVALUE(SCD_Data!$I$3:$I$502&amp;""),SCD_Data!$I$3:$I$502)&gt;=IFERROR(DATEVALUE(A39&amp;""),A39))*(ROW(SCD_Data!$A$3:$A$502)-2))),"—"))</f>
        <v/>
      </c>
      <c r="J39" s="26" t="str">
        <f aca="false">IF(A39="","",IFERROR(INDEX(SCD_Data!$E$3:$E$502,SUMPRODUCT((SCD_Data!$A$3:$A$502=B39)*(IFERROR(DATEVALUE(SCD_Data!$H$3:$H$502&amp;""),SCD_Data!$H$3:$H$502)&lt;=IFERROR(DATEVALUE(A39&amp;""),A39))*(IFERROR(DATEVALUE(SCD_Data!$I$3:$I$502&amp;""),SCD_Data!$I$3:$I$502)&gt;=IFERROR(DATEVALUE(A39&amp;""),A39))*(ROW(SCD_Data!$A$3:$A$502)-2))),"—"))</f>
        <v/>
      </c>
      <c r="K39" s="25" t="str">
        <f aca="false">IF(A39="","",IFERROR(INDEX(SCD_Data!$F$3:$F$502,SUMPRODUCT((SCD_Data!$A$3:$A$502=B39)*(IFERROR(DATEVALUE(SCD_Data!$H$3:$H$502&amp;""),SCD_Data!$H$3:$H$502)&lt;=IFERROR(DATEVALUE(A39&amp;""),A39))*(IFERROR(DATEVALUE(SCD_Data!$I$3:$I$502&amp;""),SCD_Data!$I$3:$I$502)&gt;=IFERROR(DATEVALUE(A39&amp;""),A39))*(ROW(SCD_Data!$A$3:$A$502)-2))),"—"))</f>
        <v/>
      </c>
      <c r="L39" s="25" t="str">
        <f aca="false">IF(A39="","",IFERROR(INDEX(SCD_Data!$G$3:$G$502,SUMPRODUCT((SCD_Data!$A$3:$A$502=B39)*(IFERROR(DATEVALUE(SCD_Data!$H$3:$H$502&amp;""),SCD_Data!$H$3:$H$502)&lt;=IFERROR(DATEVALUE(A39&amp;""),A39))*(IFERROR(DATEVALUE(SCD_Data!$I$3:$I$502&amp;""),SCD_Data!$I$3:$I$502)&gt;=IFERROR(DATEVALUE(A39&amp;""),A39))*(ROW(SCD_Data!$A$3:$A$502)-2))),"—"))</f>
        <v/>
      </c>
      <c r="M39" s="27" t="str">
        <f aca="false">IF(A39="","",IF(H39="—","—",IF(C39&amp;""=H39&amp;"","✓","✗")))</f>
        <v/>
      </c>
      <c r="N39" s="27" t="str">
        <f aca="false">IF(A39="","",IF(H39="—","—",IF(D39&amp;""=I39&amp;"","✓","✗")))</f>
        <v/>
      </c>
      <c r="O39" s="27" t="str">
        <f aca="false">IF(A39="","",IF(H39="—","—",IF(ABS(E39-J39)&lt;0.01,"✓","✗")))</f>
        <v/>
      </c>
      <c r="P39" s="27" t="str">
        <f aca="false">IF(A39="","",IF(H39="—","—",IF(F39&amp;""=K39&amp;"","✓","✗")))</f>
        <v/>
      </c>
      <c r="Q39" s="27" t="str">
        <f aca="false">IF(A39="","",IF(H39="—","—",IF(G39&amp;""=L39&amp;"","✓","✗")))</f>
        <v/>
      </c>
      <c r="R39" s="27" t="str">
        <f aca="false">IF(A39="","",IF(COUNTIF(M39:Q39,"—")=5,"⚠ NO SCD ROW",IF(COUNTIF(M39:Q39,"✗")&gt;0,"❌ MISMATCH","✅ MATCH")))</f>
        <v/>
      </c>
    </row>
    <row r="40" customFormat="false" ht="15" hidden="false" customHeight="true" outlineLevel="0" collapsed="false">
      <c r="A40" s="22" t="str">
        <f aca="false">IF(Daily_Data!A39="","",Daily_Data!A39)</f>
        <v/>
      </c>
      <c r="B40" s="23" t="str">
        <f aca="false">IF(Daily_Data!B39="","",Daily_Data!B39)</f>
        <v/>
      </c>
      <c r="C40" s="23" t="str">
        <f aca="false">IF(A40="","",Daily_Data!C39)</f>
        <v/>
      </c>
      <c r="D40" s="23" t="str">
        <f aca="false">IF(A40="","",Daily_Data!D39)</f>
        <v/>
      </c>
      <c r="E40" s="24" t="str">
        <f aca="false">IF(A40="","",Daily_Data!E39)</f>
        <v/>
      </c>
      <c r="F40" s="23" t="str">
        <f aca="false">IF(A40="","",Daily_Data!F39)</f>
        <v/>
      </c>
      <c r="G40" s="23" t="str">
        <f aca="false">IF(A40="","",Daily_Data!G39)</f>
        <v/>
      </c>
      <c r="H40" s="25" t="str">
        <f aca="false">IF(A40="","",IFERROR(INDEX(SCD_Data!$C$3:$C$502,SUMPRODUCT((SCD_Data!$A$3:$A$502=B40)*(IFERROR(DATEVALUE(SCD_Data!$H$3:$H$502&amp;""),SCD_Data!$H$3:$H$502)&lt;=IFERROR(DATEVALUE(A40&amp;""),A40))*(IFERROR(DATEVALUE(SCD_Data!$I$3:$I$502&amp;""),SCD_Data!$I$3:$I$502)&gt;=IFERROR(DATEVALUE(A40&amp;""),A40))*(ROW(SCD_Data!$A$3:$A$502)-2))),"—"))</f>
        <v/>
      </c>
      <c r="I40" s="25" t="str">
        <f aca="false">IF(A40="","",IFERROR(INDEX(SCD_Data!$D$3:$D$502,SUMPRODUCT((SCD_Data!$A$3:$A$502=B40)*(IFERROR(DATEVALUE(SCD_Data!$H$3:$H$502&amp;""),SCD_Data!$H$3:$H$502)&lt;=IFERROR(DATEVALUE(A40&amp;""),A40))*(IFERROR(DATEVALUE(SCD_Data!$I$3:$I$502&amp;""),SCD_Data!$I$3:$I$502)&gt;=IFERROR(DATEVALUE(A40&amp;""),A40))*(ROW(SCD_Data!$A$3:$A$502)-2))),"—"))</f>
        <v/>
      </c>
      <c r="J40" s="26" t="str">
        <f aca="false">IF(A40="","",IFERROR(INDEX(SCD_Data!$E$3:$E$502,SUMPRODUCT((SCD_Data!$A$3:$A$502=B40)*(IFERROR(DATEVALUE(SCD_Data!$H$3:$H$502&amp;""),SCD_Data!$H$3:$H$502)&lt;=IFERROR(DATEVALUE(A40&amp;""),A40))*(IFERROR(DATEVALUE(SCD_Data!$I$3:$I$502&amp;""),SCD_Data!$I$3:$I$502)&gt;=IFERROR(DATEVALUE(A40&amp;""),A40))*(ROW(SCD_Data!$A$3:$A$502)-2))),"—"))</f>
        <v/>
      </c>
      <c r="K40" s="25" t="str">
        <f aca="false">IF(A40="","",IFERROR(INDEX(SCD_Data!$F$3:$F$502,SUMPRODUCT((SCD_Data!$A$3:$A$502=B40)*(IFERROR(DATEVALUE(SCD_Data!$H$3:$H$502&amp;""),SCD_Data!$H$3:$H$502)&lt;=IFERROR(DATEVALUE(A40&amp;""),A40))*(IFERROR(DATEVALUE(SCD_Data!$I$3:$I$502&amp;""),SCD_Data!$I$3:$I$502)&gt;=IFERROR(DATEVALUE(A40&amp;""),A40))*(ROW(SCD_Data!$A$3:$A$502)-2))),"—"))</f>
        <v/>
      </c>
      <c r="L40" s="25" t="str">
        <f aca="false">IF(A40="","",IFERROR(INDEX(SCD_Data!$G$3:$G$502,SUMPRODUCT((SCD_Data!$A$3:$A$502=B40)*(IFERROR(DATEVALUE(SCD_Data!$H$3:$H$502&amp;""),SCD_Data!$H$3:$H$502)&lt;=IFERROR(DATEVALUE(A40&amp;""),A40))*(IFERROR(DATEVALUE(SCD_Data!$I$3:$I$502&amp;""),SCD_Data!$I$3:$I$502)&gt;=IFERROR(DATEVALUE(A40&amp;""),A40))*(ROW(SCD_Data!$A$3:$A$502)-2))),"—"))</f>
        <v/>
      </c>
      <c r="M40" s="27" t="str">
        <f aca="false">IF(A40="","",IF(H40="—","—",IF(C40&amp;""=H40&amp;"","✓","✗")))</f>
        <v/>
      </c>
      <c r="N40" s="27" t="str">
        <f aca="false">IF(A40="","",IF(H40="—","—",IF(D40&amp;""=I40&amp;"","✓","✗")))</f>
        <v/>
      </c>
      <c r="O40" s="27" t="str">
        <f aca="false">IF(A40="","",IF(H40="—","—",IF(ABS(E40-J40)&lt;0.01,"✓","✗")))</f>
        <v/>
      </c>
      <c r="P40" s="27" t="str">
        <f aca="false">IF(A40="","",IF(H40="—","—",IF(F40&amp;""=K40&amp;"","✓","✗")))</f>
        <v/>
      </c>
      <c r="Q40" s="27" t="str">
        <f aca="false">IF(A40="","",IF(H40="—","—",IF(G40&amp;""=L40&amp;"","✓","✗")))</f>
        <v/>
      </c>
      <c r="R40" s="27" t="str">
        <f aca="false">IF(A40="","",IF(COUNTIF(M40:Q40,"—")=5,"⚠ NO SCD ROW",IF(COUNTIF(M40:Q40,"✗")&gt;0,"❌ MISMATCH","✅ MATCH")))</f>
        <v/>
      </c>
    </row>
    <row r="41" customFormat="false" ht="15" hidden="false" customHeight="true" outlineLevel="0" collapsed="false">
      <c r="A41" s="22" t="str">
        <f aca="false">IF(Daily_Data!A40="","",Daily_Data!A40)</f>
        <v/>
      </c>
      <c r="B41" s="23" t="str">
        <f aca="false">IF(Daily_Data!B40="","",Daily_Data!B40)</f>
        <v/>
      </c>
      <c r="C41" s="23" t="str">
        <f aca="false">IF(A41="","",Daily_Data!C40)</f>
        <v/>
      </c>
      <c r="D41" s="23" t="str">
        <f aca="false">IF(A41="","",Daily_Data!D40)</f>
        <v/>
      </c>
      <c r="E41" s="24" t="str">
        <f aca="false">IF(A41="","",Daily_Data!E40)</f>
        <v/>
      </c>
      <c r="F41" s="23" t="str">
        <f aca="false">IF(A41="","",Daily_Data!F40)</f>
        <v/>
      </c>
      <c r="G41" s="23" t="str">
        <f aca="false">IF(A41="","",Daily_Data!G40)</f>
        <v/>
      </c>
      <c r="H41" s="25" t="str">
        <f aca="false">IF(A41="","",IFERROR(INDEX(SCD_Data!$C$3:$C$502,SUMPRODUCT((SCD_Data!$A$3:$A$502=B41)*(IFERROR(DATEVALUE(SCD_Data!$H$3:$H$502&amp;""),SCD_Data!$H$3:$H$502)&lt;=IFERROR(DATEVALUE(A41&amp;""),A41))*(IFERROR(DATEVALUE(SCD_Data!$I$3:$I$502&amp;""),SCD_Data!$I$3:$I$502)&gt;=IFERROR(DATEVALUE(A41&amp;""),A41))*(ROW(SCD_Data!$A$3:$A$502)-2))),"—"))</f>
        <v/>
      </c>
      <c r="I41" s="25" t="str">
        <f aca="false">IF(A41="","",IFERROR(INDEX(SCD_Data!$D$3:$D$502,SUMPRODUCT((SCD_Data!$A$3:$A$502=B41)*(IFERROR(DATEVALUE(SCD_Data!$H$3:$H$502&amp;""),SCD_Data!$H$3:$H$502)&lt;=IFERROR(DATEVALUE(A41&amp;""),A41))*(IFERROR(DATEVALUE(SCD_Data!$I$3:$I$502&amp;""),SCD_Data!$I$3:$I$502)&gt;=IFERROR(DATEVALUE(A41&amp;""),A41))*(ROW(SCD_Data!$A$3:$A$502)-2))),"—"))</f>
        <v/>
      </c>
      <c r="J41" s="26" t="str">
        <f aca="false">IF(A41="","",IFERROR(INDEX(SCD_Data!$E$3:$E$502,SUMPRODUCT((SCD_Data!$A$3:$A$502=B41)*(IFERROR(DATEVALUE(SCD_Data!$H$3:$H$502&amp;""),SCD_Data!$H$3:$H$502)&lt;=IFERROR(DATEVALUE(A41&amp;""),A41))*(IFERROR(DATEVALUE(SCD_Data!$I$3:$I$502&amp;""),SCD_Data!$I$3:$I$502)&gt;=IFERROR(DATEVALUE(A41&amp;""),A41))*(ROW(SCD_Data!$A$3:$A$502)-2))),"—"))</f>
        <v/>
      </c>
      <c r="K41" s="25" t="str">
        <f aca="false">IF(A41="","",IFERROR(INDEX(SCD_Data!$F$3:$F$502,SUMPRODUCT((SCD_Data!$A$3:$A$502=B41)*(IFERROR(DATEVALUE(SCD_Data!$H$3:$H$502&amp;""),SCD_Data!$H$3:$H$502)&lt;=IFERROR(DATEVALUE(A41&amp;""),A41))*(IFERROR(DATEVALUE(SCD_Data!$I$3:$I$502&amp;""),SCD_Data!$I$3:$I$502)&gt;=IFERROR(DATEVALUE(A41&amp;""),A41))*(ROW(SCD_Data!$A$3:$A$502)-2))),"—"))</f>
        <v/>
      </c>
      <c r="L41" s="25" t="str">
        <f aca="false">IF(A41="","",IFERROR(INDEX(SCD_Data!$G$3:$G$502,SUMPRODUCT((SCD_Data!$A$3:$A$502=B41)*(IFERROR(DATEVALUE(SCD_Data!$H$3:$H$502&amp;""),SCD_Data!$H$3:$H$502)&lt;=IFERROR(DATEVALUE(A41&amp;""),A41))*(IFERROR(DATEVALUE(SCD_Data!$I$3:$I$502&amp;""),SCD_Data!$I$3:$I$502)&gt;=IFERROR(DATEVALUE(A41&amp;""),A41))*(ROW(SCD_Data!$A$3:$A$502)-2))),"—"))</f>
        <v/>
      </c>
      <c r="M41" s="27" t="str">
        <f aca="false">IF(A41="","",IF(H41="—","—",IF(C41&amp;""=H41&amp;"","✓","✗")))</f>
        <v/>
      </c>
      <c r="N41" s="27" t="str">
        <f aca="false">IF(A41="","",IF(H41="—","—",IF(D41&amp;""=I41&amp;"","✓","✗")))</f>
        <v/>
      </c>
      <c r="O41" s="27" t="str">
        <f aca="false">IF(A41="","",IF(H41="—","—",IF(ABS(E41-J41)&lt;0.01,"✓","✗")))</f>
        <v/>
      </c>
      <c r="P41" s="27" t="str">
        <f aca="false">IF(A41="","",IF(H41="—","—",IF(F41&amp;""=K41&amp;"","✓","✗")))</f>
        <v/>
      </c>
      <c r="Q41" s="27" t="str">
        <f aca="false">IF(A41="","",IF(H41="—","—",IF(G41&amp;""=L41&amp;"","✓","✗")))</f>
        <v/>
      </c>
      <c r="R41" s="27" t="str">
        <f aca="false">IF(A41="","",IF(COUNTIF(M41:Q41,"—")=5,"⚠ NO SCD ROW",IF(COUNTIF(M41:Q41,"✗")&gt;0,"❌ MISMATCH","✅ MATCH")))</f>
        <v/>
      </c>
    </row>
    <row r="42" customFormat="false" ht="15" hidden="false" customHeight="true" outlineLevel="0" collapsed="false">
      <c r="A42" s="22" t="str">
        <f aca="false">IF(Daily_Data!A41="","",Daily_Data!A41)</f>
        <v/>
      </c>
      <c r="B42" s="23" t="str">
        <f aca="false">IF(Daily_Data!B41="","",Daily_Data!B41)</f>
        <v/>
      </c>
      <c r="C42" s="23" t="str">
        <f aca="false">IF(A42="","",Daily_Data!C41)</f>
        <v/>
      </c>
      <c r="D42" s="23" t="str">
        <f aca="false">IF(A42="","",Daily_Data!D41)</f>
        <v/>
      </c>
      <c r="E42" s="24" t="str">
        <f aca="false">IF(A42="","",Daily_Data!E41)</f>
        <v/>
      </c>
      <c r="F42" s="23" t="str">
        <f aca="false">IF(A42="","",Daily_Data!F41)</f>
        <v/>
      </c>
      <c r="G42" s="23" t="str">
        <f aca="false">IF(A42="","",Daily_Data!G41)</f>
        <v/>
      </c>
      <c r="H42" s="25" t="str">
        <f aca="false">IF(A42="","",IFERROR(INDEX(SCD_Data!$C$3:$C$502,SUMPRODUCT((SCD_Data!$A$3:$A$502=B42)*(IFERROR(DATEVALUE(SCD_Data!$H$3:$H$502&amp;""),SCD_Data!$H$3:$H$502)&lt;=IFERROR(DATEVALUE(A42&amp;""),A42))*(IFERROR(DATEVALUE(SCD_Data!$I$3:$I$502&amp;""),SCD_Data!$I$3:$I$502)&gt;=IFERROR(DATEVALUE(A42&amp;""),A42))*(ROW(SCD_Data!$A$3:$A$502)-2))),"—"))</f>
        <v/>
      </c>
      <c r="I42" s="25" t="str">
        <f aca="false">IF(A42="","",IFERROR(INDEX(SCD_Data!$D$3:$D$502,SUMPRODUCT((SCD_Data!$A$3:$A$502=B42)*(IFERROR(DATEVALUE(SCD_Data!$H$3:$H$502&amp;""),SCD_Data!$H$3:$H$502)&lt;=IFERROR(DATEVALUE(A42&amp;""),A42))*(IFERROR(DATEVALUE(SCD_Data!$I$3:$I$502&amp;""),SCD_Data!$I$3:$I$502)&gt;=IFERROR(DATEVALUE(A42&amp;""),A42))*(ROW(SCD_Data!$A$3:$A$502)-2))),"—"))</f>
        <v/>
      </c>
      <c r="J42" s="26" t="str">
        <f aca="false">IF(A42="","",IFERROR(INDEX(SCD_Data!$E$3:$E$502,SUMPRODUCT((SCD_Data!$A$3:$A$502=B42)*(IFERROR(DATEVALUE(SCD_Data!$H$3:$H$502&amp;""),SCD_Data!$H$3:$H$502)&lt;=IFERROR(DATEVALUE(A42&amp;""),A42))*(IFERROR(DATEVALUE(SCD_Data!$I$3:$I$502&amp;""),SCD_Data!$I$3:$I$502)&gt;=IFERROR(DATEVALUE(A42&amp;""),A42))*(ROW(SCD_Data!$A$3:$A$502)-2))),"—"))</f>
        <v/>
      </c>
      <c r="K42" s="25" t="str">
        <f aca="false">IF(A42="","",IFERROR(INDEX(SCD_Data!$F$3:$F$502,SUMPRODUCT((SCD_Data!$A$3:$A$502=B42)*(IFERROR(DATEVALUE(SCD_Data!$H$3:$H$502&amp;""),SCD_Data!$H$3:$H$502)&lt;=IFERROR(DATEVALUE(A42&amp;""),A42))*(IFERROR(DATEVALUE(SCD_Data!$I$3:$I$502&amp;""),SCD_Data!$I$3:$I$502)&gt;=IFERROR(DATEVALUE(A42&amp;""),A42))*(ROW(SCD_Data!$A$3:$A$502)-2))),"—"))</f>
        <v/>
      </c>
      <c r="L42" s="25" t="str">
        <f aca="false">IF(A42="","",IFERROR(INDEX(SCD_Data!$G$3:$G$502,SUMPRODUCT((SCD_Data!$A$3:$A$502=B42)*(IFERROR(DATEVALUE(SCD_Data!$H$3:$H$502&amp;""),SCD_Data!$H$3:$H$502)&lt;=IFERROR(DATEVALUE(A42&amp;""),A42))*(IFERROR(DATEVALUE(SCD_Data!$I$3:$I$502&amp;""),SCD_Data!$I$3:$I$502)&gt;=IFERROR(DATEVALUE(A42&amp;""),A42))*(ROW(SCD_Data!$A$3:$A$502)-2))),"—"))</f>
        <v/>
      </c>
      <c r="M42" s="27" t="str">
        <f aca="false">IF(A42="","",IF(H42="—","—",IF(C42&amp;""=H42&amp;"","✓","✗")))</f>
        <v/>
      </c>
      <c r="N42" s="27" t="str">
        <f aca="false">IF(A42="","",IF(H42="—","—",IF(D42&amp;""=I42&amp;"","✓","✗")))</f>
        <v/>
      </c>
      <c r="O42" s="27" t="str">
        <f aca="false">IF(A42="","",IF(H42="—","—",IF(ABS(E42-J42)&lt;0.01,"✓","✗")))</f>
        <v/>
      </c>
      <c r="P42" s="27" t="str">
        <f aca="false">IF(A42="","",IF(H42="—","—",IF(F42&amp;""=K42&amp;"","✓","✗")))</f>
        <v/>
      </c>
      <c r="Q42" s="27" t="str">
        <f aca="false">IF(A42="","",IF(H42="—","—",IF(G42&amp;""=L42&amp;"","✓","✗")))</f>
        <v/>
      </c>
      <c r="R42" s="27" t="str">
        <f aca="false">IF(A42="","",IF(COUNTIF(M42:Q42,"—")=5,"⚠ NO SCD ROW",IF(COUNTIF(M42:Q42,"✗")&gt;0,"❌ MISMATCH","✅ MATCH")))</f>
        <v/>
      </c>
    </row>
    <row r="43" customFormat="false" ht="15" hidden="false" customHeight="true" outlineLevel="0" collapsed="false">
      <c r="A43" s="22" t="str">
        <f aca="false">IF(Daily_Data!A42="","",Daily_Data!A42)</f>
        <v/>
      </c>
      <c r="B43" s="23" t="str">
        <f aca="false">IF(Daily_Data!B42="","",Daily_Data!B42)</f>
        <v/>
      </c>
      <c r="C43" s="23" t="str">
        <f aca="false">IF(A43="","",Daily_Data!C42)</f>
        <v/>
      </c>
      <c r="D43" s="23" t="str">
        <f aca="false">IF(A43="","",Daily_Data!D42)</f>
        <v/>
      </c>
      <c r="E43" s="24" t="str">
        <f aca="false">IF(A43="","",Daily_Data!E42)</f>
        <v/>
      </c>
      <c r="F43" s="23" t="str">
        <f aca="false">IF(A43="","",Daily_Data!F42)</f>
        <v/>
      </c>
      <c r="G43" s="23" t="str">
        <f aca="false">IF(A43="","",Daily_Data!G42)</f>
        <v/>
      </c>
      <c r="H43" s="25" t="str">
        <f aca="false">IF(A43="","",IFERROR(INDEX(SCD_Data!$C$3:$C$502,SUMPRODUCT((SCD_Data!$A$3:$A$502=B43)*(IFERROR(DATEVALUE(SCD_Data!$H$3:$H$502&amp;""),SCD_Data!$H$3:$H$502)&lt;=IFERROR(DATEVALUE(A43&amp;""),A43))*(IFERROR(DATEVALUE(SCD_Data!$I$3:$I$502&amp;""),SCD_Data!$I$3:$I$502)&gt;=IFERROR(DATEVALUE(A43&amp;""),A43))*(ROW(SCD_Data!$A$3:$A$502)-2))),"—"))</f>
        <v/>
      </c>
      <c r="I43" s="25" t="str">
        <f aca="false">IF(A43="","",IFERROR(INDEX(SCD_Data!$D$3:$D$502,SUMPRODUCT((SCD_Data!$A$3:$A$502=B43)*(IFERROR(DATEVALUE(SCD_Data!$H$3:$H$502&amp;""),SCD_Data!$H$3:$H$502)&lt;=IFERROR(DATEVALUE(A43&amp;""),A43))*(IFERROR(DATEVALUE(SCD_Data!$I$3:$I$502&amp;""),SCD_Data!$I$3:$I$502)&gt;=IFERROR(DATEVALUE(A43&amp;""),A43))*(ROW(SCD_Data!$A$3:$A$502)-2))),"—"))</f>
        <v/>
      </c>
      <c r="J43" s="26" t="str">
        <f aca="false">IF(A43="","",IFERROR(INDEX(SCD_Data!$E$3:$E$502,SUMPRODUCT((SCD_Data!$A$3:$A$502=B43)*(IFERROR(DATEVALUE(SCD_Data!$H$3:$H$502&amp;""),SCD_Data!$H$3:$H$502)&lt;=IFERROR(DATEVALUE(A43&amp;""),A43))*(IFERROR(DATEVALUE(SCD_Data!$I$3:$I$502&amp;""),SCD_Data!$I$3:$I$502)&gt;=IFERROR(DATEVALUE(A43&amp;""),A43))*(ROW(SCD_Data!$A$3:$A$502)-2))),"—"))</f>
        <v/>
      </c>
      <c r="K43" s="25" t="str">
        <f aca="false">IF(A43="","",IFERROR(INDEX(SCD_Data!$F$3:$F$502,SUMPRODUCT((SCD_Data!$A$3:$A$502=B43)*(IFERROR(DATEVALUE(SCD_Data!$H$3:$H$502&amp;""),SCD_Data!$H$3:$H$502)&lt;=IFERROR(DATEVALUE(A43&amp;""),A43))*(IFERROR(DATEVALUE(SCD_Data!$I$3:$I$502&amp;""),SCD_Data!$I$3:$I$502)&gt;=IFERROR(DATEVALUE(A43&amp;""),A43))*(ROW(SCD_Data!$A$3:$A$502)-2))),"—"))</f>
        <v/>
      </c>
      <c r="L43" s="25" t="str">
        <f aca="false">IF(A43="","",IFERROR(INDEX(SCD_Data!$G$3:$G$502,SUMPRODUCT((SCD_Data!$A$3:$A$502=B43)*(IFERROR(DATEVALUE(SCD_Data!$H$3:$H$502&amp;""),SCD_Data!$H$3:$H$502)&lt;=IFERROR(DATEVALUE(A43&amp;""),A43))*(IFERROR(DATEVALUE(SCD_Data!$I$3:$I$502&amp;""),SCD_Data!$I$3:$I$502)&gt;=IFERROR(DATEVALUE(A43&amp;""),A43))*(ROW(SCD_Data!$A$3:$A$502)-2))),"—"))</f>
        <v/>
      </c>
      <c r="M43" s="27" t="str">
        <f aca="false">IF(A43="","",IF(H43="—","—",IF(C43&amp;""=H43&amp;"","✓","✗")))</f>
        <v/>
      </c>
      <c r="N43" s="27" t="str">
        <f aca="false">IF(A43="","",IF(H43="—","—",IF(D43&amp;""=I43&amp;"","✓","✗")))</f>
        <v/>
      </c>
      <c r="O43" s="27" t="str">
        <f aca="false">IF(A43="","",IF(H43="—","—",IF(ABS(E43-J43)&lt;0.01,"✓","✗")))</f>
        <v/>
      </c>
      <c r="P43" s="27" t="str">
        <f aca="false">IF(A43="","",IF(H43="—","—",IF(F43&amp;""=K43&amp;"","✓","✗")))</f>
        <v/>
      </c>
      <c r="Q43" s="27" t="str">
        <f aca="false">IF(A43="","",IF(H43="—","—",IF(G43&amp;""=L43&amp;"","✓","✗")))</f>
        <v/>
      </c>
      <c r="R43" s="27" t="str">
        <f aca="false">IF(A43="","",IF(COUNTIF(M43:Q43,"—")=5,"⚠ NO SCD ROW",IF(COUNTIF(M43:Q43,"✗")&gt;0,"❌ MISMATCH","✅ MATCH")))</f>
        <v/>
      </c>
    </row>
    <row r="44" customFormat="false" ht="15" hidden="false" customHeight="true" outlineLevel="0" collapsed="false">
      <c r="A44" s="22" t="str">
        <f aca="false">IF(Daily_Data!A43="","",Daily_Data!A43)</f>
        <v/>
      </c>
      <c r="B44" s="23" t="str">
        <f aca="false">IF(Daily_Data!B43="","",Daily_Data!B43)</f>
        <v/>
      </c>
      <c r="C44" s="23" t="str">
        <f aca="false">IF(A44="","",Daily_Data!C43)</f>
        <v/>
      </c>
      <c r="D44" s="23" t="str">
        <f aca="false">IF(A44="","",Daily_Data!D43)</f>
        <v/>
      </c>
      <c r="E44" s="24" t="str">
        <f aca="false">IF(A44="","",Daily_Data!E43)</f>
        <v/>
      </c>
      <c r="F44" s="23" t="str">
        <f aca="false">IF(A44="","",Daily_Data!F43)</f>
        <v/>
      </c>
      <c r="G44" s="23" t="str">
        <f aca="false">IF(A44="","",Daily_Data!G43)</f>
        <v/>
      </c>
      <c r="H44" s="25" t="str">
        <f aca="false">IF(A44="","",IFERROR(INDEX(SCD_Data!$C$3:$C$502,SUMPRODUCT((SCD_Data!$A$3:$A$502=B44)*(IFERROR(DATEVALUE(SCD_Data!$H$3:$H$502&amp;""),SCD_Data!$H$3:$H$502)&lt;=IFERROR(DATEVALUE(A44&amp;""),A44))*(IFERROR(DATEVALUE(SCD_Data!$I$3:$I$502&amp;""),SCD_Data!$I$3:$I$502)&gt;=IFERROR(DATEVALUE(A44&amp;""),A44))*(ROW(SCD_Data!$A$3:$A$502)-2))),"—"))</f>
        <v/>
      </c>
      <c r="I44" s="25" t="str">
        <f aca="false">IF(A44="","",IFERROR(INDEX(SCD_Data!$D$3:$D$502,SUMPRODUCT((SCD_Data!$A$3:$A$502=B44)*(IFERROR(DATEVALUE(SCD_Data!$H$3:$H$502&amp;""),SCD_Data!$H$3:$H$502)&lt;=IFERROR(DATEVALUE(A44&amp;""),A44))*(IFERROR(DATEVALUE(SCD_Data!$I$3:$I$502&amp;""),SCD_Data!$I$3:$I$502)&gt;=IFERROR(DATEVALUE(A44&amp;""),A44))*(ROW(SCD_Data!$A$3:$A$502)-2))),"—"))</f>
        <v/>
      </c>
      <c r="J44" s="26" t="str">
        <f aca="false">IF(A44="","",IFERROR(INDEX(SCD_Data!$E$3:$E$502,SUMPRODUCT((SCD_Data!$A$3:$A$502=B44)*(IFERROR(DATEVALUE(SCD_Data!$H$3:$H$502&amp;""),SCD_Data!$H$3:$H$502)&lt;=IFERROR(DATEVALUE(A44&amp;""),A44))*(IFERROR(DATEVALUE(SCD_Data!$I$3:$I$502&amp;""),SCD_Data!$I$3:$I$502)&gt;=IFERROR(DATEVALUE(A44&amp;""),A44))*(ROW(SCD_Data!$A$3:$A$502)-2))),"—"))</f>
        <v/>
      </c>
      <c r="K44" s="25" t="str">
        <f aca="false">IF(A44="","",IFERROR(INDEX(SCD_Data!$F$3:$F$502,SUMPRODUCT((SCD_Data!$A$3:$A$502=B44)*(IFERROR(DATEVALUE(SCD_Data!$H$3:$H$502&amp;""),SCD_Data!$H$3:$H$502)&lt;=IFERROR(DATEVALUE(A44&amp;""),A44))*(IFERROR(DATEVALUE(SCD_Data!$I$3:$I$502&amp;""),SCD_Data!$I$3:$I$502)&gt;=IFERROR(DATEVALUE(A44&amp;""),A44))*(ROW(SCD_Data!$A$3:$A$502)-2))),"—"))</f>
        <v/>
      </c>
      <c r="L44" s="25" t="str">
        <f aca="false">IF(A44="","",IFERROR(INDEX(SCD_Data!$G$3:$G$502,SUMPRODUCT((SCD_Data!$A$3:$A$502=B44)*(IFERROR(DATEVALUE(SCD_Data!$H$3:$H$502&amp;""),SCD_Data!$H$3:$H$502)&lt;=IFERROR(DATEVALUE(A44&amp;""),A44))*(IFERROR(DATEVALUE(SCD_Data!$I$3:$I$502&amp;""),SCD_Data!$I$3:$I$502)&gt;=IFERROR(DATEVALUE(A44&amp;""),A44))*(ROW(SCD_Data!$A$3:$A$502)-2))),"—"))</f>
        <v/>
      </c>
      <c r="M44" s="27" t="str">
        <f aca="false">IF(A44="","",IF(H44="—","—",IF(C44&amp;""=H44&amp;"","✓","✗")))</f>
        <v/>
      </c>
      <c r="N44" s="27" t="str">
        <f aca="false">IF(A44="","",IF(H44="—","—",IF(D44&amp;""=I44&amp;"","✓","✗")))</f>
        <v/>
      </c>
      <c r="O44" s="27" t="str">
        <f aca="false">IF(A44="","",IF(H44="—","—",IF(ABS(E44-J44)&lt;0.01,"✓","✗")))</f>
        <v/>
      </c>
      <c r="P44" s="27" t="str">
        <f aca="false">IF(A44="","",IF(H44="—","—",IF(F44&amp;""=K44&amp;"","✓","✗")))</f>
        <v/>
      </c>
      <c r="Q44" s="27" t="str">
        <f aca="false">IF(A44="","",IF(H44="—","—",IF(G44&amp;""=L44&amp;"","✓","✗")))</f>
        <v/>
      </c>
      <c r="R44" s="27" t="str">
        <f aca="false">IF(A44="","",IF(COUNTIF(M44:Q44,"—")=5,"⚠ NO SCD ROW",IF(COUNTIF(M44:Q44,"✗")&gt;0,"❌ MISMATCH","✅ MATCH")))</f>
        <v/>
      </c>
    </row>
    <row r="45" customFormat="false" ht="15" hidden="false" customHeight="true" outlineLevel="0" collapsed="false">
      <c r="A45" s="22" t="str">
        <f aca="false">IF(Daily_Data!A44="","",Daily_Data!A44)</f>
        <v/>
      </c>
      <c r="B45" s="23" t="str">
        <f aca="false">IF(Daily_Data!B44="","",Daily_Data!B44)</f>
        <v/>
      </c>
      <c r="C45" s="23" t="str">
        <f aca="false">IF(A45="","",Daily_Data!C44)</f>
        <v/>
      </c>
      <c r="D45" s="23" t="str">
        <f aca="false">IF(A45="","",Daily_Data!D44)</f>
        <v/>
      </c>
      <c r="E45" s="24" t="str">
        <f aca="false">IF(A45="","",Daily_Data!E44)</f>
        <v/>
      </c>
      <c r="F45" s="23" t="str">
        <f aca="false">IF(A45="","",Daily_Data!F44)</f>
        <v/>
      </c>
      <c r="G45" s="23" t="str">
        <f aca="false">IF(A45="","",Daily_Data!G44)</f>
        <v/>
      </c>
      <c r="H45" s="25" t="str">
        <f aca="false">IF(A45="","",IFERROR(INDEX(SCD_Data!$C$3:$C$502,SUMPRODUCT((SCD_Data!$A$3:$A$502=B45)*(IFERROR(DATEVALUE(SCD_Data!$H$3:$H$502&amp;""),SCD_Data!$H$3:$H$502)&lt;=IFERROR(DATEVALUE(A45&amp;""),A45))*(IFERROR(DATEVALUE(SCD_Data!$I$3:$I$502&amp;""),SCD_Data!$I$3:$I$502)&gt;=IFERROR(DATEVALUE(A45&amp;""),A45))*(ROW(SCD_Data!$A$3:$A$502)-2))),"—"))</f>
        <v/>
      </c>
      <c r="I45" s="25" t="str">
        <f aca="false">IF(A45="","",IFERROR(INDEX(SCD_Data!$D$3:$D$502,SUMPRODUCT((SCD_Data!$A$3:$A$502=B45)*(IFERROR(DATEVALUE(SCD_Data!$H$3:$H$502&amp;""),SCD_Data!$H$3:$H$502)&lt;=IFERROR(DATEVALUE(A45&amp;""),A45))*(IFERROR(DATEVALUE(SCD_Data!$I$3:$I$502&amp;""),SCD_Data!$I$3:$I$502)&gt;=IFERROR(DATEVALUE(A45&amp;""),A45))*(ROW(SCD_Data!$A$3:$A$502)-2))),"—"))</f>
        <v/>
      </c>
      <c r="J45" s="26" t="str">
        <f aca="false">IF(A45="","",IFERROR(INDEX(SCD_Data!$E$3:$E$502,SUMPRODUCT((SCD_Data!$A$3:$A$502=B45)*(IFERROR(DATEVALUE(SCD_Data!$H$3:$H$502&amp;""),SCD_Data!$H$3:$H$502)&lt;=IFERROR(DATEVALUE(A45&amp;""),A45))*(IFERROR(DATEVALUE(SCD_Data!$I$3:$I$502&amp;""),SCD_Data!$I$3:$I$502)&gt;=IFERROR(DATEVALUE(A45&amp;""),A45))*(ROW(SCD_Data!$A$3:$A$502)-2))),"—"))</f>
        <v/>
      </c>
      <c r="K45" s="25" t="str">
        <f aca="false">IF(A45="","",IFERROR(INDEX(SCD_Data!$F$3:$F$502,SUMPRODUCT((SCD_Data!$A$3:$A$502=B45)*(IFERROR(DATEVALUE(SCD_Data!$H$3:$H$502&amp;""),SCD_Data!$H$3:$H$502)&lt;=IFERROR(DATEVALUE(A45&amp;""),A45))*(IFERROR(DATEVALUE(SCD_Data!$I$3:$I$502&amp;""),SCD_Data!$I$3:$I$502)&gt;=IFERROR(DATEVALUE(A45&amp;""),A45))*(ROW(SCD_Data!$A$3:$A$502)-2))),"—"))</f>
        <v/>
      </c>
      <c r="L45" s="25" t="str">
        <f aca="false">IF(A45="","",IFERROR(INDEX(SCD_Data!$G$3:$G$502,SUMPRODUCT((SCD_Data!$A$3:$A$502=B45)*(IFERROR(DATEVALUE(SCD_Data!$H$3:$H$502&amp;""),SCD_Data!$H$3:$H$502)&lt;=IFERROR(DATEVALUE(A45&amp;""),A45))*(IFERROR(DATEVALUE(SCD_Data!$I$3:$I$502&amp;""),SCD_Data!$I$3:$I$502)&gt;=IFERROR(DATEVALUE(A45&amp;""),A45))*(ROW(SCD_Data!$A$3:$A$502)-2))),"—"))</f>
        <v/>
      </c>
      <c r="M45" s="27" t="str">
        <f aca="false">IF(A45="","",IF(H45="—","—",IF(C45&amp;""=H45&amp;"","✓","✗")))</f>
        <v/>
      </c>
      <c r="N45" s="27" t="str">
        <f aca="false">IF(A45="","",IF(H45="—","—",IF(D45&amp;""=I45&amp;"","✓","✗")))</f>
        <v/>
      </c>
      <c r="O45" s="27" t="str">
        <f aca="false">IF(A45="","",IF(H45="—","—",IF(ABS(E45-J45)&lt;0.01,"✓","✗")))</f>
        <v/>
      </c>
      <c r="P45" s="27" t="str">
        <f aca="false">IF(A45="","",IF(H45="—","—",IF(F45&amp;""=K45&amp;"","✓","✗")))</f>
        <v/>
      </c>
      <c r="Q45" s="27" t="str">
        <f aca="false">IF(A45="","",IF(H45="—","—",IF(G45&amp;""=L45&amp;"","✓","✗")))</f>
        <v/>
      </c>
      <c r="R45" s="27" t="str">
        <f aca="false">IF(A45="","",IF(COUNTIF(M45:Q45,"—")=5,"⚠ NO SCD ROW",IF(COUNTIF(M45:Q45,"✗")&gt;0,"❌ MISMATCH","✅ MATCH")))</f>
        <v/>
      </c>
    </row>
    <row r="46" customFormat="false" ht="15" hidden="false" customHeight="true" outlineLevel="0" collapsed="false">
      <c r="A46" s="22" t="str">
        <f aca="false">IF(Daily_Data!A45="","",Daily_Data!A45)</f>
        <v/>
      </c>
      <c r="B46" s="23" t="str">
        <f aca="false">IF(Daily_Data!B45="","",Daily_Data!B45)</f>
        <v/>
      </c>
      <c r="C46" s="23" t="str">
        <f aca="false">IF(A46="","",Daily_Data!C45)</f>
        <v/>
      </c>
      <c r="D46" s="23" t="str">
        <f aca="false">IF(A46="","",Daily_Data!D45)</f>
        <v/>
      </c>
      <c r="E46" s="24" t="str">
        <f aca="false">IF(A46="","",Daily_Data!E45)</f>
        <v/>
      </c>
      <c r="F46" s="23" t="str">
        <f aca="false">IF(A46="","",Daily_Data!F45)</f>
        <v/>
      </c>
      <c r="G46" s="23" t="str">
        <f aca="false">IF(A46="","",Daily_Data!G45)</f>
        <v/>
      </c>
      <c r="H46" s="25" t="str">
        <f aca="false">IF(A46="","",IFERROR(INDEX(SCD_Data!$C$3:$C$502,SUMPRODUCT((SCD_Data!$A$3:$A$502=B46)*(IFERROR(DATEVALUE(SCD_Data!$H$3:$H$502&amp;""),SCD_Data!$H$3:$H$502)&lt;=IFERROR(DATEVALUE(A46&amp;""),A46))*(IFERROR(DATEVALUE(SCD_Data!$I$3:$I$502&amp;""),SCD_Data!$I$3:$I$502)&gt;=IFERROR(DATEVALUE(A46&amp;""),A46))*(ROW(SCD_Data!$A$3:$A$502)-2))),"—"))</f>
        <v/>
      </c>
      <c r="I46" s="25" t="str">
        <f aca="false">IF(A46="","",IFERROR(INDEX(SCD_Data!$D$3:$D$502,SUMPRODUCT((SCD_Data!$A$3:$A$502=B46)*(IFERROR(DATEVALUE(SCD_Data!$H$3:$H$502&amp;""),SCD_Data!$H$3:$H$502)&lt;=IFERROR(DATEVALUE(A46&amp;""),A46))*(IFERROR(DATEVALUE(SCD_Data!$I$3:$I$502&amp;""),SCD_Data!$I$3:$I$502)&gt;=IFERROR(DATEVALUE(A46&amp;""),A46))*(ROW(SCD_Data!$A$3:$A$502)-2))),"—"))</f>
        <v/>
      </c>
      <c r="J46" s="26" t="str">
        <f aca="false">IF(A46="","",IFERROR(INDEX(SCD_Data!$E$3:$E$502,SUMPRODUCT((SCD_Data!$A$3:$A$502=B46)*(IFERROR(DATEVALUE(SCD_Data!$H$3:$H$502&amp;""),SCD_Data!$H$3:$H$502)&lt;=IFERROR(DATEVALUE(A46&amp;""),A46))*(IFERROR(DATEVALUE(SCD_Data!$I$3:$I$502&amp;""),SCD_Data!$I$3:$I$502)&gt;=IFERROR(DATEVALUE(A46&amp;""),A46))*(ROW(SCD_Data!$A$3:$A$502)-2))),"—"))</f>
        <v/>
      </c>
      <c r="K46" s="25" t="str">
        <f aca="false">IF(A46="","",IFERROR(INDEX(SCD_Data!$F$3:$F$502,SUMPRODUCT((SCD_Data!$A$3:$A$502=B46)*(IFERROR(DATEVALUE(SCD_Data!$H$3:$H$502&amp;""),SCD_Data!$H$3:$H$502)&lt;=IFERROR(DATEVALUE(A46&amp;""),A46))*(IFERROR(DATEVALUE(SCD_Data!$I$3:$I$502&amp;""),SCD_Data!$I$3:$I$502)&gt;=IFERROR(DATEVALUE(A46&amp;""),A46))*(ROW(SCD_Data!$A$3:$A$502)-2))),"—"))</f>
        <v/>
      </c>
      <c r="L46" s="25" t="str">
        <f aca="false">IF(A46="","",IFERROR(INDEX(SCD_Data!$G$3:$G$502,SUMPRODUCT((SCD_Data!$A$3:$A$502=B46)*(IFERROR(DATEVALUE(SCD_Data!$H$3:$H$502&amp;""),SCD_Data!$H$3:$H$502)&lt;=IFERROR(DATEVALUE(A46&amp;""),A46))*(IFERROR(DATEVALUE(SCD_Data!$I$3:$I$502&amp;""),SCD_Data!$I$3:$I$502)&gt;=IFERROR(DATEVALUE(A46&amp;""),A46))*(ROW(SCD_Data!$A$3:$A$502)-2))),"—"))</f>
        <v/>
      </c>
      <c r="M46" s="27" t="str">
        <f aca="false">IF(A46="","",IF(H46="—","—",IF(C46&amp;""=H46&amp;"","✓","✗")))</f>
        <v/>
      </c>
      <c r="N46" s="27" t="str">
        <f aca="false">IF(A46="","",IF(H46="—","—",IF(D46&amp;""=I46&amp;"","✓","✗")))</f>
        <v/>
      </c>
      <c r="O46" s="27" t="str">
        <f aca="false">IF(A46="","",IF(H46="—","—",IF(ABS(E46-J46)&lt;0.01,"✓","✗")))</f>
        <v/>
      </c>
      <c r="P46" s="27" t="str">
        <f aca="false">IF(A46="","",IF(H46="—","—",IF(F46&amp;""=K46&amp;"","✓","✗")))</f>
        <v/>
      </c>
      <c r="Q46" s="27" t="str">
        <f aca="false">IF(A46="","",IF(H46="—","—",IF(G46&amp;""=L46&amp;"","✓","✗")))</f>
        <v/>
      </c>
      <c r="R46" s="27" t="str">
        <f aca="false">IF(A46="","",IF(COUNTIF(M46:Q46,"—")=5,"⚠ NO SCD ROW",IF(COUNTIF(M46:Q46,"✗")&gt;0,"❌ MISMATCH","✅ MATCH")))</f>
        <v/>
      </c>
    </row>
    <row r="47" customFormat="false" ht="15" hidden="false" customHeight="true" outlineLevel="0" collapsed="false">
      <c r="A47" s="22" t="str">
        <f aca="false">IF(Daily_Data!A46="","",Daily_Data!A46)</f>
        <v/>
      </c>
      <c r="B47" s="23" t="str">
        <f aca="false">IF(Daily_Data!B46="","",Daily_Data!B46)</f>
        <v/>
      </c>
      <c r="C47" s="23" t="str">
        <f aca="false">IF(A47="","",Daily_Data!C46)</f>
        <v/>
      </c>
      <c r="D47" s="23" t="str">
        <f aca="false">IF(A47="","",Daily_Data!D46)</f>
        <v/>
      </c>
      <c r="E47" s="24" t="str">
        <f aca="false">IF(A47="","",Daily_Data!E46)</f>
        <v/>
      </c>
      <c r="F47" s="23" t="str">
        <f aca="false">IF(A47="","",Daily_Data!F46)</f>
        <v/>
      </c>
      <c r="G47" s="23" t="str">
        <f aca="false">IF(A47="","",Daily_Data!G46)</f>
        <v/>
      </c>
      <c r="H47" s="25" t="str">
        <f aca="false">IF(A47="","",IFERROR(INDEX(SCD_Data!$C$3:$C$502,SUMPRODUCT((SCD_Data!$A$3:$A$502=B47)*(IFERROR(DATEVALUE(SCD_Data!$H$3:$H$502&amp;""),SCD_Data!$H$3:$H$502)&lt;=IFERROR(DATEVALUE(A47&amp;""),A47))*(IFERROR(DATEVALUE(SCD_Data!$I$3:$I$502&amp;""),SCD_Data!$I$3:$I$502)&gt;=IFERROR(DATEVALUE(A47&amp;""),A47))*(ROW(SCD_Data!$A$3:$A$502)-2))),"—"))</f>
        <v/>
      </c>
      <c r="I47" s="25" t="str">
        <f aca="false">IF(A47="","",IFERROR(INDEX(SCD_Data!$D$3:$D$502,SUMPRODUCT((SCD_Data!$A$3:$A$502=B47)*(IFERROR(DATEVALUE(SCD_Data!$H$3:$H$502&amp;""),SCD_Data!$H$3:$H$502)&lt;=IFERROR(DATEVALUE(A47&amp;""),A47))*(IFERROR(DATEVALUE(SCD_Data!$I$3:$I$502&amp;""),SCD_Data!$I$3:$I$502)&gt;=IFERROR(DATEVALUE(A47&amp;""),A47))*(ROW(SCD_Data!$A$3:$A$502)-2))),"—"))</f>
        <v/>
      </c>
      <c r="J47" s="26" t="str">
        <f aca="false">IF(A47="","",IFERROR(INDEX(SCD_Data!$E$3:$E$502,SUMPRODUCT((SCD_Data!$A$3:$A$502=B47)*(IFERROR(DATEVALUE(SCD_Data!$H$3:$H$502&amp;""),SCD_Data!$H$3:$H$502)&lt;=IFERROR(DATEVALUE(A47&amp;""),A47))*(IFERROR(DATEVALUE(SCD_Data!$I$3:$I$502&amp;""),SCD_Data!$I$3:$I$502)&gt;=IFERROR(DATEVALUE(A47&amp;""),A47))*(ROW(SCD_Data!$A$3:$A$502)-2))),"—"))</f>
        <v/>
      </c>
      <c r="K47" s="25" t="str">
        <f aca="false">IF(A47="","",IFERROR(INDEX(SCD_Data!$F$3:$F$502,SUMPRODUCT((SCD_Data!$A$3:$A$502=B47)*(IFERROR(DATEVALUE(SCD_Data!$H$3:$H$502&amp;""),SCD_Data!$H$3:$H$502)&lt;=IFERROR(DATEVALUE(A47&amp;""),A47))*(IFERROR(DATEVALUE(SCD_Data!$I$3:$I$502&amp;""),SCD_Data!$I$3:$I$502)&gt;=IFERROR(DATEVALUE(A47&amp;""),A47))*(ROW(SCD_Data!$A$3:$A$502)-2))),"—"))</f>
        <v/>
      </c>
      <c r="L47" s="25" t="str">
        <f aca="false">IF(A47="","",IFERROR(INDEX(SCD_Data!$G$3:$G$502,SUMPRODUCT((SCD_Data!$A$3:$A$502=B47)*(IFERROR(DATEVALUE(SCD_Data!$H$3:$H$502&amp;""),SCD_Data!$H$3:$H$502)&lt;=IFERROR(DATEVALUE(A47&amp;""),A47))*(IFERROR(DATEVALUE(SCD_Data!$I$3:$I$502&amp;""),SCD_Data!$I$3:$I$502)&gt;=IFERROR(DATEVALUE(A47&amp;""),A47))*(ROW(SCD_Data!$A$3:$A$502)-2))),"—"))</f>
        <v/>
      </c>
      <c r="M47" s="27" t="str">
        <f aca="false">IF(A47="","",IF(H47="—","—",IF(C47&amp;""=H47&amp;"","✓","✗")))</f>
        <v/>
      </c>
      <c r="N47" s="27" t="str">
        <f aca="false">IF(A47="","",IF(H47="—","—",IF(D47&amp;""=I47&amp;"","✓","✗")))</f>
        <v/>
      </c>
      <c r="O47" s="27" t="str">
        <f aca="false">IF(A47="","",IF(H47="—","—",IF(ABS(E47-J47)&lt;0.01,"✓","✗")))</f>
        <v/>
      </c>
      <c r="P47" s="27" t="str">
        <f aca="false">IF(A47="","",IF(H47="—","—",IF(F47&amp;""=K47&amp;"","✓","✗")))</f>
        <v/>
      </c>
      <c r="Q47" s="27" t="str">
        <f aca="false">IF(A47="","",IF(H47="—","—",IF(G47&amp;""=L47&amp;"","✓","✗")))</f>
        <v/>
      </c>
      <c r="R47" s="27" t="str">
        <f aca="false">IF(A47="","",IF(COUNTIF(M47:Q47,"—")=5,"⚠ NO SCD ROW",IF(COUNTIF(M47:Q47,"✗")&gt;0,"❌ MISMATCH","✅ MATCH")))</f>
        <v/>
      </c>
    </row>
    <row r="48" customFormat="false" ht="15" hidden="false" customHeight="true" outlineLevel="0" collapsed="false">
      <c r="A48" s="22" t="str">
        <f aca="false">IF(Daily_Data!A47="","",Daily_Data!A47)</f>
        <v/>
      </c>
      <c r="B48" s="23" t="str">
        <f aca="false">IF(Daily_Data!B47="","",Daily_Data!B47)</f>
        <v/>
      </c>
      <c r="C48" s="23" t="str">
        <f aca="false">IF(A48="","",Daily_Data!C47)</f>
        <v/>
      </c>
      <c r="D48" s="23" t="str">
        <f aca="false">IF(A48="","",Daily_Data!D47)</f>
        <v/>
      </c>
      <c r="E48" s="24" t="str">
        <f aca="false">IF(A48="","",Daily_Data!E47)</f>
        <v/>
      </c>
      <c r="F48" s="23" t="str">
        <f aca="false">IF(A48="","",Daily_Data!F47)</f>
        <v/>
      </c>
      <c r="G48" s="23" t="str">
        <f aca="false">IF(A48="","",Daily_Data!G47)</f>
        <v/>
      </c>
      <c r="H48" s="25" t="str">
        <f aca="false">IF(A48="","",IFERROR(INDEX(SCD_Data!$C$3:$C$502,SUMPRODUCT((SCD_Data!$A$3:$A$502=B48)*(IFERROR(DATEVALUE(SCD_Data!$H$3:$H$502&amp;""),SCD_Data!$H$3:$H$502)&lt;=IFERROR(DATEVALUE(A48&amp;""),A48))*(IFERROR(DATEVALUE(SCD_Data!$I$3:$I$502&amp;""),SCD_Data!$I$3:$I$502)&gt;=IFERROR(DATEVALUE(A48&amp;""),A48))*(ROW(SCD_Data!$A$3:$A$502)-2))),"—"))</f>
        <v/>
      </c>
      <c r="I48" s="25" t="str">
        <f aca="false">IF(A48="","",IFERROR(INDEX(SCD_Data!$D$3:$D$502,SUMPRODUCT((SCD_Data!$A$3:$A$502=B48)*(IFERROR(DATEVALUE(SCD_Data!$H$3:$H$502&amp;""),SCD_Data!$H$3:$H$502)&lt;=IFERROR(DATEVALUE(A48&amp;""),A48))*(IFERROR(DATEVALUE(SCD_Data!$I$3:$I$502&amp;""),SCD_Data!$I$3:$I$502)&gt;=IFERROR(DATEVALUE(A48&amp;""),A48))*(ROW(SCD_Data!$A$3:$A$502)-2))),"—"))</f>
        <v/>
      </c>
      <c r="J48" s="26" t="str">
        <f aca="false">IF(A48="","",IFERROR(INDEX(SCD_Data!$E$3:$E$502,SUMPRODUCT((SCD_Data!$A$3:$A$502=B48)*(IFERROR(DATEVALUE(SCD_Data!$H$3:$H$502&amp;""),SCD_Data!$H$3:$H$502)&lt;=IFERROR(DATEVALUE(A48&amp;""),A48))*(IFERROR(DATEVALUE(SCD_Data!$I$3:$I$502&amp;""),SCD_Data!$I$3:$I$502)&gt;=IFERROR(DATEVALUE(A48&amp;""),A48))*(ROW(SCD_Data!$A$3:$A$502)-2))),"—"))</f>
        <v/>
      </c>
      <c r="K48" s="25" t="str">
        <f aca="false">IF(A48="","",IFERROR(INDEX(SCD_Data!$F$3:$F$502,SUMPRODUCT((SCD_Data!$A$3:$A$502=B48)*(IFERROR(DATEVALUE(SCD_Data!$H$3:$H$502&amp;""),SCD_Data!$H$3:$H$502)&lt;=IFERROR(DATEVALUE(A48&amp;""),A48))*(IFERROR(DATEVALUE(SCD_Data!$I$3:$I$502&amp;""),SCD_Data!$I$3:$I$502)&gt;=IFERROR(DATEVALUE(A48&amp;""),A48))*(ROW(SCD_Data!$A$3:$A$502)-2))),"—"))</f>
        <v/>
      </c>
      <c r="L48" s="25" t="str">
        <f aca="false">IF(A48="","",IFERROR(INDEX(SCD_Data!$G$3:$G$502,SUMPRODUCT((SCD_Data!$A$3:$A$502=B48)*(IFERROR(DATEVALUE(SCD_Data!$H$3:$H$502&amp;""),SCD_Data!$H$3:$H$502)&lt;=IFERROR(DATEVALUE(A48&amp;""),A48))*(IFERROR(DATEVALUE(SCD_Data!$I$3:$I$502&amp;""),SCD_Data!$I$3:$I$502)&gt;=IFERROR(DATEVALUE(A48&amp;""),A48))*(ROW(SCD_Data!$A$3:$A$502)-2))),"—"))</f>
        <v/>
      </c>
      <c r="M48" s="27" t="str">
        <f aca="false">IF(A48="","",IF(H48="—","—",IF(C48&amp;""=H48&amp;"","✓","✗")))</f>
        <v/>
      </c>
      <c r="N48" s="27" t="str">
        <f aca="false">IF(A48="","",IF(H48="—","—",IF(D48&amp;""=I48&amp;"","✓","✗")))</f>
        <v/>
      </c>
      <c r="O48" s="27" t="str">
        <f aca="false">IF(A48="","",IF(H48="—","—",IF(ABS(E48-J48)&lt;0.01,"✓","✗")))</f>
        <v/>
      </c>
      <c r="P48" s="27" t="str">
        <f aca="false">IF(A48="","",IF(H48="—","—",IF(F48&amp;""=K48&amp;"","✓","✗")))</f>
        <v/>
      </c>
      <c r="Q48" s="27" t="str">
        <f aca="false">IF(A48="","",IF(H48="—","—",IF(G48&amp;""=L48&amp;"","✓","✗")))</f>
        <v/>
      </c>
      <c r="R48" s="27" t="str">
        <f aca="false">IF(A48="","",IF(COUNTIF(M48:Q48,"—")=5,"⚠ NO SCD ROW",IF(COUNTIF(M48:Q48,"✗")&gt;0,"❌ MISMATCH","✅ MATCH")))</f>
        <v/>
      </c>
    </row>
    <row r="49" customFormat="false" ht="15" hidden="false" customHeight="true" outlineLevel="0" collapsed="false">
      <c r="A49" s="22" t="str">
        <f aca="false">IF(Daily_Data!A48="","",Daily_Data!A48)</f>
        <v/>
      </c>
      <c r="B49" s="23" t="str">
        <f aca="false">IF(Daily_Data!B48="","",Daily_Data!B48)</f>
        <v/>
      </c>
      <c r="C49" s="23" t="str">
        <f aca="false">IF(A49="","",Daily_Data!C48)</f>
        <v/>
      </c>
      <c r="D49" s="23" t="str">
        <f aca="false">IF(A49="","",Daily_Data!D48)</f>
        <v/>
      </c>
      <c r="E49" s="24" t="str">
        <f aca="false">IF(A49="","",Daily_Data!E48)</f>
        <v/>
      </c>
      <c r="F49" s="23" t="str">
        <f aca="false">IF(A49="","",Daily_Data!F48)</f>
        <v/>
      </c>
      <c r="G49" s="23" t="str">
        <f aca="false">IF(A49="","",Daily_Data!G48)</f>
        <v/>
      </c>
      <c r="H49" s="25" t="str">
        <f aca="false">IF(A49="","",IFERROR(INDEX(SCD_Data!$C$3:$C$502,SUMPRODUCT((SCD_Data!$A$3:$A$502=B49)*(IFERROR(DATEVALUE(SCD_Data!$H$3:$H$502&amp;""),SCD_Data!$H$3:$H$502)&lt;=IFERROR(DATEVALUE(A49&amp;""),A49))*(IFERROR(DATEVALUE(SCD_Data!$I$3:$I$502&amp;""),SCD_Data!$I$3:$I$502)&gt;=IFERROR(DATEVALUE(A49&amp;""),A49))*(ROW(SCD_Data!$A$3:$A$502)-2))),"—"))</f>
        <v/>
      </c>
      <c r="I49" s="25" t="str">
        <f aca="false">IF(A49="","",IFERROR(INDEX(SCD_Data!$D$3:$D$502,SUMPRODUCT((SCD_Data!$A$3:$A$502=B49)*(IFERROR(DATEVALUE(SCD_Data!$H$3:$H$502&amp;""),SCD_Data!$H$3:$H$502)&lt;=IFERROR(DATEVALUE(A49&amp;""),A49))*(IFERROR(DATEVALUE(SCD_Data!$I$3:$I$502&amp;""),SCD_Data!$I$3:$I$502)&gt;=IFERROR(DATEVALUE(A49&amp;""),A49))*(ROW(SCD_Data!$A$3:$A$502)-2))),"—"))</f>
        <v/>
      </c>
      <c r="J49" s="26" t="str">
        <f aca="false">IF(A49="","",IFERROR(INDEX(SCD_Data!$E$3:$E$502,SUMPRODUCT((SCD_Data!$A$3:$A$502=B49)*(IFERROR(DATEVALUE(SCD_Data!$H$3:$H$502&amp;""),SCD_Data!$H$3:$H$502)&lt;=IFERROR(DATEVALUE(A49&amp;""),A49))*(IFERROR(DATEVALUE(SCD_Data!$I$3:$I$502&amp;""),SCD_Data!$I$3:$I$502)&gt;=IFERROR(DATEVALUE(A49&amp;""),A49))*(ROW(SCD_Data!$A$3:$A$502)-2))),"—"))</f>
        <v/>
      </c>
      <c r="K49" s="25" t="str">
        <f aca="false">IF(A49="","",IFERROR(INDEX(SCD_Data!$F$3:$F$502,SUMPRODUCT((SCD_Data!$A$3:$A$502=B49)*(IFERROR(DATEVALUE(SCD_Data!$H$3:$H$502&amp;""),SCD_Data!$H$3:$H$502)&lt;=IFERROR(DATEVALUE(A49&amp;""),A49))*(IFERROR(DATEVALUE(SCD_Data!$I$3:$I$502&amp;""),SCD_Data!$I$3:$I$502)&gt;=IFERROR(DATEVALUE(A49&amp;""),A49))*(ROW(SCD_Data!$A$3:$A$502)-2))),"—"))</f>
        <v/>
      </c>
      <c r="L49" s="25" t="str">
        <f aca="false">IF(A49="","",IFERROR(INDEX(SCD_Data!$G$3:$G$502,SUMPRODUCT((SCD_Data!$A$3:$A$502=B49)*(IFERROR(DATEVALUE(SCD_Data!$H$3:$H$502&amp;""),SCD_Data!$H$3:$H$502)&lt;=IFERROR(DATEVALUE(A49&amp;""),A49))*(IFERROR(DATEVALUE(SCD_Data!$I$3:$I$502&amp;""),SCD_Data!$I$3:$I$502)&gt;=IFERROR(DATEVALUE(A49&amp;""),A49))*(ROW(SCD_Data!$A$3:$A$502)-2))),"—"))</f>
        <v/>
      </c>
      <c r="M49" s="27" t="str">
        <f aca="false">IF(A49="","",IF(H49="—","—",IF(C49&amp;""=H49&amp;"","✓","✗")))</f>
        <v/>
      </c>
      <c r="N49" s="27" t="str">
        <f aca="false">IF(A49="","",IF(H49="—","—",IF(D49&amp;""=I49&amp;"","✓","✗")))</f>
        <v/>
      </c>
      <c r="O49" s="27" t="str">
        <f aca="false">IF(A49="","",IF(H49="—","—",IF(ABS(E49-J49)&lt;0.01,"✓","✗")))</f>
        <v/>
      </c>
      <c r="P49" s="27" t="str">
        <f aca="false">IF(A49="","",IF(H49="—","—",IF(F49&amp;""=K49&amp;"","✓","✗")))</f>
        <v/>
      </c>
      <c r="Q49" s="27" t="str">
        <f aca="false">IF(A49="","",IF(H49="—","—",IF(G49&amp;""=L49&amp;"","✓","✗")))</f>
        <v/>
      </c>
      <c r="R49" s="27" t="str">
        <f aca="false">IF(A49="","",IF(COUNTIF(M49:Q49,"—")=5,"⚠ NO SCD ROW",IF(COUNTIF(M49:Q49,"✗")&gt;0,"❌ MISMATCH","✅ MATCH")))</f>
        <v/>
      </c>
    </row>
    <row r="50" customFormat="false" ht="15" hidden="false" customHeight="true" outlineLevel="0" collapsed="false">
      <c r="A50" s="22" t="str">
        <f aca="false">IF(Daily_Data!A49="","",Daily_Data!A49)</f>
        <v/>
      </c>
      <c r="B50" s="23" t="str">
        <f aca="false">IF(Daily_Data!B49="","",Daily_Data!B49)</f>
        <v/>
      </c>
      <c r="C50" s="23" t="str">
        <f aca="false">IF(A50="","",Daily_Data!C49)</f>
        <v/>
      </c>
      <c r="D50" s="23" t="str">
        <f aca="false">IF(A50="","",Daily_Data!D49)</f>
        <v/>
      </c>
      <c r="E50" s="24" t="str">
        <f aca="false">IF(A50="","",Daily_Data!E49)</f>
        <v/>
      </c>
      <c r="F50" s="23" t="str">
        <f aca="false">IF(A50="","",Daily_Data!F49)</f>
        <v/>
      </c>
      <c r="G50" s="23" t="str">
        <f aca="false">IF(A50="","",Daily_Data!G49)</f>
        <v/>
      </c>
      <c r="H50" s="25" t="str">
        <f aca="false">IF(A50="","",IFERROR(INDEX(SCD_Data!$C$3:$C$502,SUMPRODUCT((SCD_Data!$A$3:$A$502=B50)*(IFERROR(DATEVALUE(SCD_Data!$H$3:$H$502&amp;""),SCD_Data!$H$3:$H$502)&lt;=IFERROR(DATEVALUE(A50&amp;""),A50))*(IFERROR(DATEVALUE(SCD_Data!$I$3:$I$502&amp;""),SCD_Data!$I$3:$I$502)&gt;=IFERROR(DATEVALUE(A50&amp;""),A50))*(ROW(SCD_Data!$A$3:$A$502)-2))),"—"))</f>
        <v/>
      </c>
      <c r="I50" s="25" t="str">
        <f aca="false">IF(A50="","",IFERROR(INDEX(SCD_Data!$D$3:$D$502,SUMPRODUCT((SCD_Data!$A$3:$A$502=B50)*(IFERROR(DATEVALUE(SCD_Data!$H$3:$H$502&amp;""),SCD_Data!$H$3:$H$502)&lt;=IFERROR(DATEVALUE(A50&amp;""),A50))*(IFERROR(DATEVALUE(SCD_Data!$I$3:$I$502&amp;""),SCD_Data!$I$3:$I$502)&gt;=IFERROR(DATEVALUE(A50&amp;""),A50))*(ROW(SCD_Data!$A$3:$A$502)-2))),"—"))</f>
        <v/>
      </c>
      <c r="J50" s="26" t="str">
        <f aca="false">IF(A50="","",IFERROR(INDEX(SCD_Data!$E$3:$E$502,SUMPRODUCT((SCD_Data!$A$3:$A$502=B50)*(IFERROR(DATEVALUE(SCD_Data!$H$3:$H$502&amp;""),SCD_Data!$H$3:$H$502)&lt;=IFERROR(DATEVALUE(A50&amp;""),A50))*(IFERROR(DATEVALUE(SCD_Data!$I$3:$I$502&amp;""),SCD_Data!$I$3:$I$502)&gt;=IFERROR(DATEVALUE(A50&amp;""),A50))*(ROW(SCD_Data!$A$3:$A$502)-2))),"—"))</f>
        <v/>
      </c>
      <c r="K50" s="25" t="str">
        <f aca="false">IF(A50="","",IFERROR(INDEX(SCD_Data!$F$3:$F$502,SUMPRODUCT((SCD_Data!$A$3:$A$502=B50)*(IFERROR(DATEVALUE(SCD_Data!$H$3:$H$502&amp;""),SCD_Data!$H$3:$H$502)&lt;=IFERROR(DATEVALUE(A50&amp;""),A50))*(IFERROR(DATEVALUE(SCD_Data!$I$3:$I$502&amp;""),SCD_Data!$I$3:$I$502)&gt;=IFERROR(DATEVALUE(A50&amp;""),A50))*(ROW(SCD_Data!$A$3:$A$502)-2))),"—"))</f>
        <v/>
      </c>
      <c r="L50" s="25" t="str">
        <f aca="false">IF(A50="","",IFERROR(INDEX(SCD_Data!$G$3:$G$502,SUMPRODUCT((SCD_Data!$A$3:$A$502=B50)*(IFERROR(DATEVALUE(SCD_Data!$H$3:$H$502&amp;""),SCD_Data!$H$3:$H$502)&lt;=IFERROR(DATEVALUE(A50&amp;""),A50))*(IFERROR(DATEVALUE(SCD_Data!$I$3:$I$502&amp;""),SCD_Data!$I$3:$I$502)&gt;=IFERROR(DATEVALUE(A50&amp;""),A50))*(ROW(SCD_Data!$A$3:$A$502)-2))),"—"))</f>
        <v/>
      </c>
      <c r="M50" s="27" t="str">
        <f aca="false">IF(A50="","",IF(H50="—","—",IF(C50&amp;""=H50&amp;"","✓","✗")))</f>
        <v/>
      </c>
      <c r="N50" s="27" t="str">
        <f aca="false">IF(A50="","",IF(H50="—","—",IF(D50&amp;""=I50&amp;"","✓","✗")))</f>
        <v/>
      </c>
      <c r="O50" s="27" t="str">
        <f aca="false">IF(A50="","",IF(H50="—","—",IF(ABS(E50-J50)&lt;0.01,"✓","✗")))</f>
        <v/>
      </c>
      <c r="P50" s="27" t="str">
        <f aca="false">IF(A50="","",IF(H50="—","—",IF(F50&amp;""=K50&amp;"","✓","✗")))</f>
        <v/>
      </c>
      <c r="Q50" s="27" t="str">
        <f aca="false">IF(A50="","",IF(H50="—","—",IF(G50&amp;""=L50&amp;"","✓","✗")))</f>
        <v/>
      </c>
      <c r="R50" s="27" t="str">
        <f aca="false">IF(A50="","",IF(COUNTIF(M50:Q50,"—")=5,"⚠ NO SCD ROW",IF(COUNTIF(M50:Q50,"✗")&gt;0,"❌ MISMATCH","✅ MATCH")))</f>
        <v/>
      </c>
    </row>
    <row r="51" customFormat="false" ht="15" hidden="false" customHeight="true" outlineLevel="0" collapsed="false">
      <c r="A51" s="22" t="str">
        <f aca="false">IF(Daily_Data!A50="","",Daily_Data!A50)</f>
        <v/>
      </c>
      <c r="B51" s="23" t="str">
        <f aca="false">IF(Daily_Data!B50="","",Daily_Data!B50)</f>
        <v/>
      </c>
      <c r="C51" s="23" t="str">
        <f aca="false">IF(A51="","",Daily_Data!C50)</f>
        <v/>
      </c>
      <c r="D51" s="23" t="str">
        <f aca="false">IF(A51="","",Daily_Data!D50)</f>
        <v/>
      </c>
      <c r="E51" s="24" t="str">
        <f aca="false">IF(A51="","",Daily_Data!E50)</f>
        <v/>
      </c>
      <c r="F51" s="23" t="str">
        <f aca="false">IF(A51="","",Daily_Data!F50)</f>
        <v/>
      </c>
      <c r="G51" s="23" t="str">
        <f aca="false">IF(A51="","",Daily_Data!G50)</f>
        <v/>
      </c>
      <c r="H51" s="25" t="str">
        <f aca="false">IF(A51="","",IFERROR(INDEX(SCD_Data!$C$3:$C$502,SUMPRODUCT((SCD_Data!$A$3:$A$502=B51)*(IFERROR(DATEVALUE(SCD_Data!$H$3:$H$502&amp;""),SCD_Data!$H$3:$H$502)&lt;=IFERROR(DATEVALUE(A51&amp;""),A51))*(IFERROR(DATEVALUE(SCD_Data!$I$3:$I$502&amp;""),SCD_Data!$I$3:$I$502)&gt;=IFERROR(DATEVALUE(A51&amp;""),A51))*(ROW(SCD_Data!$A$3:$A$502)-2))),"—"))</f>
        <v/>
      </c>
      <c r="I51" s="25" t="str">
        <f aca="false">IF(A51="","",IFERROR(INDEX(SCD_Data!$D$3:$D$502,SUMPRODUCT((SCD_Data!$A$3:$A$502=B51)*(IFERROR(DATEVALUE(SCD_Data!$H$3:$H$502&amp;""),SCD_Data!$H$3:$H$502)&lt;=IFERROR(DATEVALUE(A51&amp;""),A51))*(IFERROR(DATEVALUE(SCD_Data!$I$3:$I$502&amp;""),SCD_Data!$I$3:$I$502)&gt;=IFERROR(DATEVALUE(A51&amp;""),A51))*(ROW(SCD_Data!$A$3:$A$502)-2))),"—"))</f>
        <v/>
      </c>
      <c r="J51" s="26" t="str">
        <f aca="false">IF(A51="","",IFERROR(INDEX(SCD_Data!$E$3:$E$502,SUMPRODUCT((SCD_Data!$A$3:$A$502=B51)*(IFERROR(DATEVALUE(SCD_Data!$H$3:$H$502&amp;""),SCD_Data!$H$3:$H$502)&lt;=IFERROR(DATEVALUE(A51&amp;""),A51))*(IFERROR(DATEVALUE(SCD_Data!$I$3:$I$502&amp;""),SCD_Data!$I$3:$I$502)&gt;=IFERROR(DATEVALUE(A51&amp;""),A51))*(ROW(SCD_Data!$A$3:$A$502)-2))),"—"))</f>
        <v/>
      </c>
      <c r="K51" s="25" t="str">
        <f aca="false">IF(A51="","",IFERROR(INDEX(SCD_Data!$F$3:$F$502,SUMPRODUCT((SCD_Data!$A$3:$A$502=B51)*(IFERROR(DATEVALUE(SCD_Data!$H$3:$H$502&amp;""),SCD_Data!$H$3:$H$502)&lt;=IFERROR(DATEVALUE(A51&amp;""),A51))*(IFERROR(DATEVALUE(SCD_Data!$I$3:$I$502&amp;""),SCD_Data!$I$3:$I$502)&gt;=IFERROR(DATEVALUE(A51&amp;""),A51))*(ROW(SCD_Data!$A$3:$A$502)-2))),"—"))</f>
        <v/>
      </c>
      <c r="L51" s="25" t="str">
        <f aca="false">IF(A51="","",IFERROR(INDEX(SCD_Data!$G$3:$G$502,SUMPRODUCT((SCD_Data!$A$3:$A$502=B51)*(IFERROR(DATEVALUE(SCD_Data!$H$3:$H$502&amp;""),SCD_Data!$H$3:$H$502)&lt;=IFERROR(DATEVALUE(A51&amp;""),A51))*(IFERROR(DATEVALUE(SCD_Data!$I$3:$I$502&amp;""),SCD_Data!$I$3:$I$502)&gt;=IFERROR(DATEVALUE(A51&amp;""),A51))*(ROW(SCD_Data!$A$3:$A$502)-2))),"—"))</f>
        <v/>
      </c>
      <c r="M51" s="27" t="str">
        <f aca="false">IF(A51="","",IF(H51="—","—",IF(C51&amp;""=H51&amp;"","✓","✗")))</f>
        <v/>
      </c>
      <c r="N51" s="27" t="str">
        <f aca="false">IF(A51="","",IF(H51="—","—",IF(D51&amp;""=I51&amp;"","✓","✗")))</f>
        <v/>
      </c>
      <c r="O51" s="27" t="str">
        <f aca="false">IF(A51="","",IF(H51="—","—",IF(ABS(E51-J51)&lt;0.01,"✓","✗")))</f>
        <v/>
      </c>
      <c r="P51" s="27" t="str">
        <f aca="false">IF(A51="","",IF(H51="—","—",IF(F51&amp;""=K51&amp;"","✓","✗")))</f>
        <v/>
      </c>
      <c r="Q51" s="27" t="str">
        <f aca="false">IF(A51="","",IF(H51="—","—",IF(G51&amp;""=L51&amp;"","✓","✗")))</f>
        <v/>
      </c>
      <c r="R51" s="27" t="str">
        <f aca="false">IF(A51="","",IF(COUNTIF(M51:Q51,"—")=5,"⚠ NO SCD ROW",IF(COUNTIF(M51:Q51,"✗")&gt;0,"❌ MISMATCH","✅ MATCH")))</f>
        <v/>
      </c>
    </row>
    <row r="52" customFormat="false" ht="15" hidden="false" customHeight="true" outlineLevel="0" collapsed="false">
      <c r="A52" s="22" t="str">
        <f aca="false">IF(Daily_Data!A51="","",Daily_Data!A51)</f>
        <v/>
      </c>
      <c r="B52" s="23" t="str">
        <f aca="false">IF(Daily_Data!B51="","",Daily_Data!B51)</f>
        <v/>
      </c>
      <c r="C52" s="23" t="str">
        <f aca="false">IF(A52="","",Daily_Data!C51)</f>
        <v/>
      </c>
      <c r="D52" s="23" t="str">
        <f aca="false">IF(A52="","",Daily_Data!D51)</f>
        <v/>
      </c>
      <c r="E52" s="24" t="str">
        <f aca="false">IF(A52="","",Daily_Data!E51)</f>
        <v/>
      </c>
      <c r="F52" s="23" t="str">
        <f aca="false">IF(A52="","",Daily_Data!F51)</f>
        <v/>
      </c>
      <c r="G52" s="23" t="str">
        <f aca="false">IF(A52="","",Daily_Data!G51)</f>
        <v/>
      </c>
      <c r="H52" s="25" t="str">
        <f aca="false">IF(A52="","",IFERROR(INDEX(SCD_Data!$C$3:$C$502,SUMPRODUCT((SCD_Data!$A$3:$A$502=B52)*(IFERROR(DATEVALUE(SCD_Data!$H$3:$H$502&amp;""),SCD_Data!$H$3:$H$502)&lt;=IFERROR(DATEVALUE(A52&amp;""),A52))*(IFERROR(DATEVALUE(SCD_Data!$I$3:$I$502&amp;""),SCD_Data!$I$3:$I$502)&gt;=IFERROR(DATEVALUE(A52&amp;""),A52))*(ROW(SCD_Data!$A$3:$A$502)-2))),"—"))</f>
        <v/>
      </c>
      <c r="I52" s="25" t="str">
        <f aca="false">IF(A52="","",IFERROR(INDEX(SCD_Data!$D$3:$D$502,SUMPRODUCT((SCD_Data!$A$3:$A$502=B52)*(IFERROR(DATEVALUE(SCD_Data!$H$3:$H$502&amp;""),SCD_Data!$H$3:$H$502)&lt;=IFERROR(DATEVALUE(A52&amp;""),A52))*(IFERROR(DATEVALUE(SCD_Data!$I$3:$I$502&amp;""),SCD_Data!$I$3:$I$502)&gt;=IFERROR(DATEVALUE(A52&amp;""),A52))*(ROW(SCD_Data!$A$3:$A$502)-2))),"—"))</f>
        <v/>
      </c>
      <c r="J52" s="26" t="str">
        <f aca="false">IF(A52="","",IFERROR(INDEX(SCD_Data!$E$3:$E$502,SUMPRODUCT((SCD_Data!$A$3:$A$502=B52)*(IFERROR(DATEVALUE(SCD_Data!$H$3:$H$502&amp;""),SCD_Data!$H$3:$H$502)&lt;=IFERROR(DATEVALUE(A52&amp;""),A52))*(IFERROR(DATEVALUE(SCD_Data!$I$3:$I$502&amp;""),SCD_Data!$I$3:$I$502)&gt;=IFERROR(DATEVALUE(A52&amp;""),A52))*(ROW(SCD_Data!$A$3:$A$502)-2))),"—"))</f>
        <v/>
      </c>
      <c r="K52" s="25" t="str">
        <f aca="false">IF(A52="","",IFERROR(INDEX(SCD_Data!$F$3:$F$502,SUMPRODUCT((SCD_Data!$A$3:$A$502=B52)*(IFERROR(DATEVALUE(SCD_Data!$H$3:$H$502&amp;""),SCD_Data!$H$3:$H$502)&lt;=IFERROR(DATEVALUE(A52&amp;""),A52))*(IFERROR(DATEVALUE(SCD_Data!$I$3:$I$502&amp;""),SCD_Data!$I$3:$I$502)&gt;=IFERROR(DATEVALUE(A52&amp;""),A52))*(ROW(SCD_Data!$A$3:$A$502)-2))),"—"))</f>
        <v/>
      </c>
      <c r="L52" s="25" t="str">
        <f aca="false">IF(A52="","",IFERROR(INDEX(SCD_Data!$G$3:$G$502,SUMPRODUCT((SCD_Data!$A$3:$A$502=B52)*(IFERROR(DATEVALUE(SCD_Data!$H$3:$H$502&amp;""),SCD_Data!$H$3:$H$502)&lt;=IFERROR(DATEVALUE(A52&amp;""),A52))*(IFERROR(DATEVALUE(SCD_Data!$I$3:$I$502&amp;""),SCD_Data!$I$3:$I$502)&gt;=IFERROR(DATEVALUE(A52&amp;""),A52))*(ROW(SCD_Data!$A$3:$A$502)-2))),"—"))</f>
        <v/>
      </c>
      <c r="M52" s="27" t="str">
        <f aca="false">IF(A52="","",IF(H52="—","—",IF(C52&amp;""=H52&amp;"","✓","✗")))</f>
        <v/>
      </c>
      <c r="N52" s="27" t="str">
        <f aca="false">IF(A52="","",IF(H52="—","—",IF(D52&amp;""=I52&amp;"","✓","✗")))</f>
        <v/>
      </c>
      <c r="O52" s="27" t="str">
        <f aca="false">IF(A52="","",IF(H52="—","—",IF(ABS(E52-J52)&lt;0.01,"✓","✗")))</f>
        <v/>
      </c>
      <c r="P52" s="27" t="str">
        <f aca="false">IF(A52="","",IF(H52="—","—",IF(F52&amp;""=K52&amp;"","✓","✗")))</f>
        <v/>
      </c>
      <c r="Q52" s="27" t="str">
        <f aca="false">IF(A52="","",IF(H52="—","—",IF(G52&amp;""=L52&amp;"","✓","✗")))</f>
        <v/>
      </c>
      <c r="R52" s="27" t="str">
        <f aca="false">IF(A52="","",IF(COUNTIF(M52:Q52,"—")=5,"⚠ NO SCD ROW",IF(COUNTIF(M52:Q52,"✗")&gt;0,"❌ MISMATCH","✅ MATCH")))</f>
        <v/>
      </c>
    </row>
    <row r="53" customFormat="false" ht="15" hidden="false" customHeight="true" outlineLevel="0" collapsed="false">
      <c r="A53" s="22" t="str">
        <f aca="false">IF(Daily_Data!A52="","",Daily_Data!A52)</f>
        <v/>
      </c>
      <c r="B53" s="23" t="str">
        <f aca="false">IF(Daily_Data!B52="","",Daily_Data!B52)</f>
        <v/>
      </c>
      <c r="C53" s="23" t="str">
        <f aca="false">IF(A53="","",Daily_Data!C52)</f>
        <v/>
      </c>
      <c r="D53" s="23" t="str">
        <f aca="false">IF(A53="","",Daily_Data!D52)</f>
        <v/>
      </c>
      <c r="E53" s="24" t="str">
        <f aca="false">IF(A53="","",Daily_Data!E52)</f>
        <v/>
      </c>
      <c r="F53" s="23" t="str">
        <f aca="false">IF(A53="","",Daily_Data!F52)</f>
        <v/>
      </c>
      <c r="G53" s="23" t="str">
        <f aca="false">IF(A53="","",Daily_Data!G52)</f>
        <v/>
      </c>
      <c r="H53" s="25" t="str">
        <f aca="false">IF(A53="","",IFERROR(INDEX(SCD_Data!$C$3:$C$502,SUMPRODUCT((SCD_Data!$A$3:$A$502=B53)*(IFERROR(DATEVALUE(SCD_Data!$H$3:$H$502&amp;""),SCD_Data!$H$3:$H$502)&lt;=IFERROR(DATEVALUE(A53&amp;""),A53))*(IFERROR(DATEVALUE(SCD_Data!$I$3:$I$502&amp;""),SCD_Data!$I$3:$I$502)&gt;=IFERROR(DATEVALUE(A53&amp;""),A53))*(ROW(SCD_Data!$A$3:$A$502)-2))),"—"))</f>
        <v/>
      </c>
      <c r="I53" s="25" t="str">
        <f aca="false">IF(A53="","",IFERROR(INDEX(SCD_Data!$D$3:$D$502,SUMPRODUCT((SCD_Data!$A$3:$A$502=B53)*(IFERROR(DATEVALUE(SCD_Data!$H$3:$H$502&amp;""),SCD_Data!$H$3:$H$502)&lt;=IFERROR(DATEVALUE(A53&amp;""),A53))*(IFERROR(DATEVALUE(SCD_Data!$I$3:$I$502&amp;""),SCD_Data!$I$3:$I$502)&gt;=IFERROR(DATEVALUE(A53&amp;""),A53))*(ROW(SCD_Data!$A$3:$A$502)-2))),"—"))</f>
        <v/>
      </c>
      <c r="J53" s="26" t="str">
        <f aca="false">IF(A53="","",IFERROR(INDEX(SCD_Data!$E$3:$E$502,SUMPRODUCT((SCD_Data!$A$3:$A$502=B53)*(IFERROR(DATEVALUE(SCD_Data!$H$3:$H$502&amp;""),SCD_Data!$H$3:$H$502)&lt;=IFERROR(DATEVALUE(A53&amp;""),A53))*(IFERROR(DATEVALUE(SCD_Data!$I$3:$I$502&amp;""),SCD_Data!$I$3:$I$502)&gt;=IFERROR(DATEVALUE(A53&amp;""),A53))*(ROW(SCD_Data!$A$3:$A$502)-2))),"—"))</f>
        <v/>
      </c>
      <c r="K53" s="25" t="str">
        <f aca="false">IF(A53="","",IFERROR(INDEX(SCD_Data!$F$3:$F$502,SUMPRODUCT((SCD_Data!$A$3:$A$502=B53)*(IFERROR(DATEVALUE(SCD_Data!$H$3:$H$502&amp;""),SCD_Data!$H$3:$H$502)&lt;=IFERROR(DATEVALUE(A53&amp;""),A53))*(IFERROR(DATEVALUE(SCD_Data!$I$3:$I$502&amp;""),SCD_Data!$I$3:$I$502)&gt;=IFERROR(DATEVALUE(A53&amp;""),A53))*(ROW(SCD_Data!$A$3:$A$502)-2))),"—"))</f>
        <v/>
      </c>
      <c r="L53" s="25" t="str">
        <f aca="false">IF(A53="","",IFERROR(INDEX(SCD_Data!$G$3:$G$502,SUMPRODUCT((SCD_Data!$A$3:$A$502=B53)*(IFERROR(DATEVALUE(SCD_Data!$H$3:$H$502&amp;""),SCD_Data!$H$3:$H$502)&lt;=IFERROR(DATEVALUE(A53&amp;""),A53))*(IFERROR(DATEVALUE(SCD_Data!$I$3:$I$502&amp;""),SCD_Data!$I$3:$I$502)&gt;=IFERROR(DATEVALUE(A53&amp;""),A53))*(ROW(SCD_Data!$A$3:$A$502)-2))),"—"))</f>
        <v/>
      </c>
      <c r="M53" s="27" t="str">
        <f aca="false">IF(A53="","",IF(H53="—","—",IF(C53&amp;""=H53&amp;"","✓","✗")))</f>
        <v/>
      </c>
      <c r="N53" s="27" t="str">
        <f aca="false">IF(A53="","",IF(H53="—","—",IF(D53&amp;""=I53&amp;"","✓","✗")))</f>
        <v/>
      </c>
      <c r="O53" s="27" t="str">
        <f aca="false">IF(A53="","",IF(H53="—","—",IF(ABS(E53-J53)&lt;0.01,"✓","✗")))</f>
        <v/>
      </c>
      <c r="P53" s="27" t="str">
        <f aca="false">IF(A53="","",IF(H53="—","—",IF(F53&amp;""=K53&amp;"","✓","✗")))</f>
        <v/>
      </c>
      <c r="Q53" s="27" t="str">
        <f aca="false">IF(A53="","",IF(H53="—","—",IF(G53&amp;""=L53&amp;"","✓","✗")))</f>
        <v/>
      </c>
      <c r="R53" s="27" t="str">
        <f aca="false">IF(A53="","",IF(COUNTIF(M53:Q53,"—")=5,"⚠ NO SCD ROW",IF(COUNTIF(M53:Q53,"✗")&gt;0,"❌ MISMATCH","✅ MATCH")))</f>
        <v/>
      </c>
    </row>
    <row r="54" customFormat="false" ht="15" hidden="false" customHeight="true" outlineLevel="0" collapsed="false">
      <c r="A54" s="22" t="str">
        <f aca="false">IF(Daily_Data!A53="","",Daily_Data!A53)</f>
        <v/>
      </c>
      <c r="B54" s="23" t="str">
        <f aca="false">IF(Daily_Data!B53="","",Daily_Data!B53)</f>
        <v/>
      </c>
      <c r="C54" s="23" t="str">
        <f aca="false">IF(A54="","",Daily_Data!C53)</f>
        <v/>
      </c>
      <c r="D54" s="23" t="str">
        <f aca="false">IF(A54="","",Daily_Data!D53)</f>
        <v/>
      </c>
      <c r="E54" s="24" t="str">
        <f aca="false">IF(A54="","",Daily_Data!E53)</f>
        <v/>
      </c>
      <c r="F54" s="23" t="str">
        <f aca="false">IF(A54="","",Daily_Data!F53)</f>
        <v/>
      </c>
      <c r="G54" s="23" t="str">
        <f aca="false">IF(A54="","",Daily_Data!G53)</f>
        <v/>
      </c>
      <c r="H54" s="25" t="str">
        <f aca="false">IF(A54="","",IFERROR(INDEX(SCD_Data!$C$3:$C$502,SUMPRODUCT((SCD_Data!$A$3:$A$502=B54)*(IFERROR(DATEVALUE(SCD_Data!$H$3:$H$502&amp;""),SCD_Data!$H$3:$H$502)&lt;=IFERROR(DATEVALUE(A54&amp;""),A54))*(IFERROR(DATEVALUE(SCD_Data!$I$3:$I$502&amp;""),SCD_Data!$I$3:$I$502)&gt;=IFERROR(DATEVALUE(A54&amp;""),A54))*(ROW(SCD_Data!$A$3:$A$502)-2))),"—"))</f>
        <v/>
      </c>
      <c r="I54" s="25" t="str">
        <f aca="false">IF(A54="","",IFERROR(INDEX(SCD_Data!$D$3:$D$502,SUMPRODUCT((SCD_Data!$A$3:$A$502=B54)*(IFERROR(DATEVALUE(SCD_Data!$H$3:$H$502&amp;""),SCD_Data!$H$3:$H$502)&lt;=IFERROR(DATEVALUE(A54&amp;""),A54))*(IFERROR(DATEVALUE(SCD_Data!$I$3:$I$502&amp;""),SCD_Data!$I$3:$I$502)&gt;=IFERROR(DATEVALUE(A54&amp;""),A54))*(ROW(SCD_Data!$A$3:$A$502)-2))),"—"))</f>
        <v/>
      </c>
      <c r="J54" s="26" t="str">
        <f aca="false">IF(A54="","",IFERROR(INDEX(SCD_Data!$E$3:$E$502,SUMPRODUCT((SCD_Data!$A$3:$A$502=B54)*(IFERROR(DATEVALUE(SCD_Data!$H$3:$H$502&amp;""),SCD_Data!$H$3:$H$502)&lt;=IFERROR(DATEVALUE(A54&amp;""),A54))*(IFERROR(DATEVALUE(SCD_Data!$I$3:$I$502&amp;""),SCD_Data!$I$3:$I$502)&gt;=IFERROR(DATEVALUE(A54&amp;""),A54))*(ROW(SCD_Data!$A$3:$A$502)-2))),"—"))</f>
        <v/>
      </c>
      <c r="K54" s="25" t="str">
        <f aca="false">IF(A54="","",IFERROR(INDEX(SCD_Data!$F$3:$F$502,SUMPRODUCT((SCD_Data!$A$3:$A$502=B54)*(IFERROR(DATEVALUE(SCD_Data!$H$3:$H$502&amp;""),SCD_Data!$H$3:$H$502)&lt;=IFERROR(DATEVALUE(A54&amp;""),A54))*(IFERROR(DATEVALUE(SCD_Data!$I$3:$I$502&amp;""),SCD_Data!$I$3:$I$502)&gt;=IFERROR(DATEVALUE(A54&amp;""),A54))*(ROW(SCD_Data!$A$3:$A$502)-2))),"—"))</f>
        <v/>
      </c>
      <c r="L54" s="25" t="str">
        <f aca="false">IF(A54="","",IFERROR(INDEX(SCD_Data!$G$3:$G$502,SUMPRODUCT((SCD_Data!$A$3:$A$502=B54)*(IFERROR(DATEVALUE(SCD_Data!$H$3:$H$502&amp;""),SCD_Data!$H$3:$H$502)&lt;=IFERROR(DATEVALUE(A54&amp;""),A54))*(IFERROR(DATEVALUE(SCD_Data!$I$3:$I$502&amp;""),SCD_Data!$I$3:$I$502)&gt;=IFERROR(DATEVALUE(A54&amp;""),A54))*(ROW(SCD_Data!$A$3:$A$502)-2))),"—"))</f>
        <v/>
      </c>
      <c r="M54" s="27" t="str">
        <f aca="false">IF(A54="","",IF(H54="—","—",IF(C54&amp;""=H54&amp;"","✓","✗")))</f>
        <v/>
      </c>
      <c r="N54" s="27" t="str">
        <f aca="false">IF(A54="","",IF(H54="—","—",IF(D54&amp;""=I54&amp;"","✓","✗")))</f>
        <v/>
      </c>
      <c r="O54" s="27" t="str">
        <f aca="false">IF(A54="","",IF(H54="—","—",IF(ABS(E54-J54)&lt;0.01,"✓","✗")))</f>
        <v/>
      </c>
      <c r="P54" s="27" t="str">
        <f aca="false">IF(A54="","",IF(H54="—","—",IF(F54&amp;""=K54&amp;"","✓","✗")))</f>
        <v/>
      </c>
      <c r="Q54" s="27" t="str">
        <f aca="false">IF(A54="","",IF(H54="—","—",IF(G54&amp;""=L54&amp;"","✓","✗")))</f>
        <v/>
      </c>
      <c r="R54" s="27" t="str">
        <f aca="false">IF(A54="","",IF(COUNTIF(M54:Q54,"—")=5,"⚠ NO SCD ROW",IF(COUNTIF(M54:Q54,"✗")&gt;0,"❌ MISMATCH","✅ MATCH")))</f>
        <v/>
      </c>
    </row>
    <row r="55" customFormat="false" ht="15" hidden="false" customHeight="true" outlineLevel="0" collapsed="false">
      <c r="A55" s="22" t="str">
        <f aca="false">IF(Daily_Data!A54="","",Daily_Data!A54)</f>
        <v/>
      </c>
      <c r="B55" s="23" t="str">
        <f aca="false">IF(Daily_Data!B54="","",Daily_Data!B54)</f>
        <v/>
      </c>
      <c r="C55" s="23" t="str">
        <f aca="false">IF(A55="","",Daily_Data!C54)</f>
        <v/>
      </c>
      <c r="D55" s="23" t="str">
        <f aca="false">IF(A55="","",Daily_Data!D54)</f>
        <v/>
      </c>
      <c r="E55" s="24" t="str">
        <f aca="false">IF(A55="","",Daily_Data!E54)</f>
        <v/>
      </c>
      <c r="F55" s="23" t="str">
        <f aca="false">IF(A55="","",Daily_Data!F54)</f>
        <v/>
      </c>
      <c r="G55" s="23" t="str">
        <f aca="false">IF(A55="","",Daily_Data!G54)</f>
        <v/>
      </c>
      <c r="H55" s="25" t="str">
        <f aca="false">IF(A55="","",IFERROR(INDEX(SCD_Data!$C$3:$C$502,SUMPRODUCT((SCD_Data!$A$3:$A$502=B55)*(IFERROR(DATEVALUE(SCD_Data!$H$3:$H$502&amp;""),SCD_Data!$H$3:$H$502)&lt;=IFERROR(DATEVALUE(A55&amp;""),A55))*(IFERROR(DATEVALUE(SCD_Data!$I$3:$I$502&amp;""),SCD_Data!$I$3:$I$502)&gt;=IFERROR(DATEVALUE(A55&amp;""),A55))*(ROW(SCD_Data!$A$3:$A$502)-2))),"—"))</f>
        <v/>
      </c>
      <c r="I55" s="25" t="str">
        <f aca="false">IF(A55="","",IFERROR(INDEX(SCD_Data!$D$3:$D$502,SUMPRODUCT((SCD_Data!$A$3:$A$502=B55)*(IFERROR(DATEVALUE(SCD_Data!$H$3:$H$502&amp;""),SCD_Data!$H$3:$H$502)&lt;=IFERROR(DATEVALUE(A55&amp;""),A55))*(IFERROR(DATEVALUE(SCD_Data!$I$3:$I$502&amp;""),SCD_Data!$I$3:$I$502)&gt;=IFERROR(DATEVALUE(A55&amp;""),A55))*(ROW(SCD_Data!$A$3:$A$502)-2))),"—"))</f>
        <v/>
      </c>
      <c r="J55" s="26" t="str">
        <f aca="false">IF(A55="","",IFERROR(INDEX(SCD_Data!$E$3:$E$502,SUMPRODUCT((SCD_Data!$A$3:$A$502=B55)*(IFERROR(DATEVALUE(SCD_Data!$H$3:$H$502&amp;""),SCD_Data!$H$3:$H$502)&lt;=IFERROR(DATEVALUE(A55&amp;""),A55))*(IFERROR(DATEVALUE(SCD_Data!$I$3:$I$502&amp;""),SCD_Data!$I$3:$I$502)&gt;=IFERROR(DATEVALUE(A55&amp;""),A55))*(ROW(SCD_Data!$A$3:$A$502)-2))),"—"))</f>
        <v/>
      </c>
      <c r="K55" s="25" t="str">
        <f aca="false">IF(A55="","",IFERROR(INDEX(SCD_Data!$F$3:$F$502,SUMPRODUCT((SCD_Data!$A$3:$A$502=B55)*(IFERROR(DATEVALUE(SCD_Data!$H$3:$H$502&amp;""),SCD_Data!$H$3:$H$502)&lt;=IFERROR(DATEVALUE(A55&amp;""),A55))*(IFERROR(DATEVALUE(SCD_Data!$I$3:$I$502&amp;""),SCD_Data!$I$3:$I$502)&gt;=IFERROR(DATEVALUE(A55&amp;""),A55))*(ROW(SCD_Data!$A$3:$A$502)-2))),"—"))</f>
        <v/>
      </c>
      <c r="L55" s="25" t="str">
        <f aca="false">IF(A55="","",IFERROR(INDEX(SCD_Data!$G$3:$G$502,SUMPRODUCT((SCD_Data!$A$3:$A$502=B55)*(IFERROR(DATEVALUE(SCD_Data!$H$3:$H$502&amp;""),SCD_Data!$H$3:$H$502)&lt;=IFERROR(DATEVALUE(A55&amp;""),A55))*(IFERROR(DATEVALUE(SCD_Data!$I$3:$I$502&amp;""),SCD_Data!$I$3:$I$502)&gt;=IFERROR(DATEVALUE(A55&amp;""),A55))*(ROW(SCD_Data!$A$3:$A$502)-2))),"—"))</f>
        <v/>
      </c>
      <c r="M55" s="27" t="str">
        <f aca="false">IF(A55="","",IF(H55="—","—",IF(C55&amp;""=H55&amp;"","✓","✗")))</f>
        <v/>
      </c>
      <c r="N55" s="27" t="str">
        <f aca="false">IF(A55="","",IF(H55="—","—",IF(D55&amp;""=I55&amp;"","✓","✗")))</f>
        <v/>
      </c>
      <c r="O55" s="27" t="str">
        <f aca="false">IF(A55="","",IF(H55="—","—",IF(ABS(E55-J55)&lt;0.01,"✓","✗")))</f>
        <v/>
      </c>
      <c r="P55" s="27" t="str">
        <f aca="false">IF(A55="","",IF(H55="—","—",IF(F55&amp;""=K55&amp;"","✓","✗")))</f>
        <v/>
      </c>
      <c r="Q55" s="27" t="str">
        <f aca="false">IF(A55="","",IF(H55="—","—",IF(G55&amp;""=L55&amp;"","✓","✗")))</f>
        <v/>
      </c>
      <c r="R55" s="27" t="str">
        <f aca="false">IF(A55="","",IF(COUNTIF(M55:Q55,"—")=5,"⚠ NO SCD ROW",IF(COUNTIF(M55:Q55,"✗")&gt;0,"❌ MISMATCH","✅ MATCH")))</f>
        <v/>
      </c>
    </row>
    <row r="56" customFormat="false" ht="15" hidden="false" customHeight="true" outlineLevel="0" collapsed="false">
      <c r="A56" s="22" t="str">
        <f aca="false">IF(Daily_Data!A55="","",Daily_Data!A55)</f>
        <v/>
      </c>
      <c r="B56" s="23" t="str">
        <f aca="false">IF(Daily_Data!B55="","",Daily_Data!B55)</f>
        <v/>
      </c>
      <c r="C56" s="23" t="str">
        <f aca="false">IF(A56="","",Daily_Data!C55)</f>
        <v/>
      </c>
      <c r="D56" s="23" t="str">
        <f aca="false">IF(A56="","",Daily_Data!D55)</f>
        <v/>
      </c>
      <c r="E56" s="24" t="str">
        <f aca="false">IF(A56="","",Daily_Data!E55)</f>
        <v/>
      </c>
      <c r="F56" s="23" t="str">
        <f aca="false">IF(A56="","",Daily_Data!F55)</f>
        <v/>
      </c>
      <c r="G56" s="23" t="str">
        <f aca="false">IF(A56="","",Daily_Data!G55)</f>
        <v/>
      </c>
      <c r="H56" s="25" t="str">
        <f aca="false">IF(A56="","",IFERROR(INDEX(SCD_Data!$C$3:$C$502,SUMPRODUCT((SCD_Data!$A$3:$A$502=B56)*(IFERROR(DATEVALUE(SCD_Data!$H$3:$H$502&amp;""),SCD_Data!$H$3:$H$502)&lt;=IFERROR(DATEVALUE(A56&amp;""),A56))*(IFERROR(DATEVALUE(SCD_Data!$I$3:$I$502&amp;""),SCD_Data!$I$3:$I$502)&gt;=IFERROR(DATEVALUE(A56&amp;""),A56))*(ROW(SCD_Data!$A$3:$A$502)-2))),"—"))</f>
        <v/>
      </c>
      <c r="I56" s="25" t="str">
        <f aca="false">IF(A56="","",IFERROR(INDEX(SCD_Data!$D$3:$D$502,SUMPRODUCT((SCD_Data!$A$3:$A$502=B56)*(IFERROR(DATEVALUE(SCD_Data!$H$3:$H$502&amp;""),SCD_Data!$H$3:$H$502)&lt;=IFERROR(DATEVALUE(A56&amp;""),A56))*(IFERROR(DATEVALUE(SCD_Data!$I$3:$I$502&amp;""),SCD_Data!$I$3:$I$502)&gt;=IFERROR(DATEVALUE(A56&amp;""),A56))*(ROW(SCD_Data!$A$3:$A$502)-2))),"—"))</f>
        <v/>
      </c>
      <c r="J56" s="26" t="str">
        <f aca="false">IF(A56="","",IFERROR(INDEX(SCD_Data!$E$3:$E$502,SUMPRODUCT((SCD_Data!$A$3:$A$502=B56)*(IFERROR(DATEVALUE(SCD_Data!$H$3:$H$502&amp;""),SCD_Data!$H$3:$H$502)&lt;=IFERROR(DATEVALUE(A56&amp;""),A56))*(IFERROR(DATEVALUE(SCD_Data!$I$3:$I$502&amp;""),SCD_Data!$I$3:$I$502)&gt;=IFERROR(DATEVALUE(A56&amp;""),A56))*(ROW(SCD_Data!$A$3:$A$502)-2))),"—"))</f>
        <v/>
      </c>
      <c r="K56" s="25" t="str">
        <f aca="false">IF(A56="","",IFERROR(INDEX(SCD_Data!$F$3:$F$502,SUMPRODUCT((SCD_Data!$A$3:$A$502=B56)*(IFERROR(DATEVALUE(SCD_Data!$H$3:$H$502&amp;""),SCD_Data!$H$3:$H$502)&lt;=IFERROR(DATEVALUE(A56&amp;""),A56))*(IFERROR(DATEVALUE(SCD_Data!$I$3:$I$502&amp;""),SCD_Data!$I$3:$I$502)&gt;=IFERROR(DATEVALUE(A56&amp;""),A56))*(ROW(SCD_Data!$A$3:$A$502)-2))),"—"))</f>
        <v/>
      </c>
      <c r="L56" s="25" t="str">
        <f aca="false">IF(A56="","",IFERROR(INDEX(SCD_Data!$G$3:$G$502,SUMPRODUCT((SCD_Data!$A$3:$A$502=B56)*(IFERROR(DATEVALUE(SCD_Data!$H$3:$H$502&amp;""),SCD_Data!$H$3:$H$502)&lt;=IFERROR(DATEVALUE(A56&amp;""),A56))*(IFERROR(DATEVALUE(SCD_Data!$I$3:$I$502&amp;""),SCD_Data!$I$3:$I$502)&gt;=IFERROR(DATEVALUE(A56&amp;""),A56))*(ROW(SCD_Data!$A$3:$A$502)-2))),"—"))</f>
        <v/>
      </c>
      <c r="M56" s="27" t="str">
        <f aca="false">IF(A56="","",IF(H56="—","—",IF(C56&amp;""=H56&amp;"","✓","✗")))</f>
        <v/>
      </c>
      <c r="N56" s="27" t="str">
        <f aca="false">IF(A56="","",IF(H56="—","—",IF(D56&amp;""=I56&amp;"","✓","✗")))</f>
        <v/>
      </c>
      <c r="O56" s="27" t="str">
        <f aca="false">IF(A56="","",IF(H56="—","—",IF(ABS(E56-J56)&lt;0.01,"✓","✗")))</f>
        <v/>
      </c>
      <c r="P56" s="27" t="str">
        <f aca="false">IF(A56="","",IF(H56="—","—",IF(F56&amp;""=K56&amp;"","✓","✗")))</f>
        <v/>
      </c>
      <c r="Q56" s="27" t="str">
        <f aca="false">IF(A56="","",IF(H56="—","—",IF(G56&amp;""=L56&amp;"","✓","✗")))</f>
        <v/>
      </c>
      <c r="R56" s="27" t="str">
        <f aca="false">IF(A56="","",IF(COUNTIF(M56:Q56,"—")=5,"⚠ NO SCD ROW",IF(COUNTIF(M56:Q56,"✗")&gt;0,"❌ MISMATCH","✅ MATCH")))</f>
        <v/>
      </c>
    </row>
    <row r="57" customFormat="false" ht="15" hidden="false" customHeight="true" outlineLevel="0" collapsed="false">
      <c r="A57" s="22" t="str">
        <f aca="false">IF(Daily_Data!A56="","",Daily_Data!A56)</f>
        <v/>
      </c>
      <c r="B57" s="23" t="str">
        <f aca="false">IF(Daily_Data!B56="","",Daily_Data!B56)</f>
        <v/>
      </c>
      <c r="C57" s="23" t="str">
        <f aca="false">IF(A57="","",Daily_Data!C56)</f>
        <v/>
      </c>
      <c r="D57" s="23" t="str">
        <f aca="false">IF(A57="","",Daily_Data!D56)</f>
        <v/>
      </c>
      <c r="E57" s="24" t="str">
        <f aca="false">IF(A57="","",Daily_Data!E56)</f>
        <v/>
      </c>
      <c r="F57" s="23" t="str">
        <f aca="false">IF(A57="","",Daily_Data!F56)</f>
        <v/>
      </c>
      <c r="G57" s="23" t="str">
        <f aca="false">IF(A57="","",Daily_Data!G56)</f>
        <v/>
      </c>
      <c r="H57" s="25" t="str">
        <f aca="false">IF(A57="","",IFERROR(INDEX(SCD_Data!$C$3:$C$502,SUMPRODUCT((SCD_Data!$A$3:$A$502=B57)*(IFERROR(DATEVALUE(SCD_Data!$H$3:$H$502&amp;""),SCD_Data!$H$3:$H$502)&lt;=IFERROR(DATEVALUE(A57&amp;""),A57))*(IFERROR(DATEVALUE(SCD_Data!$I$3:$I$502&amp;""),SCD_Data!$I$3:$I$502)&gt;=IFERROR(DATEVALUE(A57&amp;""),A57))*(ROW(SCD_Data!$A$3:$A$502)-2))),"—"))</f>
        <v/>
      </c>
      <c r="I57" s="25" t="str">
        <f aca="false">IF(A57="","",IFERROR(INDEX(SCD_Data!$D$3:$D$502,SUMPRODUCT((SCD_Data!$A$3:$A$502=B57)*(IFERROR(DATEVALUE(SCD_Data!$H$3:$H$502&amp;""),SCD_Data!$H$3:$H$502)&lt;=IFERROR(DATEVALUE(A57&amp;""),A57))*(IFERROR(DATEVALUE(SCD_Data!$I$3:$I$502&amp;""),SCD_Data!$I$3:$I$502)&gt;=IFERROR(DATEVALUE(A57&amp;""),A57))*(ROW(SCD_Data!$A$3:$A$502)-2))),"—"))</f>
        <v/>
      </c>
      <c r="J57" s="26" t="str">
        <f aca="false">IF(A57="","",IFERROR(INDEX(SCD_Data!$E$3:$E$502,SUMPRODUCT((SCD_Data!$A$3:$A$502=B57)*(IFERROR(DATEVALUE(SCD_Data!$H$3:$H$502&amp;""),SCD_Data!$H$3:$H$502)&lt;=IFERROR(DATEVALUE(A57&amp;""),A57))*(IFERROR(DATEVALUE(SCD_Data!$I$3:$I$502&amp;""),SCD_Data!$I$3:$I$502)&gt;=IFERROR(DATEVALUE(A57&amp;""),A57))*(ROW(SCD_Data!$A$3:$A$502)-2))),"—"))</f>
        <v/>
      </c>
      <c r="K57" s="25" t="str">
        <f aca="false">IF(A57="","",IFERROR(INDEX(SCD_Data!$F$3:$F$502,SUMPRODUCT((SCD_Data!$A$3:$A$502=B57)*(IFERROR(DATEVALUE(SCD_Data!$H$3:$H$502&amp;""),SCD_Data!$H$3:$H$502)&lt;=IFERROR(DATEVALUE(A57&amp;""),A57))*(IFERROR(DATEVALUE(SCD_Data!$I$3:$I$502&amp;""),SCD_Data!$I$3:$I$502)&gt;=IFERROR(DATEVALUE(A57&amp;""),A57))*(ROW(SCD_Data!$A$3:$A$502)-2))),"—"))</f>
        <v/>
      </c>
      <c r="L57" s="25" t="str">
        <f aca="false">IF(A57="","",IFERROR(INDEX(SCD_Data!$G$3:$G$502,SUMPRODUCT((SCD_Data!$A$3:$A$502=B57)*(IFERROR(DATEVALUE(SCD_Data!$H$3:$H$502&amp;""),SCD_Data!$H$3:$H$502)&lt;=IFERROR(DATEVALUE(A57&amp;""),A57))*(IFERROR(DATEVALUE(SCD_Data!$I$3:$I$502&amp;""),SCD_Data!$I$3:$I$502)&gt;=IFERROR(DATEVALUE(A57&amp;""),A57))*(ROW(SCD_Data!$A$3:$A$502)-2))),"—"))</f>
        <v/>
      </c>
      <c r="M57" s="27" t="str">
        <f aca="false">IF(A57="","",IF(H57="—","—",IF(C57&amp;""=H57&amp;"","✓","✗")))</f>
        <v/>
      </c>
      <c r="N57" s="27" t="str">
        <f aca="false">IF(A57="","",IF(H57="—","—",IF(D57&amp;""=I57&amp;"","✓","✗")))</f>
        <v/>
      </c>
      <c r="O57" s="27" t="str">
        <f aca="false">IF(A57="","",IF(H57="—","—",IF(ABS(E57-J57)&lt;0.01,"✓","✗")))</f>
        <v/>
      </c>
      <c r="P57" s="27" t="str">
        <f aca="false">IF(A57="","",IF(H57="—","—",IF(F57&amp;""=K57&amp;"","✓","✗")))</f>
        <v/>
      </c>
      <c r="Q57" s="27" t="str">
        <f aca="false">IF(A57="","",IF(H57="—","—",IF(G57&amp;""=L57&amp;"","✓","✗")))</f>
        <v/>
      </c>
      <c r="R57" s="27" t="str">
        <f aca="false">IF(A57="","",IF(COUNTIF(M57:Q57,"—")=5,"⚠ NO SCD ROW",IF(COUNTIF(M57:Q57,"✗")&gt;0,"❌ MISMATCH","✅ MATCH")))</f>
        <v/>
      </c>
    </row>
    <row r="58" customFormat="false" ht="15" hidden="false" customHeight="true" outlineLevel="0" collapsed="false">
      <c r="A58" s="22" t="str">
        <f aca="false">IF(Daily_Data!A57="","",Daily_Data!A57)</f>
        <v/>
      </c>
      <c r="B58" s="23" t="str">
        <f aca="false">IF(Daily_Data!B57="","",Daily_Data!B57)</f>
        <v/>
      </c>
      <c r="C58" s="23" t="str">
        <f aca="false">IF(A58="","",Daily_Data!C57)</f>
        <v/>
      </c>
      <c r="D58" s="23" t="str">
        <f aca="false">IF(A58="","",Daily_Data!D57)</f>
        <v/>
      </c>
      <c r="E58" s="24" t="str">
        <f aca="false">IF(A58="","",Daily_Data!E57)</f>
        <v/>
      </c>
      <c r="F58" s="23" t="str">
        <f aca="false">IF(A58="","",Daily_Data!F57)</f>
        <v/>
      </c>
      <c r="G58" s="23" t="str">
        <f aca="false">IF(A58="","",Daily_Data!G57)</f>
        <v/>
      </c>
      <c r="H58" s="25" t="str">
        <f aca="false">IF(A58="","",IFERROR(INDEX(SCD_Data!$C$3:$C$502,SUMPRODUCT((SCD_Data!$A$3:$A$502=B58)*(IFERROR(DATEVALUE(SCD_Data!$H$3:$H$502&amp;""),SCD_Data!$H$3:$H$502)&lt;=IFERROR(DATEVALUE(A58&amp;""),A58))*(IFERROR(DATEVALUE(SCD_Data!$I$3:$I$502&amp;""),SCD_Data!$I$3:$I$502)&gt;=IFERROR(DATEVALUE(A58&amp;""),A58))*(ROW(SCD_Data!$A$3:$A$502)-2))),"—"))</f>
        <v/>
      </c>
      <c r="I58" s="25" t="str">
        <f aca="false">IF(A58="","",IFERROR(INDEX(SCD_Data!$D$3:$D$502,SUMPRODUCT((SCD_Data!$A$3:$A$502=B58)*(IFERROR(DATEVALUE(SCD_Data!$H$3:$H$502&amp;""),SCD_Data!$H$3:$H$502)&lt;=IFERROR(DATEVALUE(A58&amp;""),A58))*(IFERROR(DATEVALUE(SCD_Data!$I$3:$I$502&amp;""),SCD_Data!$I$3:$I$502)&gt;=IFERROR(DATEVALUE(A58&amp;""),A58))*(ROW(SCD_Data!$A$3:$A$502)-2))),"—"))</f>
        <v/>
      </c>
      <c r="J58" s="26" t="str">
        <f aca="false">IF(A58="","",IFERROR(INDEX(SCD_Data!$E$3:$E$502,SUMPRODUCT((SCD_Data!$A$3:$A$502=B58)*(IFERROR(DATEVALUE(SCD_Data!$H$3:$H$502&amp;""),SCD_Data!$H$3:$H$502)&lt;=IFERROR(DATEVALUE(A58&amp;""),A58))*(IFERROR(DATEVALUE(SCD_Data!$I$3:$I$502&amp;""),SCD_Data!$I$3:$I$502)&gt;=IFERROR(DATEVALUE(A58&amp;""),A58))*(ROW(SCD_Data!$A$3:$A$502)-2))),"—"))</f>
        <v/>
      </c>
      <c r="K58" s="25" t="str">
        <f aca="false">IF(A58="","",IFERROR(INDEX(SCD_Data!$F$3:$F$502,SUMPRODUCT((SCD_Data!$A$3:$A$502=B58)*(IFERROR(DATEVALUE(SCD_Data!$H$3:$H$502&amp;""),SCD_Data!$H$3:$H$502)&lt;=IFERROR(DATEVALUE(A58&amp;""),A58))*(IFERROR(DATEVALUE(SCD_Data!$I$3:$I$502&amp;""),SCD_Data!$I$3:$I$502)&gt;=IFERROR(DATEVALUE(A58&amp;""),A58))*(ROW(SCD_Data!$A$3:$A$502)-2))),"—"))</f>
        <v/>
      </c>
      <c r="L58" s="25" t="str">
        <f aca="false">IF(A58="","",IFERROR(INDEX(SCD_Data!$G$3:$G$502,SUMPRODUCT((SCD_Data!$A$3:$A$502=B58)*(IFERROR(DATEVALUE(SCD_Data!$H$3:$H$502&amp;""),SCD_Data!$H$3:$H$502)&lt;=IFERROR(DATEVALUE(A58&amp;""),A58))*(IFERROR(DATEVALUE(SCD_Data!$I$3:$I$502&amp;""),SCD_Data!$I$3:$I$502)&gt;=IFERROR(DATEVALUE(A58&amp;""),A58))*(ROW(SCD_Data!$A$3:$A$502)-2))),"—"))</f>
        <v/>
      </c>
      <c r="M58" s="27" t="str">
        <f aca="false">IF(A58="","",IF(H58="—","—",IF(C58&amp;""=H58&amp;"","✓","✗")))</f>
        <v/>
      </c>
      <c r="N58" s="27" t="str">
        <f aca="false">IF(A58="","",IF(H58="—","—",IF(D58&amp;""=I58&amp;"","✓","✗")))</f>
        <v/>
      </c>
      <c r="O58" s="27" t="str">
        <f aca="false">IF(A58="","",IF(H58="—","—",IF(ABS(E58-J58)&lt;0.01,"✓","✗")))</f>
        <v/>
      </c>
      <c r="P58" s="27" t="str">
        <f aca="false">IF(A58="","",IF(H58="—","—",IF(F58&amp;""=K58&amp;"","✓","✗")))</f>
        <v/>
      </c>
      <c r="Q58" s="27" t="str">
        <f aca="false">IF(A58="","",IF(H58="—","—",IF(G58&amp;""=L58&amp;"","✓","✗")))</f>
        <v/>
      </c>
      <c r="R58" s="27" t="str">
        <f aca="false">IF(A58="","",IF(COUNTIF(M58:Q58,"—")=5,"⚠ NO SCD ROW",IF(COUNTIF(M58:Q58,"✗")&gt;0,"❌ MISMATCH","✅ MATCH")))</f>
        <v/>
      </c>
    </row>
    <row r="59" customFormat="false" ht="15" hidden="false" customHeight="true" outlineLevel="0" collapsed="false">
      <c r="A59" s="22" t="str">
        <f aca="false">IF(Daily_Data!A58="","",Daily_Data!A58)</f>
        <v/>
      </c>
      <c r="B59" s="23" t="str">
        <f aca="false">IF(Daily_Data!B58="","",Daily_Data!B58)</f>
        <v/>
      </c>
      <c r="C59" s="23" t="str">
        <f aca="false">IF(A59="","",Daily_Data!C58)</f>
        <v/>
      </c>
      <c r="D59" s="23" t="str">
        <f aca="false">IF(A59="","",Daily_Data!D58)</f>
        <v/>
      </c>
      <c r="E59" s="24" t="str">
        <f aca="false">IF(A59="","",Daily_Data!E58)</f>
        <v/>
      </c>
      <c r="F59" s="23" t="str">
        <f aca="false">IF(A59="","",Daily_Data!F58)</f>
        <v/>
      </c>
      <c r="G59" s="23" t="str">
        <f aca="false">IF(A59="","",Daily_Data!G58)</f>
        <v/>
      </c>
      <c r="H59" s="25" t="str">
        <f aca="false">IF(A59="","",IFERROR(INDEX(SCD_Data!$C$3:$C$502,SUMPRODUCT((SCD_Data!$A$3:$A$502=B59)*(IFERROR(DATEVALUE(SCD_Data!$H$3:$H$502&amp;""),SCD_Data!$H$3:$H$502)&lt;=IFERROR(DATEVALUE(A59&amp;""),A59))*(IFERROR(DATEVALUE(SCD_Data!$I$3:$I$502&amp;""),SCD_Data!$I$3:$I$502)&gt;=IFERROR(DATEVALUE(A59&amp;""),A59))*(ROW(SCD_Data!$A$3:$A$502)-2))),"—"))</f>
        <v/>
      </c>
      <c r="I59" s="25" t="str">
        <f aca="false">IF(A59="","",IFERROR(INDEX(SCD_Data!$D$3:$D$502,SUMPRODUCT((SCD_Data!$A$3:$A$502=B59)*(IFERROR(DATEVALUE(SCD_Data!$H$3:$H$502&amp;""),SCD_Data!$H$3:$H$502)&lt;=IFERROR(DATEVALUE(A59&amp;""),A59))*(IFERROR(DATEVALUE(SCD_Data!$I$3:$I$502&amp;""),SCD_Data!$I$3:$I$502)&gt;=IFERROR(DATEVALUE(A59&amp;""),A59))*(ROW(SCD_Data!$A$3:$A$502)-2))),"—"))</f>
        <v/>
      </c>
      <c r="J59" s="26" t="str">
        <f aca="false">IF(A59="","",IFERROR(INDEX(SCD_Data!$E$3:$E$502,SUMPRODUCT((SCD_Data!$A$3:$A$502=B59)*(IFERROR(DATEVALUE(SCD_Data!$H$3:$H$502&amp;""),SCD_Data!$H$3:$H$502)&lt;=IFERROR(DATEVALUE(A59&amp;""),A59))*(IFERROR(DATEVALUE(SCD_Data!$I$3:$I$502&amp;""),SCD_Data!$I$3:$I$502)&gt;=IFERROR(DATEVALUE(A59&amp;""),A59))*(ROW(SCD_Data!$A$3:$A$502)-2))),"—"))</f>
        <v/>
      </c>
      <c r="K59" s="25" t="str">
        <f aca="false">IF(A59="","",IFERROR(INDEX(SCD_Data!$F$3:$F$502,SUMPRODUCT((SCD_Data!$A$3:$A$502=B59)*(IFERROR(DATEVALUE(SCD_Data!$H$3:$H$502&amp;""),SCD_Data!$H$3:$H$502)&lt;=IFERROR(DATEVALUE(A59&amp;""),A59))*(IFERROR(DATEVALUE(SCD_Data!$I$3:$I$502&amp;""),SCD_Data!$I$3:$I$502)&gt;=IFERROR(DATEVALUE(A59&amp;""),A59))*(ROW(SCD_Data!$A$3:$A$502)-2))),"—"))</f>
        <v/>
      </c>
      <c r="L59" s="25" t="str">
        <f aca="false">IF(A59="","",IFERROR(INDEX(SCD_Data!$G$3:$G$502,SUMPRODUCT((SCD_Data!$A$3:$A$502=B59)*(IFERROR(DATEVALUE(SCD_Data!$H$3:$H$502&amp;""),SCD_Data!$H$3:$H$502)&lt;=IFERROR(DATEVALUE(A59&amp;""),A59))*(IFERROR(DATEVALUE(SCD_Data!$I$3:$I$502&amp;""),SCD_Data!$I$3:$I$502)&gt;=IFERROR(DATEVALUE(A59&amp;""),A59))*(ROW(SCD_Data!$A$3:$A$502)-2))),"—"))</f>
        <v/>
      </c>
      <c r="M59" s="27" t="str">
        <f aca="false">IF(A59="","",IF(H59="—","—",IF(C59&amp;""=H59&amp;"","✓","✗")))</f>
        <v/>
      </c>
      <c r="N59" s="27" t="str">
        <f aca="false">IF(A59="","",IF(H59="—","—",IF(D59&amp;""=I59&amp;"","✓","✗")))</f>
        <v/>
      </c>
      <c r="O59" s="27" t="str">
        <f aca="false">IF(A59="","",IF(H59="—","—",IF(ABS(E59-J59)&lt;0.01,"✓","✗")))</f>
        <v/>
      </c>
      <c r="P59" s="27" t="str">
        <f aca="false">IF(A59="","",IF(H59="—","—",IF(F59&amp;""=K59&amp;"","✓","✗")))</f>
        <v/>
      </c>
      <c r="Q59" s="27" t="str">
        <f aca="false">IF(A59="","",IF(H59="—","—",IF(G59&amp;""=L59&amp;"","✓","✗")))</f>
        <v/>
      </c>
      <c r="R59" s="27" t="str">
        <f aca="false">IF(A59="","",IF(COUNTIF(M59:Q59,"—")=5,"⚠ NO SCD ROW",IF(COUNTIF(M59:Q59,"✗")&gt;0,"❌ MISMATCH","✅ MATCH")))</f>
        <v/>
      </c>
    </row>
    <row r="60" customFormat="false" ht="15" hidden="false" customHeight="true" outlineLevel="0" collapsed="false">
      <c r="A60" s="22" t="str">
        <f aca="false">IF(Daily_Data!A59="","",Daily_Data!A59)</f>
        <v/>
      </c>
      <c r="B60" s="23" t="str">
        <f aca="false">IF(Daily_Data!B59="","",Daily_Data!B59)</f>
        <v/>
      </c>
      <c r="C60" s="23" t="str">
        <f aca="false">IF(A60="","",Daily_Data!C59)</f>
        <v/>
      </c>
      <c r="D60" s="23" t="str">
        <f aca="false">IF(A60="","",Daily_Data!D59)</f>
        <v/>
      </c>
      <c r="E60" s="24" t="str">
        <f aca="false">IF(A60="","",Daily_Data!E59)</f>
        <v/>
      </c>
      <c r="F60" s="23" t="str">
        <f aca="false">IF(A60="","",Daily_Data!F59)</f>
        <v/>
      </c>
      <c r="G60" s="23" t="str">
        <f aca="false">IF(A60="","",Daily_Data!G59)</f>
        <v/>
      </c>
      <c r="H60" s="25" t="str">
        <f aca="false">IF(A60="","",IFERROR(INDEX(SCD_Data!$C$3:$C$502,SUMPRODUCT((SCD_Data!$A$3:$A$502=B60)*(IFERROR(DATEVALUE(SCD_Data!$H$3:$H$502&amp;""),SCD_Data!$H$3:$H$502)&lt;=IFERROR(DATEVALUE(A60&amp;""),A60))*(IFERROR(DATEVALUE(SCD_Data!$I$3:$I$502&amp;""),SCD_Data!$I$3:$I$502)&gt;=IFERROR(DATEVALUE(A60&amp;""),A60))*(ROW(SCD_Data!$A$3:$A$502)-2))),"—"))</f>
        <v/>
      </c>
      <c r="I60" s="25" t="str">
        <f aca="false">IF(A60="","",IFERROR(INDEX(SCD_Data!$D$3:$D$502,SUMPRODUCT((SCD_Data!$A$3:$A$502=B60)*(IFERROR(DATEVALUE(SCD_Data!$H$3:$H$502&amp;""),SCD_Data!$H$3:$H$502)&lt;=IFERROR(DATEVALUE(A60&amp;""),A60))*(IFERROR(DATEVALUE(SCD_Data!$I$3:$I$502&amp;""),SCD_Data!$I$3:$I$502)&gt;=IFERROR(DATEVALUE(A60&amp;""),A60))*(ROW(SCD_Data!$A$3:$A$502)-2))),"—"))</f>
        <v/>
      </c>
      <c r="J60" s="26" t="str">
        <f aca="false">IF(A60="","",IFERROR(INDEX(SCD_Data!$E$3:$E$502,SUMPRODUCT((SCD_Data!$A$3:$A$502=B60)*(IFERROR(DATEVALUE(SCD_Data!$H$3:$H$502&amp;""),SCD_Data!$H$3:$H$502)&lt;=IFERROR(DATEVALUE(A60&amp;""),A60))*(IFERROR(DATEVALUE(SCD_Data!$I$3:$I$502&amp;""),SCD_Data!$I$3:$I$502)&gt;=IFERROR(DATEVALUE(A60&amp;""),A60))*(ROW(SCD_Data!$A$3:$A$502)-2))),"—"))</f>
        <v/>
      </c>
      <c r="K60" s="25" t="str">
        <f aca="false">IF(A60="","",IFERROR(INDEX(SCD_Data!$F$3:$F$502,SUMPRODUCT((SCD_Data!$A$3:$A$502=B60)*(IFERROR(DATEVALUE(SCD_Data!$H$3:$H$502&amp;""),SCD_Data!$H$3:$H$502)&lt;=IFERROR(DATEVALUE(A60&amp;""),A60))*(IFERROR(DATEVALUE(SCD_Data!$I$3:$I$502&amp;""),SCD_Data!$I$3:$I$502)&gt;=IFERROR(DATEVALUE(A60&amp;""),A60))*(ROW(SCD_Data!$A$3:$A$502)-2))),"—"))</f>
        <v/>
      </c>
      <c r="L60" s="25" t="str">
        <f aca="false">IF(A60="","",IFERROR(INDEX(SCD_Data!$G$3:$G$502,SUMPRODUCT((SCD_Data!$A$3:$A$502=B60)*(IFERROR(DATEVALUE(SCD_Data!$H$3:$H$502&amp;""),SCD_Data!$H$3:$H$502)&lt;=IFERROR(DATEVALUE(A60&amp;""),A60))*(IFERROR(DATEVALUE(SCD_Data!$I$3:$I$502&amp;""),SCD_Data!$I$3:$I$502)&gt;=IFERROR(DATEVALUE(A60&amp;""),A60))*(ROW(SCD_Data!$A$3:$A$502)-2))),"—"))</f>
        <v/>
      </c>
      <c r="M60" s="27" t="str">
        <f aca="false">IF(A60="","",IF(H60="—","—",IF(C60&amp;""=H60&amp;"","✓","✗")))</f>
        <v/>
      </c>
      <c r="N60" s="27" t="str">
        <f aca="false">IF(A60="","",IF(H60="—","—",IF(D60&amp;""=I60&amp;"","✓","✗")))</f>
        <v/>
      </c>
      <c r="O60" s="27" t="str">
        <f aca="false">IF(A60="","",IF(H60="—","—",IF(ABS(E60-J60)&lt;0.01,"✓","✗")))</f>
        <v/>
      </c>
      <c r="P60" s="27" t="str">
        <f aca="false">IF(A60="","",IF(H60="—","—",IF(F60&amp;""=K60&amp;"","✓","✗")))</f>
        <v/>
      </c>
      <c r="Q60" s="27" t="str">
        <f aca="false">IF(A60="","",IF(H60="—","—",IF(G60&amp;""=L60&amp;"","✓","✗")))</f>
        <v/>
      </c>
      <c r="R60" s="27" t="str">
        <f aca="false">IF(A60="","",IF(COUNTIF(M60:Q60,"—")=5,"⚠ NO SCD ROW",IF(COUNTIF(M60:Q60,"✗")&gt;0,"❌ MISMATCH","✅ MATCH")))</f>
        <v/>
      </c>
    </row>
    <row r="61" customFormat="false" ht="15" hidden="false" customHeight="true" outlineLevel="0" collapsed="false">
      <c r="A61" s="22" t="str">
        <f aca="false">IF(Daily_Data!A60="","",Daily_Data!A60)</f>
        <v/>
      </c>
      <c r="B61" s="23" t="str">
        <f aca="false">IF(Daily_Data!B60="","",Daily_Data!B60)</f>
        <v/>
      </c>
      <c r="C61" s="23" t="str">
        <f aca="false">IF(A61="","",Daily_Data!C60)</f>
        <v/>
      </c>
      <c r="D61" s="23" t="str">
        <f aca="false">IF(A61="","",Daily_Data!D60)</f>
        <v/>
      </c>
      <c r="E61" s="24" t="str">
        <f aca="false">IF(A61="","",Daily_Data!E60)</f>
        <v/>
      </c>
      <c r="F61" s="23" t="str">
        <f aca="false">IF(A61="","",Daily_Data!F60)</f>
        <v/>
      </c>
      <c r="G61" s="23" t="str">
        <f aca="false">IF(A61="","",Daily_Data!G60)</f>
        <v/>
      </c>
      <c r="H61" s="25" t="str">
        <f aca="false">IF(A61="","",IFERROR(INDEX(SCD_Data!$C$3:$C$502,SUMPRODUCT((SCD_Data!$A$3:$A$502=B61)*(IFERROR(DATEVALUE(SCD_Data!$H$3:$H$502&amp;""),SCD_Data!$H$3:$H$502)&lt;=IFERROR(DATEVALUE(A61&amp;""),A61))*(IFERROR(DATEVALUE(SCD_Data!$I$3:$I$502&amp;""),SCD_Data!$I$3:$I$502)&gt;=IFERROR(DATEVALUE(A61&amp;""),A61))*(ROW(SCD_Data!$A$3:$A$502)-2))),"—"))</f>
        <v/>
      </c>
      <c r="I61" s="25" t="str">
        <f aca="false">IF(A61="","",IFERROR(INDEX(SCD_Data!$D$3:$D$502,SUMPRODUCT((SCD_Data!$A$3:$A$502=B61)*(IFERROR(DATEVALUE(SCD_Data!$H$3:$H$502&amp;""),SCD_Data!$H$3:$H$502)&lt;=IFERROR(DATEVALUE(A61&amp;""),A61))*(IFERROR(DATEVALUE(SCD_Data!$I$3:$I$502&amp;""),SCD_Data!$I$3:$I$502)&gt;=IFERROR(DATEVALUE(A61&amp;""),A61))*(ROW(SCD_Data!$A$3:$A$502)-2))),"—"))</f>
        <v/>
      </c>
      <c r="J61" s="26" t="str">
        <f aca="false">IF(A61="","",IFERROR(INDEX(SCD_Data!$E$3:$E$502,SUMPRODUCT((SCD_Data!$A$3:$A$502=B61)*(IFERROR(DATEVALUE(SCD_Data!$H$3:$H$502&amp;""),SCD_Data!$H$3:$H$502)&lt;=IFERROR(DATEVALUE(A61&amp;""),A61))*(IFERROR(DATEVALUE(SCD_Data!$I$3:$I$502&amp;""),SCD_Data!$I$3:$I$502)&gt;=IFERROR(DATEVALUE(A61&amp;""),A61))*(ROW(SCD_Data!$A$3:$A$502)-2))),"—"))</f>
        <v/>
      </c>
      <c r="K61" s="25" t="str">
        <f aca="false">IF(A61="","",IFERROR(INDEX(SCD_Data!$F$3:$F$502,SUMPRODUCT((SCD_Data!$A$3:$A$502=B61)*(IFERROR(DATEVALUE(SCD_Data!$H$3:$H$502&amp;""),SCD_Data!$H$3:$H$502)&lt;=IFERROR(DATEVALUE(A61&amp;""),A61))*(IFERROR(DATEVALUE(SCD_Data!$I$3:$I$502&amp;""),SCD_Data!$I$3:$I$502)&gt;=IFERROR(DATEVALUE(A61&amp;""),A61))*(ROW(SCD_Data!$A$3:$A$502)-2))),"—"))</f>
        <v/>
      </c>
      <c r="L61" s="25" t="str">
        <f aca="false">IF(A61="","",IFERROR(INDEX(SCD_Data!$G$3:$G$502,SUMPRODUCT((SCD_Data!$A$3:$A$502=B61)*(IFERROR(DATEVALUE(SCD_Data!$H$3:$H$502&amp;""),SCD_Data!$H$3:$H$502)&lt;=IFERROR(DATEVALUE(A61&amp;""),A61))*(IFERROR(DATEVALUE(SCD_Data!$I$3:$I$502&amp;""),SCD_Data!$I$3:$I$502)&gt;=IFERROR(DATEVALUE(A61&amp;""),A61))*(ROW(SCD_Data!$A$3:$A$502)-2))),"—"))</f>
        <v/>
      </c>
      <c r="M61" s="27" t="str">
        <f aca="false">IF(A61="","",IF(H61="—","—",IF(C61&amp;""=H61&amp;"","✓","✗")))</f>
        <v/>
      </c>
      <c r="N61" s="27" t="str">
        <f aca="false">IF(A61="","",IF(H61="—","—",IF(D61&amp;""=I61&amp;"","✓","✗")))</f>
        <v/>
      </c>
      <c r="O61" s="27" t="str">
        <f aca="false">IF(A61="","",IF(H61="—","—",IF(ABS(E61-J61)&lt;0.01,"✓","✗")))</f>
        <v/>
      </c>
      <c r="P61" s="27" t="str">
        <f aca="false">IF(A61="","",IF(H61="—","—",IF(F61&amp;""=K61&amp;"","✓","✗")))</f>
        <v/>
      </c>
      <c r="Q61" s="27" t="str">
        <f aca="false">IF(A61="","",IF(H61="—","—",IF(G61&amp;""=L61&amp;"","✓","✗")))</f>
        <v/>
      </c>
      <c r="R61" s="27" t="str">
        <f aca="false">IF(A61="","",IF(COUNTIF(M61:Q61,"—")=5,"⚠ NO SCD ROW",IF(COUNTIF(M61:Q61,"✗")&gt;0,"❌ MISMATCH","✅ MATCH")))</f>
        <v/>
      </c>
    </row>
    <row r="62" customFormat="false" ht="15" hidden="false" customHeight="true" outlineLevel="0" collapsed="false">
      <c r="A62" s="22" t="str">
        <f aca="false">IF(Daily_Data!A61="","",Daily_Data!A61)</f>
        <v/>
      </c>
      <c r="B62" s="23" t="str">
        <f aca="false">IF(Daily_Data!B61="","",Daily_Data!B61)</f>
        <v/>
      </c>
      <c r="C62" s="23" t="str">
        <f aca="false">IF(A62="","",Daily_Data!C61)</f>
        <v/>
      </c>
      <c r="D62" s="23" t="str">
        <f aca="false">IF(A62="","",Daily_Data!D61)</f>
        <v/>
      </c>
      <c r="E62" s="24" t="str">
        <f aca="false">IF(A62="","",Daily_Data!E61)</f>
        <v/>
      </c>
      <c r="F62" s="23" t="str">
        <f aca="false">IF(A62="","",Daily_Data!F61)</f>
        <v/>
      </c>
      <c r="G62" s="23" t="str">
        <f aca="false">IF(A62="","",Daily_Data!G61)</f>
        <v/>
      </c>
      <c r="H62" s="25" t="str">
        <f aca="false">IF(A62="","",IFERROR(INDEX(SCD_Data!$C$3:$C$502,SUMPRODUCT((SCD_Data!$A$3:$A$502=B62)*(IFERROR(DATEVALUE(SCD_Data!$H$3:$H$502&amp;""),SCD_Data!$H$3:$H$502)&lt;=IFERROR(DATEVALUE(A62&amp;""),A62))*(IFERROR(DATEVALUE(SCD_Data!$I$3:$I$502&amp;""),SCD_Data!$I$3:$I$502)&gt;=IFERROR(DATEVALUE(A62&amp;""),A62))*(ROW(SCD_Data!$A$3:$A$502)-2))),"—"))</f>
        <v/>
      </c>
      <c r="I62" s="25" t="str">
        <f aca="false">IF(A62="","",IFERROR(INDEX(SCD_Data!$D$3:$D$502,SUMPRODUCT((SCD_Data!$A$3:$A$502=B62)*(IFERROR(DATEVALUE(SCD_Data!$H$3:$H$502&amp;""),SCD_Data!$H$3:$H$502)&lt;=IFERROR(DATEVALUE(A62&amp;""),A62))*(IFERROR(DATEVALUE(SCD_Data!$I$3:$I$502&amp;""),SCD_Data!$I$3:$I$502)&gt;=IFERROR(DATEVALUE(A62&amp;""),A62))*(ROW(SCD_Data!$A$3:$A$502)-2))),"—"))</f>
        <v/>
      </c>
      <c r="J62" s="26" t="str">
        <f aca="false">IF(A62="","",IFERROR(INDEX(SCD_Data!$E$3:$E$502,SUMPRODUCT((SCD_Data!$A$3:$A$502=B62)*(IFERROR(DATEVALUE(SCD_Data!$H$3:$H$502&amp;""),SCD_Data!$H$3:$H$502)&lt;=IFERROR(DATEVALUE(A62&amp;""),A62))*(IFERROR(DATEVALUE(SCD_Data!$I$3:$I$502&amp;""),SCD_Data!$I$3:$I$502)&gt;=IFERROR(DATEVALUE(A62&amp;""),A62))*(ROW(SCD_Data!$A$3:$A$502)-2))),"—"))</f>
        <v/>
      </c>
      <c r="K62" s="25" t="str">
        <f aca="false">IF(A62="","",IFERROR(INDEX(SCD_Data!$F$3:$F$502,SUMPRODUCT((SCD_Data!$A$3:$A$502=B62)*(IFERROR(DATEVALUE(SCD_Data!$H$3:$H$502&amp;""),SCD_Data!$H$3:$H$502)&lt;=IFERROR(DATEVALUE(A62&amp;""),A62))*(IFERROR(DATEVALUE(SCD_Data!$I$3:$I$502&amp;""),SCD_Data!$I$3:$I$502)&gt;=IFERROR(DATEVALUE(A62&amp;""),A62))*(ROW(SCD_Data!$A$3:$A$502)-2))),"—"))</f>
        <v/>
      </c>
      <c r="L62" s="25" t="str">
        <f aca="false">IF(A62="","",IFERROR(INDEX(SCD_Data!$G$3:$G$502,SUMPRODUCT((SCD_Data!$A$3:$A$502=B62)*(IFERROR(DATEVALUE(SCD_Data!$H$3:$H$502&amp;""),SCD_Data!$H$3:$H$502)&lt;=IFERROR(DATEVALUE(A62&amp;""),A62))*(IFERROR(DATEVALUE(SCD_Data!$I$3:$I$502&amp;""),SCD_Data!$I$3:$I$502)&gt;=IFERROR(DATEVALUE(A62&amp;""),A62))*(ROW(SCD_Data!$A$3:$A$502)-2))),"—"))</f>
        <v/>
      </c>
      <c r="M62" s="27" t="str">
        <f aca="false">IF(A62="","",IF(H62="—","—",IF(C62&amp;""=H62&amp;"","✓","✗")))</f>
        <v/>
      </c>
      <c r="N62" s="27" t="str">
        <f aca="false">IF(A62="","",IF(H62="—","—",IF(D62&amp;""=I62&amp;"","✓","✗")))</f>
        <v/>
      </c>
      <c r="O62" s="27" t="str">
        <f aca="false">IF(A62="","",IF(H62="—","—",IF(ABS(E62-J62)&lt;0.01,"✓","✗")))</f>
        <v/>
      </c>
      <c r="P62" s="27" t="str">
        <f aca="false">IF(A62="","",IF(H62="—","—",IF(F62&amp;""=K62&amp;"","✓","✗")))</f>
        <v/>
      </c>
      <c r="Q62" s="27" t="str">
        <f aca="false">IF(A62="","",IF(H62="—","—",IF(G62&amp;""=L62&amp;"","✓","✗")))</f>
        <v/>
      </c>
      <c r="R62" s="27" t="str">
        <f aca="false">IF(A62="","",IF(COUNTIF(M62:Q62,"—")=5,"⚠ NO SCD ROW",IF(COUNTIF(M62:Q62,"✗")&gt;0,"❌ MISMATCH","✅ MATCH")))</f>
        <v/>
      </c>
    </row>
    <row r="63" customFormat="false" ht="15" hidden="false" customHeight="true" outlineLevel="0" collapsed="false">
      <c r="A63" s="22" t="str">
        <f aca="false">IF(Daily_Data!A62="","",Daily_Data!A62)</f>
        <v/>
      </c>
      <c r="B63" s="23" t="str">
        <f aca="false">IF(Daily_Data!B62="","",Daily_Data!B62)</f>
        <v/>
      </c>
      <c r="C63" s="23" t="str">
        <f aca="false">IF(A63="","",Daily_Data!C62)</f>
        <v/>
      </c>
      <c r="D63" s="23" t="str">
        <f aca="false">IF(A63="","",Daily_Data!D62)</f>
        <v/>
      </c>
      <c r="E63" s="24" t="str">
        <f aca="false">IF(A63="","",Daily_Data!E62)</f>
        <v/>
      </c>
      <c r="F63" s="23" t="str">
        <f aca="false">IF(A63="","",Daily_Data!F62)</f>
        <v/>
      </c>
      <c r="G63" s="23" t="str">
        <f aca="false">IF(A63="","",Daily_Data!G62)</f>
        <v/>
      </c>
      <c r="H63" s="25" t="str">
        <f aca="false">IF(A63="","",IFERROR(INDEX(SCD_Data!$C$3:$C$502,SUMPRODUCT((SCD_Data!$A$3:$A$502=B63)*(IFERROR(DATEVALUE(SCD_Data!$H$3:$H$502&amp;""),SCD_Data!$H$3:$H$502)&lt;=IFERROR(DATEVALUE(A63&amp;""),A63))*(IFERROR(DATEVALUE(SCD_Data!$I$3:$I$502&amp;""),SCD_Data!$I$3:$I$502)&gt;=IFERROR(DATEVALUE(A63&amp;""),A63))*(ROW(SCD_Data!$A$3:$A$502)-2))),"—"))</f>
        <v/>
      </c>
      <c r="I63" s="25" t="str">
        <f aca="false">IF(A63="","",IFERROR(INDEX(SCD_Data!$D$3:$D$502,SUMPRODUCT((SCD_Data!$A$3:$A$502=B63)*(IFERROR(DATEVALUE(SCD_Data!$H$3:$H$502&amp;""),SCD_Data!$H$3:$H$502)&lt;=IFERROR(DATEVALUE(A63&amp;""),A63))*(IFERROR(DATEVALUE(SCD_Data!$I$3:$I$502&amp;""),SCD_Data!$I$3:$I$502)&gt;=IFERROR(DATEVALUE(A63&amp;""),A63))*(ROW(SCD_Data!$A$3:$A$502)-2))),"—"))</f>
        <v/>
      </c>
      <c r="J63" s="26" t="str">
        <f aca="false">IF(A63="","",IFERROR(INDEX(SCD_Data!$E$3:$E$502,SUMPRODUCT((SCD_Data!$A$3:$A$502=B63)*(IFERROR(DATEVALUE(SCD_Data!$H$3:$H$502&amp;""),SCD_Data!$H$3:$H$502)&lt;=IFERROR(DATEVALUE(A63&amp;""),A63))*(IFERROR(DATEVALUE(SCD_Data!$I$3:$I$502&amp;""),SCD_Data!$I$3:$I$502)&gt;=IFERROR(DATEVALUE(A63&amp;""),A63))*(ROW(SCD_Data!$A$3:$A$502)-2))),"—"))</f>
        <v/>
      </c>
      <c r="K63" s="25" t="str">
        <f aca="false">IF(A63="","",IFERROR(INDEX(SCD_Data!$F$3:$F$502,SUMPRODUCT((SCD_Data!$A$3:$A$502=B63)*(IFERROR(DATEVALUE(SCD_Data!$H$3:$H$502&amp;""),SCD_Data!$H$3:$H$502)&lt;=IFERROR(DATEVALUE(A63&amp;""),A63))*(IFERROR(DATEVALUE(SCD_Data!$I$3:$I$502&amp;""),SCD_Data!$I$3:$I$502)&gt;=IFERROR(DATEVALUE(A63&amp;""),A63))*(ROW(SCD_Data!$A$3:$A$502)-2))),"—"))</f>
        <v/>
      </c>
      <c r="L63" s="25" t="str">
        <f aca="false">IF(A63="","",IFERROR(INDEX(SCD_Data!$G$3:$G$502,SUMPRODUCT((SCD_Data!$A$3:$A$502=B63)*(IFERROR(DATEVALUE(SCD_Data!$H$3:$H$502&amp;""),SCD_Data!$H$3:$H$502)&lt;=IFERROR(DATEVALUE(A63&amp;""),A63))*(IFERROR(DATEVALUE(SCD_Data!$I$3:$I$502&amp;""),SCD_Data!$I$3:$I$502)&gt;=IFERROR(DATEVALUE(A63&amp;""),A63))*(ROW(SCD_Data!$A$3:$A$502)-2))),"—"))</f>
        <v/>
      </c>
      <c r="M63" s="27" t="str">
        <f aca="false">IF(A63="","",IF(H63="—","—",IF(C63&amp;""=H63&amp;"","✓","✗")))</f>
        <v/>
      </c>
      <c r="N63" s="27" t="str">
        <f aca="false">IF(A63="","",IF(H63="—","—",IF(D63&amp;""=I63&amp;"","✓","✗")))</f>
        <v/>
      </c>
      <c r="O63" s="27" t="str">
        <f aca="false">IF(A63="","",IF(H63="—","—",IF(ABS(E63-J63)&lt;0.01,"✓","✗")))</f>
        <v/>
      </c>
      <c r="P63" s="27" t="str">
        <f aca="false">IF(A63="","",IF(H63="—","—",IF(F63&amp;""=K63&amp;"","✓","✗")))</f>
        <v/>
      </c>
      <c r="Q63" s="27" t="str">
        <f aca="false">IF(A63="","",IF(H63="—","—",IF(G63&amp;""=L63&amp;"","✓","✗")))</f>
        <v/>
      </c>
      <c r="R63" s="27" t="str">
        <f aca="false">IF(A63="","",IF(COUNTIF(M63:Q63,"—")=5,"⚠ NO SCD ROW",IF(COUNTIF(M63:Q63,"✗")&gt;0,"❌ MISMATCH","✅ MATCH")))</f>
        <v/>
      </c>
    </row>
    <row r="64" customFormat="false" ht="15" hidden="false" customHeight="true" outlineLevel="0" collapsed="false">
      <c r="A64" s="22" t="str">
        <f aca="false">IF(Daily_Data!A63="","",Daily_Data!A63)</f>
        <v/>
      </c>
      <c r="B64" s="23" t="str">
        <f aca="false">IF(Daily_Data!B63="","",Daily_Data!B63)</f>
        <v/>
      </c>
      <c r="C64" s="23" t="str">
        <f aca="false">IF(A64="","",Daily_Data!C63)</f>
        <v/>
      </c>
      <c r="D64" s="23" t="str">
        <f aca="false">IF(A64="","",Daily_Data!D63)</f>
        <v/>
      </c>
      <c r="E64" s="24" t="str">
        <f aca="false">IF(A64="","",Daily_Data!E63)</f>
        <v/>
      </c>
      <c r="F64" s="23" t="str">
        <f aca="false">IF(A64="","",Daily_Data!F63)</f>
        <v/>
      </c>
      <c r="G64" s="23" t="str">
        <f aca="false">IF(A64="","",Daily_Data!G63)</f>
        <v/>
      </c>
      <c r="H64" s="25" t="str">
        <f aca="false">IF(A64="","",IFERROR(INDEX(SCD_Data!$C$3:$C$502,SUMPRODUCT((SCD_Data!$A$3:$A$502=B64)*(IFERROR(DATEVALUE(SCD_Data!$H$3:$H$502&amp;""),SCD_Data!$H$3:$H$502)&lt;=IFERROR(DATEVALUE(A64&amp;""),A64))*(IFERROR(DATEVALUE(SCD_Data!$I$3:$I$502&amp;""),SCD_Data!$I$3:$I$502)&gt;=IFERROR(DATEVALUE(A64&amp;""),A64))*(ROW(SCD_Data!$A$3:$A$502)-2))),"—"))</f>
        <v/>
      </c>
      <c r="I64" s="25" t="str">
        <f aca="false">IF(A64="","",IFERROR(INDEX(SCD_Data!$D$3:$D$502,SUMPRODUCT((SCD_Data!$A$3:$A$502=B64)*(IFERROR(DATEVALUE(SCD_Data!$H$3:$H$502&amp;""),SCD_Data!$H$3:$H$502)&lt;=IFERROR(DATEVALUE(A64&amp;""),A64))*(IFERROR(DATEVALUE(SCD_Data!$I$3:$I$502&amp;""),SCD_Data!$I$3:$I$502)&gt;=IFERROR(DATEVALUE(A64&amp;""),A64))*(ROW(SCD_Data!$A$3:$A$502)-2))),"—"))</f>
        <v/>
      </c>
      <c r="J64" s="26" t="str">
        <f aca="false">IF(A64="","",IFERROR(INDEX(SCD_Data!$E$3:$E$502,SUMPRODUCT((SCD_Data!$A$3:$A$502=B64)*(IFERROR(DATEVALUE(SCD_Data!$H$3:$H$502&amp;""),SCD_Data!$H$3:$H$502)&lt;=IFERROR(DATEVALUE(A64&amp;""),A64))*(IFERROR(DATEVALUE(SCD_Data!$I$3:$I$502&amp;""),SCD_Data!$I$3:$I$502)&gt;=IFERROR(DATEVALUE(A64&amp;""),A64))*(ROW(SCD_Data!$A$3:$A$502)-2))),"—"))</f>
        <v/>
      </c>
      <c r="K64" s="25" t="str">
        <f aca="false">IF(A64="","",IFERROR(INDEX(SCD_Data!$F$3:$F$502,SUMPRODUCT((SCD_Data!$A$3:$A$502=B64)*(IFERROR(DATEVALUE(SCD_Data!$H$3:$H$502&amp;""),SCD_Data!$H$3:$H$502)&lt;=IFERROR(DATEVALUE(A64&amp;""),A64))*(IFERROR(DATEVALUE(SCD_Data!$I$3:$I$502&amp;""),SCD_Data!$I$3:$I$502)&gt;=IFERROR(DATEVALUE(A64&amp;""),A64))*(ROW(SCD_Data!$A$3:$A$502)-2))),"—"))</f>
        <v/>
      </c>
      <c r="L64" s="25" t="str">
        <f aca="false">IF(A64="","",IFERROR(INDEX(SCD_Data!$G$3:$G$502,SUMPRODUCT((SCD_Data!$A$3:$A$502=B64)*(IFERROR(DATEVALUE(SCD_Data!$H$3:$H$502&amp;""),SCD_Data!$H$3:$H$502)&lt;=IFERROR(DATEVALUE(A64&amp;""),A64))*(IFERROR(DATEVALUE(SCD_Data!$I$3:$I$502&amp;""),SCD_Data!$I$3:$I$502)&gt;=IFERROR(DATEVALUE(A64&amp;""),A64))*(ROW(SCD_Data!$A$3:$A$502)-2))),"—"))</f>
        <v/>
      </c>
      <c r="M64" s="27" t="str">
        <f aca="false">IF(A64="","",IF(H64="—","—",IF(C64&amp;""=H64&amp;"","✓","✗")))</f>
        <v/>
      </c>
      <c r="N64" s="27" t="str">
        <f aca="false">IF(A64="","",IF(H64="—","—",IF(D64&amp;""=I64&amp;"","✓","✗")))</f>
        <v/>
      </c>
      <c r="O64" s="27" t="str">
        <f aca="false">IF(A64="","",IF(H64="—","—",IF(ABS(E64-J64)&lt;0.01,"✓","✗")))</f>
        <v/>
      </c>
      <c r="P64" s="27" t="str">
        <f aca="false">IF(A64="","",IF(H64="—","—",IF(F64&amp;""=K64&amp;"","✓","✗")))</f>
        <v/>
      </c>
      <c r="Q64" s="27" t="str">
        <f aca="false">IF(A64="","",IF(H64="—","—",IF(G64&amp;""=L64&amp;"","✓","✗")))</f>
        <v/>
      </c>
      <c r="R64" s="27" t="str">
        <f aca="false">IF(A64="","",IF(COUNTIF(M64:Q64,"—")=5,"⚠ NO SCD ROW",IF(COUNTIF(M64:Q64,"✗")&gt;0,"❌ MISMATCH","✅ MATCH")))</f>
        <v/>
      </c>
    </row>
    <row r="65" customFormat="false" ht="15" hidden="false" customHeight="true" outlineLevel="0" collapsed="false">
      <c r="A65" s="22" t="str">
        <f aca="false">IF(Daily_Data!A64="","",Daily_Data!A64)</f>
        <v/>
      </c>
      <c r="B65" s="23" t="str">
        <f aca="false">IF(Daily_Data!B64="","",Daily_Data!B64)</f>
        <v/>
      </c>
      <c r="C65" s="23" t="str">
        <f aca="false">IF(A65="","",Daily_Data!C64)</f>
        <v/>
      </c>
      <c r="D65" s="23" t="str">
        <f aca="false">IF(A65="","",Daily_Data!D64)</f>
        <v/>
      </c>
      <c r="E65" s="24" t="str">
        <f aca="false">IF(A65="","",Daily_Data!E64)</f>
        <v/>
      </c>
      <c r="F65" s="23" t="str">
        <f aca="false">IF(A65="","",Daily_Data!F64)</f>
        <v/>
      </c>
      <c r="G65" s="23" t="str">
        <f aca="false">IF(A65="","",Daily_Data!G64)</f>
        <v/>
      </c>
      <c r="H65" s="25" t="str">
        <f aca="false">IF(A65="","",IFERROR(INDEX(SCD_Data!$C$3:$C$502,SUMPRODUCT((SCD_Data!$A$3:$A$502=B65)*(IFERROR(DATEVALUE(SCD_Data!$H$3:$H$502&amp;""),SCD_Data!$H$3:$H$502)&lt;=IFERROR(DATEVALUE(A65&amp;""),A65))*(IFERROR(DATEVALUE(SCD_Data!$I$3:$I$502&amp;""),SCD_Data!$I$3:$I$502)&gt;=IFERROR(DATEVALUE(A65&amp;""),A65))*(ROW(SCD_Data!$A$3:$A$502)-2))),"—"))</f>
        <v/>
      </c>
      <c r="I65" s="25" t="str">
        <f aca="false">IF(A65="","",IFERROR(INDEX(SCD_Data!$D$3:$D$502,SUMPRODUCT((SCD_Data!$A$3:$A$502=B65)*(IFERROR(DATEVALUE(SCD_Data!$H$3:$H$502&amp;""),SCD_Data!$H$3:$H$502)&lt;=IFERROR(DATEVALUE(A65&amp;""),A65))*(IFERROR(DATEVALUE(SCD_Data!$I$3:$I$502&amp;""),SCD_Data!$I$3:$I$502)&gt;=IFERROR(DATEVALUE(A65&amp;""),A65))*(ROW(SCD_Data!$A$3:$A$502)-2))),"—"))</f>
        <v/>
      </c>
      <c r="J65" s="26" t="str">
        <f aca="false">IF(A65="","",IFERROR(INDEX(SCD_Data!$E$3:$E$502,SUMPRODUCT((SCD_Data!$A$3:$A$502=B65)*(IFERROR(DATEVALUE(SCD_Data!$H$3:$H$502&amp;""),SCD_Data!$H$3:$H$502)&lt;=IFERROR(DATEVALUE(A65&amp;""),A65))*(IFERROR(DATEVALUE(SCD_Data!$I$3:$I$502&amp;""),SCD_Data!$I$3:$I$502)&gt;=IFERROR(DATEVALUE(A65&amp;""),A65))*(ROW(SCD_Data!$A$3:$A$502)-2))),"—"))</f>
        <v/>
      </c>
      <c r="K65" s="25" t="str">
        <f aca="false">IF(A65="","",IFERROR(INDEX(SCD_Data!$F$3:$F$502,SUMPRODUCT((SCD_Data!$A$3:$A$502=B65)*(IFERROR(DATEVALUE(SCD_Data!$H$3:$H$502&amp;""),SCD_Data!$H$3:$H$502)&lt;=IFERROR(DATEVALUE(A65&amp;""),A65))*(IFERROR(DATEVALUE(SCD_Data!$I$3:$I$502&amp;""),SCD_Data!$I$3:$I$502)&gt;=IFERROR(DATEVALUE(A65&amp;""),A65))*(ROW(SCD_Data!$A$3:$A$502)-2))),"—"))</f>
        <v/>
      </c>
      <c r="L65" s="25" t="str">
        <f aca="false">IF(A65="","",IFERROR(INDEX(SCD_Data!$G$3:$G$502,SUMPRODUCT((SCD_Data!$A$3:$A$502=B65)*(IFERROR(DATEVALUE(SCD_Data!$H$3:$H$502&amp;""),SCD_Data!$H$3:$H$502)&lt;=IFERROR(DATEVALUE(A65&amp;""),A65))*(IFERROR(DATEVALUE(SCD_Data!$I$3:$I$502&amp;""),SCD_Data!$I$3:$I$502)&gt;=IFERROR(DATEVALUE(A65&amp;""),A65))*(ROW(SCD_Data!$A$3:$A$502)-2))),"—"))</f>
        <v/>
      </c>
      <c r="M65" s="27" t="str">
        <f aca="false">IF(A65="","",IF(H65="—","—",IF(C65&amp;""=H65&amp;"","✓","✗")))</f>
        <v/>
      </c>
      <c r="N65" s="27" t="str">
        <f aca="false">IF(A65="","",IF(H65="—","—",IF(D65&amp;""=I65&amp;"","✓","✗")))</f>
        <v/>
      </c>
      <c r="O65" s="27" t="str">
        <f aca="false">IF(A65="","",IF(H65="—","—",IF(ABS(E65-J65)&lt;0.01,"✓","✗")))</f>
        <v/>
      </c>
      <c r="P65" s="27" t="str">
        <f aca="false">IF(A65="","",IF(H65="—","—",IF(F65&amp;""=K65&amp;"","✓","✗")))</f>
        <v/>
      </c>
      <c r="Q65" s="27" t="str">
        <f aca="false">IF(A65="","",IF(H65="—","—",IF(G65&amp;""=L65&amp;"","✓","✗")))</f>
        <v/>
      </c>
      <c r="R65" s="27" t="str">
        <f aca="false">IF(A65="","",IF(COUNTIF(M65:Q65,"—")=5,"⚠ NO SCD ROW",IF(COUNTIF(M65:Q65,"✗")&gt;0,"❌ MISMATCH","✅ MATCH")))</f>
        <v/>
      </c>
    </row>
    <row r="66" customFormat="false" ht="15" hidden="false" customHeight="true" outlineLevel="0" collapsed="false">
      <c r="A66" s="22" t="str">
        <f aca="false">IF(Daily_Data!A65="","",Daily_Data!A65)</f>
        <v/>
      </c>
      <c r="B66" s="23" t="str">
        <f aca="false">IF(Daily_Data!B65="","",Daily_Data!B65)</f>
        <v/>
      </c>
      <c r="C66" s="23" t="str">
        <f aca="false">IF(A66="","",Daily_Data!C65)</f>
        <v/>
      </c>
      <c r="D66" s="23" t="str">
        <f aca="false">IF(A66="","",Daily_Data!D65)</f>
        <v/>
      </c>
      <c r="E66" s="24" t="str">
        <f aca="false">IF(A66="","",Daily_Data!E65)</f>
        <v/>
      </c>
      <c r="F66" s="23" t="str">
        <f aca="false">IF(A66="","",Daily_Data!F65)</f>
        <v/>
      </c>
      <c r="G66" s="23" t="str">
        <f aca="false">IF(A66="","",Daily_Data!G65)</f>
        <v/>
      </c>
      <c r="H66" s="25" t="str">
        <f aca="false">IF(A66="","",IFERROR(INDEX(SCD_Data!$C$3:$C$502,SUMPRODUCT((SCD_Data!$A$3:$A$502=B66)*(IFERROR(DATEVALUE(SCD_Data!$H$3:$H$502&amp;""),SCD_Data!$H$3:$H$502)&lt;=IFERROR(DATEVALUE(A66&amp;""),A66))*(IFERROR(DATEVALUE(SCD_Data!$I$3:$I$502&amp;""),SCD_Data!$I$3:$I$502)&gt;=IFERROR(DATEVALUE(A66&amp;""),A66))*(ROW(SCD_Data!$A$3:$A$502)-2))),"—"))</f>
        <v/>
      </c>
      <c r="I66" s="25" t="str">
        <f aca="false">IF(A66="","",IFERROR(INDEX(SCD_Data!$D$3:$D$502,SUMPRODUCT((SCD_Data!$A$3:$A$502=B66)*(IFERROR(DATEVALUE(SCD_Data!$H$3:$H$502&amp;""),SCD_Data!$H$3:$H$502)&lt;=IFERROR(DATEVALUE(A66&amp;""),A66))*(IFERROR(DATEVALUE(SCD_Data!$I$3:$I$502&amp;""),SCD_Data!$I$3:$I$502)&gt;=IFERROR(DATEVALUE(A66&amp;""),A66))*(ROW(SCD_Data!$A$3:$A$502)-2))),"—"))</f>
        <v/>
      </c>
      <c r="J66" s="26" t="str">
        <f aca="false">IF(A66="","",IFERROR(INDEX(SCD_Data!$E$3:$E$502,SUMPRODUCT((SCD_Data!$A$3:$A$502=B66)*(IFERROR(DATEVALUE(SCD_Data!$H$3:$H$502&amp;""),SCD_Data!$H$3:$H$502)&lt;=IFERROR(DATEVALUE(A66&amp;""),A66))*(IFERROR(DATEVALUE(SCD_Data!$I$3:$I$502&amp;""),SCD_Data!$I$3:$I$502)&gt;=IFERROR(DATEVALUE(A66&amp;""),A66))*(ROW(SCD_Data!$A$3:$A$502)-2))),"—"))</f>
        <v/>
      </c>
      <c r="K66" s="25" t="str">
        <f aca="false">IF(A66="","",IFERROR(INDEX(SCD_Data!$F$3:$F$502,SUMPRODUCT((SCD_Data!$A$3:$A$502=B66)*(IFERROR(DATEVALUE(SCD_Data!$H$3:$H$502&amp;""),SCD_Data!$H$3:$H$502)&lt;=IFERROR(DATEVALUE(A66&amp;""),A66))*(IFERROR(DATEVALUE(SCD_Data!$I$3:$I$502&amp;""),SCD_Data!$I$3:$I$502)&gt;=IFERROR(DATEVALUE(A66&amp;""),A66))*(ROW(SCD_Data!$A$3:$A$502)-2))),"—"))</f>
        <v/>
      </c>
      <c r="L66" s="25" t="str">
        <f aca="false">IF(A66="","",IFERROR(INDEX(SCD_Data!$G$3:$G$502,SUMPRODUCT((SCD_Data!$A$3:$A$502=B66)*(IFERROR(DATEVALUE(SCD_Data!$H$3:$H$502&amp;""),SCD_Data!$H$3:$H$502)&lt;=IFERROR(DATEVALUE(A66&amp;""),A66))*(IFERROR(DATEVALUE(SCD_Data!$I$3:$I$502&amp;""),SCD_Data!$I$3:$I$502)&gt;=IFERROR(DATEVALUE(A66&amp;""),A66))*(ROW(SCD_Data!$A$3:$A$502)-2))),"—"))</f>
        <v/>
      </c>
      <c r="M66" s="27" t="str">
        <f aca="false">IF(A66="","",IF(H66="—","—",IF(C66&amp;""=H66&amp;"","✓","✗")))</f>
        <v/>
      </c>
      <c r="N66" s="27" t="str">
        <f aca="false">IF(A66="","",IF(H66="—","—",IF(D66&amp;""=I66&amp;"","✓","✗")))</f>
        <v/>
      </c>
      <c r="O66" s="27" t="str">
        <f aca="false">IF(A66="","",IF(H66="—","—",IF(ABS(E66-J66)&lt;0.01,"✓","✗")))</f>
        <v/>
      </c>
      <c r="P66" s="27" t="str">
        <f aca="false">IF(A66="","",IF(H66="—","—",IF(F66&amp;""=K66&amp;"","✓","✗")))</f>
        <v/>
      </c>
      <c r="Q66" s="27" t="str">
        <f aca="false">IF(A66="","",IF(H66="—","—",IF(G66&amp;""=L66&amp;"","✓","✗")))</f>
        <v/>
      </c>
      <c r="R66" s="27" t="str">
        <f aca="false">IF(A66="","",IF(COUNTIF(M66:Q66,"—")=5,"⚠ NO SCD ROW",IF(COUNTIF(M66:Q66,"✗")&gt;0,"❌ MISMATCH","✅ MATCH")))</f>
        <v/>
      </c>
    </row>
    <row r="67" customFormat="false" ht="15" hidden="false" customHeight="true" outlineLevel="0" collapsed="false">
      <c r="A67" s="22" t="str">
        <f aca="false">IF(Daily_Data!A66="","",Daily_Data!A66)</f>
        <v/>
      </c>
      <c r="B67" s="23" t="str">
        <f aca="false">IF(Daily_Data!B66="","",Daily_Data!B66)</f>
        <v/>
      </c>
      <c r="C67" s="23" t="str">
        <f aca="false">IF(A67="","",Daily_Data!C66)</f>
        <v/>
      </c>
      <c r="D67" s="23" t="str">
        <f aca="false">IF(A67="","",Daily_Data!D66)</f>
        <v/>
      </c>
      <c r="E67" s="24" t="str">
        <f aca="false">IF(A67="","",Daily_Data!E66)</f>
        <v/>
      </c>
      <c r="F67" s="23" t="str">
        <f aca="false">IF(A67="","",Daily_Data!F66)</f>
        <v/>
      </c>
      <c r="G67" s="23" t="str">
        <f aca="false">IF(A67="","",Daily_Data!G66)</f>
        <v/>
      </c>
      <c r="H67" s="25" t="str">
        <f aca="false">IF(A67="","",IFERROR(INDEX(SCD_Data!$C$3:$C$502,SUMPRODUCT((SCD_Data!$A$3:$A$502=B67)*(IFERROR(DATEVALUE(SCD_Data!$H$3:$H$502&amp;""),SCD_Data!$H$3:$H$502)&lt;=IFERROR(DATEVALUE(A67&amp;""),A67))*(IFERROR(DATEVALUE(SCD_Data!$I$3:$I$502&amp;""),SCD_Data!$I$3:$I$502)&gt;=IFERROR(DATEVALUE(A67&amp;""),A67))*(ROW(SCD_Data!$A$3:$A$502)-2))),"—"))</f>
        <v/>
      </c>
      <c r="I67" s="25" t="str">
        <f aca="false">IF(A67="","",IFERROR(INDEX(SCD_Data!$D$3:$D$502,SUMPRODUCT((SCD_Data!$A$3:$A$502=B67)*(IFERROR(DATEVALUE(SCD_Data!$H$3:$H$502&amp;""),SCD_Data!$H$3:$H$502)&lt;=IFERROR(DATEVALUE(A67&amp;""),A67))*(IFERROR(DATEVALUE(SCD_Data!$I$3:$I$502&amp;""),SCD_Data!$I$3:$I$502)&gt;=IFERROR(DATEVALUE(A67&amp;""),A67))*(ROW(SCD_Data!$A$3:$A$502)-2))),"—"))</f>
        <v/>
      </c>
      <c r="J67" s="26" t="str">
        <f aca="false">IF(A67="","",IFERROR(INDEX(SCD_Data!$E$3:$E$502,SUMPRODUCT((SCD_Data!$A$3:$A$502=B67)*(IFERROR(DATEVALUE(SCD_Data!$H$3:$H$502&amp;""),SCD_Data!$H$3:$H$502)&lt;=IFERROR(DATEVALUE(A67&amp;""),A67))*(IFERROR(DATEVALUE(SCD_Data!$I$3:$I$502&amp;""),SCD_Data!$I$3:$I$502)&gt;=IFERROR(DATEVALUE(A67&amp;""),A67))*(ROW(SCD_Data!$A$3:$A$502)-2))),"—"))</f>
        <v/>
      </c>
      <c r="K67" s="25" t="str">
        <f aca="false">IF(A67="","",IFERROR(INDEX(SCD_Data!$F$3:$F$502,SUMPRODUCT((SCD_Data!$A$3:$A$502=B67)*(IFERROR(DATEVALUE(SCD_Data!$H$3:$H$502&amp;""),SCD_Data!$H$3:$H$502)&lt;=IFERROR(DATEVALUE(A67&amp;""),A67))*(IFERROR(DATEVALUE(SCD_Data!$I$3:$I$502&amp;""),SCD_Data!$I$3:$I$502)&gt;=IFERROR(DATEVALUE(A67&amp;""),A67))*(ROW(SCD_Data!$A$3:$A$502)-2))),"—"))</f>
        <v/>
      </c>
      <c r="L67" s="25" t="str">
        <f aca="false">IF(A67="","",IFERROR(INDEX(SCD_Data!$G$3:$G$502,SUMPRODUCT((SCD_Data!$A$3:$A$502=B67)*(IFERROR(DATEVALUE(SCD_Data!$H$3:$H$502&amp;""),SCD_Data!$H$3:$H$502)&lt;=IFERROR(DATEVALUE(A67&amp;""),A67))*(IFERROR(DATEVALUE(SCD_Data!$I$3:$I$502&amp;""),SCD_Data!$I$3:$I$502)&gt;=IFERROR(DATEVALUE(A67&amp;""),A67))*(ROW(SCD_Data!$A$3:$A$502)-2))),"—"))</f>
        <v/>
      </c>
      <c r="M67" s="27" t="str">
        <f aca="false">IF(A67="","",IF(H67="—","—",IF(C67&amp;""=H67&amp;"","✓","✗")))</f>
        <v/>
      </c>
      <c r="N67" s="27" t="str">
        <f aca="false">IF(A67="","",IF(H67="—","—",IF(D67&amp;""=I67&amp;"","✓","✗")))</f>
        <v/>
      </c>
      <c r="O67" s="27" t="str">
        <f aca="false">IF(A67="","",IF(H67="—","—",IF(ABS(E67-J67)&lt;0.01,"✓","✗")))</f>
        <v/>
      </c>
      <c r="P67" s="27" t="str">
        <f aca="false">IF(A67="","",IF(H67="—","—",IF(F67&amp;""=K67&amp;"","✓","✗")))</f>
        <v/>
      </c>
      <c r="Q67" s="27" t="str">
        <f aca="false">IF(A67="","",IF(H67="—","—",IF(G67&amp;""=L67&amp;"","✓","✗")))</f>
        <v/>
      </c>
      <c r="R67" s="27" t="str">
        <f aca="false">IF(A67="","",IF(COUNTIF(M67:Q67,"—")=5,"⚠ NO SCD ROW",IF(COUNTIF(M67:Q67,"✗")&gt;0,"❌ MISMATCH","✅ MATCH")))</f>
        <v/>
      </c>
    </row>
    <row r="68" customFormat="false" ht="15" hidden="false" customHeight="true" outlineLevel="0" collapsed="false">
      <c r="A68" s="22" t="str">
        <f aca="false">IF(Daily_Data!A67="","",Daily_Data!A67)</f>
        <v/>
      </c>
      <c r="B68" s="23" t="str">
        <f aca="false">IF(Daily_Data!B67="","",Daily_Data!B67)</f>
        <v/>
      </c>
      <c r="C68" s="23" t="str">
        <f aca="false">IF(A68="","",Daily_Data!C67)</f>
        <v/>
      </c>
      <c r="D68" s="23" t="str">
        <f aca="false">IF(A68="","",Daily_Data!D67)</f>
        <v/>
      </c>
      <c r="E68" s="24" t="str">
        <f aca="false">IF(A68="","",Daily_Data!E67)</f>
        <v/>
      </c>
      <c r="F68" s="23" t="str">
        <f aca="false">IF(A68="","",Daily_Data!F67)</f>
        <v/>
      </c>
      <c r="G68" s="23" t="str">
        <f aca="false">IF(A68="","",Daily_Data!G67)</f>
        <v/>
      </c>
      <c r="H68" s="25" t="str">
        <f aca="false">IF(A68="","",IFERROR(INDEX(SCD_Data!$C$3:$C$502,SUMPRODUCT((SCD_Data!$A$3:$A$502=B68)*(IFERROR(DATEVALUE(SCD_Data!$H$3:$H$502&amp;""),SCD_Data!$H$3:$H$502)&lt;=IFERROR(DATEVALUE(A68&amp;""),A68))*(IFERROR(DATEVALUE(SCD_Data!$I$3:$I$502&amp;""),SCD_Data!$I$3:$I$502)&gt;=IFERROR(DATEVALUE(A68&amp;""),A68))*(ROW(SCD_Data!$A$3:$A$502)-2))),"—"))</f>
        <v/>
      </c>
      <c r="I68" s="25" t="str">
        <f aca="false">IF(A68="","",IFERROR(INDEX(SCD_Data!$D$3:$D$502,SUMPRODUCT((SCD_Data!$A$3:$A$502=B68)*(IFERROR(DATEVALUE(SCD_Data!$H$3:$H$502&amp;""),SCD_Data!$H$3:$H$502)&lt;=IFERROR(DATEVALUE(A68&amp;""),A68))*(IFERROR(DATEVALUE(SCD_Data!$I$3:$I$502&amp;""),SCD_Data!$I$3:$I$502)&gt;=IFERROR(DATEVALUE(A68&amp;""),A68))*(ROW(SCD_Data!$A$3:$A$502)-2))),"—"))</f>
        <v/>
      </c>
      <c r="J68" s="26" t="str">
        <f aca="false">IF(A68="","",IFERROR(INDEX(SCD_Data!$E$3:$E$502,SUMPRODUCT((SCD_Data!$A$3:$A$502=B68)*(IFERROR(DATEVALUE(SCD_Data!$H$3:$H$502&amp;""),SCD_Data!$H$3:$H$502)&lt;=IFERROR(DATEVALUE(A68&amp;""),A68))*(IFERROR(DATEVALUE(SCD_Data!$I$3:$I$502&amp;""),SCD_Data!$I$3:$I$502)&gt;=IFERROR(DATEVALUE(A68&amp;""),A68))*(ROW(SCD_Data!$A$3:$A$502)-2))),"—"))</f>
        <v/>
      </c>
      <c r="K68" s="25" t="str">
        <f aca="false">IF(A68="","",IFERROR(INDEX(SCD_Data!$F$3:$F$502,SUMPRODUCT((SCD_Data!$A$3:$A$502=B68)*(IFERROR(DATEVALUE(SCD_Data!$H$3:$H$502&amp;""),SCD_Data!$H$3:$H$502)&lt;=IFERROR(DATEVALUE(A68&amp;""),A68))*(IFERROR(DATEVALUE(SCD_Data!$I$3:$I$502&amp;""),SCD_Data!$I$3:$I$502)&gt;=IFERROR(DATEVALUE(A68&amp;""),A68))*(ROW(SCD_Data!$A$3:$A$502)-2))),"—"))</f>
        <v/>
      </c>
      <c r="L68" s="25" t="str">
        <f aca="false">IF(A68="","",IFERROR(INDEX(SCD_Data!$G$3:$G$502,SUMPRODUCT((SCD_Data!$A$3:$A$502=B68)*(IFERROR(DATEVALUE(SCD_Data!$H$3:$H$502&amp;""),SCD_Data!$H$3:$H$502)&lt;=IFERROR(DATEVALUE(A68&amp;""),A68))*(IFERROR(DATEVALUE(SCD_Data!$I$3:$I$502&amp;""),SCD_Data!$I$3:$I$502)&gt;=IFERROR(DATEVALUE(A68&amp;""),A68))*(ROW(SCD_Data!$A$3:$A$502)-2))),"—"))</f>
        <v/>
      </c>
      <c r="M68" s="27" t="str">
        <f aca="false">IF(A68="","",IF(H68="—","—",IF(C68&amp;""=H68&amp;"","✓","✗")))</f>
        <v/>
      </c>
      <c r="N68" s="27" t="str">
        <f aca="false">IF(A68="","",IF(H68="—","—",IF(D68&amp;""=I68&amp;"","✓","✗")))</f>
        <v/>
      </c>
      <c r="O68" s="27" t="str">
        <f aca="false">IF(A68="","",IF(H68="—","—",IF(ABS(E68-J68)&lt;0.01,"✓","✗")))</f>
        <v/>
      </c>
      <c r="P68" s="27" t="str">
        <f aca="false">IF(A68="","",IF(H68="—","—",IF(F68&amp;""=K68&amp;"","✓","✗")))</f>
        <v/>
      </c>
      <c r="Q68" s="27" t="str">
        <f aca="false">IF(A68="","",IF(H68="—","—",IF(G68&amp;""=L68&amp;"","✓","✗")))</f>
        <v/>
      </c>
      <c r="R68" s="27" t="str">
        <f aca="false">IF(A68="","",IF(COUNTIF(M68:Q68,"—")=5,"⚠ NO SCD ROW",IF(COUNTIF(M68:Q68,"✗")&gt;0,"❌ MISMATCH","✅ MATCH")))</f>
        <v/>
      </c>
    </row>
    <row r="69" customFormat="false" ht="15" hidden="false" customHeight="true" outlineLevel="0" collapsed="false">
      <c r="A69" s="22" t="str">
        <f aca="false">IF(Daily_Data!A68="","",Daily_Data!A68)</f>
        <v/>
      </c>
      <c r="B69" s="23" t="str">
        <f aca="false">IF(Daily_Data!B68="","",Daily_Data!B68)</f>
        <v/>
      </c>
      <c r="C69" s="23" t="str">
        <f aca="false">IF(A69="","",Daily_Data!C68)</f>
        <v/>
      </c>
      <c r="D69" s="23" t="str">
        <f aca="false">IF(A69="","",Daily_Data!D68)</f>
        <v/>
      </c>
      <c r="E69" s="24" t="str">
        <f aca="false">IF(A69="","",Daily_Data!E68)</f>
        <v/>
      </c>
      <c r="F69" s="23" t="str">
        <f aca="false">IF(A69="","",Daily_Data!F68)</f>
        <v/>
      </c>
      <c r="G69" s="23" t="str">
        <f aca="false">IF(A69="","",Daily_Data!G68)</f>
        <v/>
      </c>
      <c r="H69" s="25" t="str">
        <f aca="false">IF(A69="","",IFERROR(INDEX(SCD_Data!$C$3:$C$502,SUMPRODUCT((SCD_Data!$A$3:$A$502=B69)*(IFERROR(DATEVALUE(SCD_Data!$H$3:$H$502&amp;""),SCD_Data!$H$3:$H$502)&lt;=IFERROR(DATEVALUE(A69&amp;""),A69))*(IFERROR(DATEVALUE(SCD_Data!$I$3:$I$502&amp;""),SCD_Data!$I$3:$I$502)&gt;=IFERROR(DATEVALUE(A69&amp;""),A69))*(ROW(SCD_Data!$A$3:$A$502)-2))),"—"))</f>
        <v/>
      </c>
      <c r="I69" s="25" t="str">
        <f aca="false">IF(A69="","",IFERROR(INDEX(SCD_Data!$D$3:$D$502,SUMPRODUCT((SCD_Data!$A$3:$A$502=B69)*(IFERROR(DATEVALUE(SCD_Data!$H$3:$H$502&amp;""),SCD_Data!$H$3:$H$502)&lt;=IFERROR(DATEVALUE(A69&amp;""),A69))*(IFERROR(DATEVALUE(SCD_Data!$I$3:$I$502&amp;""),SCD_Data!$I$3:$I$502)&gt;=IFERROR(DATEVALUE(A69&amp;""),A69))*(ROW(SCD_Data!$A$3:$A$502)-2))),"—"))</f>
        <v/>
      </c>
      <c r="J69" s="26" t="str">
        <f aca="false">IF(A69="","",IFERROR(INDEX(SCD_Data!$E$3:$E$502,SUMPRODUCT((SCD_Data!$A$3:$A$502=B69)*(IFERROR(DATEVALUE(SCD_Data!$H$3:$H$502&amp;""),SCD_Data!$H$3:$H$502)&lt;=IFERROR(DATEVALUE(A69&amp;""),A69))*(IFERROR(DATEVALUE(SCD_Data!$I$3:$I$502&amp;""),SCD_Data!$I$3:$I$502)&gt;=IFERROR(DATEVALUE(A69&amp;""),A69))*(ROW(SCD_Data!$A$3:$A$502)-2))),"—"))</f>
        <v/>
      </c>
      <c r="K69" s="25" t="str">
        <f aca="false">IF(A69="","",IFERROR(INDEX(SCD_Data!$F$3:$F$502,SUMPRODUCT((SCD_Data!$A$3:$A$502=B69)*(IFERROR(DATEVALUE(SCD_Data!$H$3:$H$502&amp;""),SCD_Data!$H$3:$H$502)&lt;=IFERROR(DATEVALUE(A69&amp;""),A69))*(IFERROR(DATEVALUE(SCD_Data!$I$3:$I$502&amp;""),SCD_Data!$I$3:$I$502)&gt;=IFERROR(DATEVALUE(A69&amp;""),A69))*(ROW(SCD_Data!$A$3:$A$502)-2))),"—"))</f>
        <v/>
      </c>
      <c r="L69" s="25" t="str">
        <f aca="false">IF(A69="","",IFERROR(INDEX(SCD_Data!$G$3:$G$502,SUMPRODUCT((SCD_Data!$A$3:$A$502=B69)*(IFERROR(DATEVALUE(SCD_Data!$H$3:$H$502&amp;""),SCD_Data!$H$3:$H$502)&lt;=IFERROR(DATEVALUE(A69&amp;""),A69))*(IFERROR(DATEVALUE(SCD_Data!$I$3:$I$502&amp;""),SCD_Data!$I$3:$I$502)&gt;=IFERROR(DATEVALUE(A69&amp;""),A69))*(ROW(SCD_Data!$A$3:$A$502)-2))),"—"))</f>
        <v/>
      </c>
      <c r="M69" s="27" t="str">
        <f aca="false">IF(A69="","",IF(H69="—","—",IF(C69&amp;""=H69&amp;"","✓","✗")))</f>
        <v/>
      </c>
      <c r="N69" s="27" t="str">
        <f aca="false">IF(A69="","",IF(H69="—","—",IF(D69&amp;""=I69&amp;"","✓","✗")))</f>
        <v/>
      </c>
      <c r="O69" s="27" t="str">
        <f aca="false">IF(A69="","",IF(H69="—","—",IF(ABS(E69-J69)&lt;0.01,"✓","✗")))</f>
        <v/>
      </c>
      <c r="P69" s="27" t="str">
        <f aca="false">IF(A69="","",IF(H69="—","—",IF(F69&amp;""=K69&amp;"","✓","✗")))</f>
        <v/>
      </c>
      <c r="Q69" s="27" t="str">
        <f aca="false">IF(A69="","",IF(H69="—","—",IF(G69&amp;""=L69&amp;"","✓","✗")))</f>
        <v/>
      </c>
      <c r="R69" s="27" t="str">
        <f aca="false">IF(A69="","",IF(COUNTIF(M69:Q69,"—")=5,"⚠ NO SCD ROW",IF(COUNTIF(M69:Q69,"✗")&gt;0,"❌ MISMATCH","✅ MATCH")))</f>
        <v/>
      </c>
    </row>
    <row r="70" customFormat="false" ht="15" hidden="false" customHeight="true" outlineLevel="0" collapsed="false">
      <c r="A70" s="22" t="str">
        <f aca="false">IF(Daily_Data!A69="","",Daily_Data!A69)</f>
        <v/>
      </c>
      <c r="B70" s="23" t="str">
        <f aca="false">IF(Daily_Data!B69="","",Daily_Data!B69)</f>
        <v/>
      </c>
      <c r="C70" s="23" t="str">
        <f aca="false">IF(A70="","",Daily_Data!C69)</f>
        <v/>
      </c>
      <c r="D70" s="23" t="str">
        <f aca="false">IF(A70="","",Daily_Data!D69)</f>
        <v/>
      </c>
      <c r="E70" s="24" t="str">
        <f aca="false">IF(A70="","",Daily_Data!E69)</f>
        <v/>
      </c>
      <c r="F70" s="23" t="str">
        <f aca="false">IF(A70="","",Daily_Data!F69)</f>
        <v/>
      </c>
      <c r="G70" s="23" t="str">
        <f aca="false">IF(A70="","",Daily_Data!G69)</f>
        <v/>
      </c>
      <c r="H70" s="25" t="str">
        <f aca="false">IF(A70="","",IFERROR(INDEX(SCD_Data!$C$3:$C$502,SUMPRODUCT((SCD_Data!$A$3:$A$502=B70)*(IFERROR(DATEVALUE(SCD_Data!$H$3:$H$502&amp;""),SCD_Data!$H$3:$H$502)&lt;=IFERROR(DATEVALUE(A70&amp;""),A70))*(IFERROR(DATEVALUE(SCD_Data!$I$3:$I$502&amp;""),SCD_Data!$I$3:$I$502)&gt;=IFERROR(DATEVALUE(A70&amp;""),A70))*(ROW(SCD_Data!$A$3:$A$502)-2))),"—"))</f>
        <v/>
      </c>
      <c r="I70" s="25" t="str">
        <f aca="false">IF(A70="","",IFERROR(INDEX(SCD_Data!$D$3:$D$502,SUMPRODUCT((SCD_Data!$A$3:$A$502=B70)*(IFERROR(DATEVALUE(SCD_Data!$H$3:$H$502&amp;""),SCD_Data!$H$3:$H$502)&lt;=IFERROR(DATEVALUE(A70&amp;""),A70))*(IFERROR(DATEVALUE(SCD_Data!$I$3:$I$502&amp;""),SCD_Data!$I$3:$I$502)&gt;=IFERROR(DATEVALUE(A70&amp;""),A70))*(ROW(SCD_Data!$A$3:$A$502)-2))),"—"))</f>
        <v/>
      </c>
      <c r="J70" s="26" t="str">
        <f aca="false">IF(A70="","",IFERROR(INDEX(SCD_Data!$E$3:$E$502,SUMPRODUCT((SCD_Data!$A$3:$A$502=B70)*(IFERROR(DATEVALUE(SCD_Data!$H$3:$H$502&amp;""),SCD_Data!$H$3:$H$502)&lt;=IFERROR(DATEVALUE(A70&amp;""),A70))*(IFERROR(DATEVALUE(SCD_Data!$I$3:$I$502&amp;""),SCD_Data!$I$3:$I$502)&gt;=IFERROR(DATEVALUE(A70&amp;""),A70))*(ROW(SCD_Data!$A$3:$A$502)-2))),"—"))</f>
        <v/>
      </c>
      <c r="K70" s="25" t="str">
        <f aca="false">IF(A70="","",IFERROR(INDEX(SCD_Data!$F$3:$F$502,SUMPRODUCT((SCD_Data!$A$3:$A$502=B70)*(IFERROR(DATEVALUE(SCD_Data!$H$3:$H$502&amp;""),SCD_Data!$H$3:$H$502)&lt;=IFERROR(DATEVALUE(A70&amp;""),A70))*(IFERROR(DATEVALUE(SCD_Data!$I$3:$I$502&amp;""),SCD_Data!$I$3:$I$502)&gt;=IFERROR(DATEVALUE(A70&amp;""),A70))*(ROW(SCD_Data!$A$3:$A$502)-2))),"—"))</f>
        <v/>
      </c>
      <c r="L70" s="25" t="str">
        <f aca="false">IF(A70="","",IFERROR(INDEX(SCD_Data!$G$3:$G$502,SUMPRODUCT((SCD_Data!$A$3:$A$502=B70)*(IFERROR(DATEVALUE(SCD_Data!$H$3:$H$502&amp;""),SCD_Data!$H$3:$H$502)&lt;=IFERROR(DATEVALUE(A70&amp;""),A70))*(IFERROR(DATEVALUE(SCD_Data!$I$3:$I$502&amp;""),SCD_Data!$I$3:$I$502)&gt;=IFERROR(DATEVALUE(A70&amp;""),A70))*(ROW(SCD_Data!$A$3:$A$502)-2))),"—"))</f>
        <v/>
      </c>
      <c r="M70" s="27" t="str">
        <f aca="false">IF(A70="","",IF(H70="—","—",IF(C70&amp;""=H70&amp;"","✓","✗")))</f>
        <v/>
      </c>
      <c r="N70" s="27" t="str">
        <f aca="false">IF(A70="","",IF(H70="—","—",IF(D70&amp;""=I70&amp;"","✓","✗")))</f>
        <v/>
      </c>
      <c r="O70" s="27" t="str">
        <f aca="false">IF(A70="","",IF(H70="—","—",IF(ABS(E70-J70)&lt;0.01,"✓","✗")))</f>
        <v/>
      </c>
      <c r="P70" s="27" t="str">
        <f aca="false">IF(A70="","",IF(H70="—","—",IF(F70&amp;""=K70&amp;"","✓","✗")))</f>
        <v/>
      </c>
      <c r="Q70" s="27" t="str">
        <f aca="false">IF(A70="","",IF(H70="—","—",IF(G70&amp;""=L70&amp;"","✓","✗")))</f>
        <v/>
      </c>
      <c r="R70" s="27" t="str">
        <f aca="false">IF(A70="","",IF(COUNTIF(M70:Q70,"—")=5,"⚠ NO SCD ROW",IF(COUNTIF(M70:Q70,"✗")&gt;0,"❌ MISMATCH","✅ MATCH")))</f>
        <v/>
      </c>
    </row>
    <row r="71" customFormat="false" ht="15" hidden="false" customHeight="true" outlineLevel="0" collapsed="false">
      <c r="A71" s="22" t="str">
        <f aca="false">IF(Daily_Data!A70="","",Daily_Data!A70)</f>
        <v/>
      </c>
      <c r="B71" s="23" t="str">
        <f aca="false">IF(Daily_Data!B70="","",Daily_Data!B70)</f>
        <v/>
      </c>
      <c r="C71" s="23" t="str">
        <f aca="false">IF(A71="","",Daily_Data!C70)</f>
        <v/>
      </c>
      <c r="D71" s="23" t="str">
        <f aca="false">IF(A71="","",Daily_Data!D70)</f>
        <v/>
      </c>
      <c r="E71" s="24" t="str">
        <f aca="false">IF(A71="","",Daily_Data!E70)</f>
        <v/>
      </c>
      <c r="F71" s="23" t="str">
        <f aca="false">IF(A71="","",Daily_Data!F70)</f>
        <v/>
      </c>
      <c r="G71" s="23" t="str">
        <f aca="false">IF(A71="","",Daily_Data!G70)</f>
        <v/>
      </c>
      <c r="H71" s="25" t="str">
        <f aca="false">IF(A71="","",IFERROR(INDEX(SCD_Data!$C$3:$C$502,SUMPRODUCT((SCD_Data!$A$3:$A$502=B71)*(IFERROR(DATEVALUE(SCD_Data!$H$3:$H$502&amp;""),SCD_Data!$H$3:$H$502)&lt;=IFERROR(DATEVALUE(A71&amp;""),A71))*(IFERROR(DATEVALUE(SCD_Data!$I$3:$I$502&amp;""),SCD_Data!$I$3:$I$502)&gt;=IFERROR(DATEVALUE(A71&amp;""),A71))*(ROW(SCD_Data!$A$3:$A$502)-2))),"—"))</f>
        <v/>
      </c>
      <c r="I71" s="25" t="str">
        <f aca="false">IF(A71="","",IFERROR(INDEX(SCD_Data!$D$3:$D$502,SUMPRODUCT((SCD_Data!$A$3:$A$502=B71)*(IFERROR(DATEVALUE(SCD_Data!$H$3:$H$502&amp;""),SCD_Data!$H$3:$H$502)&lt;=IFERROR(DATEVALUE(A71&amp;""),A71))*(IFERROR(DATEVALUE(SCD_Data!$I$3:$I$502&amp;""),SCD_Data!$I$3:$I$502)&gt;=IFERROR(DATEVALUE(A71&amp;""),A71))*(ROW(SCD_Data!$A$3:$A$502)-2))),"—"))</f>
        <v/>
      </c>
      <c r="J71" s="26" t="str">
        <f aca="false">IF(A71="","",IFERROR(INDEX(SCD_Data!$E$3:$E$502,SUMPRODUCT((SCD_Data!$A$3:$A$502=B71)*(IFERROR(DATEVALUE(SCD_Data!$H$3:$H$502&amp;""),SCD_Data!$H$3:$H$502)&lt;=IFERROR(DATEVALUE(A71&amp;""),A71))*(IFERROR(DATEVALUE(SCD_Data!$I$3:$I$502&amp;""),SCD_Data!$I$3:$I$502)&gt;=IFERROR(DATEVALUE(A71&amp;""),A71))*(ROW(SCD_Data!$A$3:$A$502)-2))),"—"))</f>
        <v/>
      </c>
      <c r="K71" s="25" t="str">
        <f aca="false">IF(A71="","",IFERROR(INDEX(SCD_Data!$F$3:$F$502,SUMPRODUCT((SCD_Data!$A$3:$A$502=B71)*(IFERROR(DATEVALUE(SCD_Data!$H$3:$H$502&amp;""),SCD_Data!$H$3:$H$502)&lt;=IFERROR(DATEVALUE(A71&amp;""),A71))*(IFERROR(DATEVALUE(SCD_Data!$I$3:$I$502&amp;""),SCD_Data!$I$3:$I$502)&gt;=IFERROR(DATEVALUE(A71&amp;""),A71))*(ROW(SCD_Data!$A$3:$A$502)-2))),"—"))</f>
        <v/>
      </c>
      <c r="L71" s="25" t="str">
        <f aca="false">IF(A71="","",IFERROR(INDEX(SCD_Data!$G$3:$G$502,SUMPRODUCT((SCD_Data!$A$3:$A$502=B71)*(IFERROR(DATEVALUE(SCD_Data!$H$3:$H$502&amp;""),SCD_Data!$H$3:$H$502)&lt;=IFERROR(DATEVALUE(A71&amp;""),A71))*(IFERROR(DATEVALUE(SCD_Data!$I$3:$I$502&amp;""),SCD_Data!$I$3:$I$502)&gt;=IFERROR(DATEVALUE(A71&amp;""),A71))*(ROW(SCD_Data!$A$3:$A$502)-2))),"—"))</f>
        <v/>
      </c>
      <c r="M71" s="27" t="str">
        <f aca="false">IF(A71="","",IF(H71="—","—",IF(C71&amp;""=H71&amp;"","✓","✗")))</f>
        <v/>
      </c>
      <c r="N71" s="27" t="str">
        <f aca="false">IF(A71="","",IF(H71="—","—",IF(D71&amp;""=I71&amp;"","✓","✗")))</f>
        <v/>
      </c>
      <c r="O71" s="27" t="str">
        <f aca="false">IF(A71="","",IF(H71="—","—",IF(ABS(E71-J71)&lt;0.01,"✓","✗")))</f>
        <v/>
      </c>
      <c r="P71" s="27" t="str">
        <f aca="false">IF(A71="","",IF(H71="—","—",IF(F71&amp;""=K71&amp;"","✓","✗")))</f>
        <v/>
      </c>
      <c r="Q71" s="27" t="str">
        <f aca="false">IF(A71="","",IF(H71="—","—",IF(G71&amp;""=L71&amp;"","✓","✗")))</f>
        <v/>
      </c>
      <c r="R71" s="27" t="str">
        <f aca="false">IF(A71="","",IF(COUNTIF(M71:Q71,"—")=5,"⚠ NO SCD ROW",IF(COUNTIF(M71:Q71,"✗")&gt;0,"❌ MISMATCH","✅ MATCH")))</f>
        <v/>
      </c>
    </row>
    <row r="72" customFormat="false" ht="15" hidden="false" customHeight="true" outlineLevel="0" collapsed="false">
      <c r="A72" s="22" t="str">
        <f aca="false">IF(Daily_Data!A71="","",Daily_Data!A71)</f>
        <v/>
      </c>
      <c r="B72" s="23" t="str">
        <f aca="false">IF(Daily_Data!B71="","",Daily_Data!B71)</f>
        <v/>
      </c>
      <c r="C72" s="23" t="str">
        <f aca="false">IF(A72="","",Daily_Data!C71)</f>
        <v/>
      </c>
      <c r="D72" s="23" t="str">
        <f aca="false">IF(A72="","",Daily_Data!D71)</f>
        <v/>
      </c>
      <c r="E72" s="24" t="str">
        <f aca="false">IF(A72="","",Daily_Data!E71)</f>
        <v/>
      </c>
      <c r="F72" s="23" t="str">
        <f aca="false">IF(A72="","",Daily_Data!F71)</f>
        <v/>
      </c>
      <c r="G72" s="23" t="str">
        <f aca="false">IF(A72="","",Daily_Data!G71)</f>
        <v/>
      </c>
      <c r="H72" s="25" t="str">
        <f aca="false">IF(A72="","",IFERROR(INDEX(SCD_Data!$C$3:$C$502,SUMPRODUCT((SCD_Data!$A$3:$A$502=B72)*(IFERROR(DATEVALUE(SCD_Data!$H$3:$H$502&amp;""),SCD_Data!$H$3:$H$502)&lt;=IFERROR(DATEVALUE(A72&amp;""),A72))*(IFERROR(DATEVALUE(SCD_Data!$I$3:$I$502&amp;""),SCD_Data!$I$3:$I$502)&gt;=IFERROR(DATEVALUE(A72&amp;""),A72))*(ROW(SCD_Data!$A$3:$A$502)-2))),"—"))</f>
        <v/>
      </c>
      <c r="I72" s="25" t="str">
        <f aca="false">IF(A72="","",IFERROR(INDEX(SCD_Data!$D$3:$D$502,SUMPRODUCT((SCD_Data!$A$3:$A$502=B72)*(IFERROR(DATEVALUE(SCD_Data!$H$3:$H$502&amp;""),SCD_Data!$H$3:$H$502)&lt;=IFERROR(DATEVALUE(A72&amp;""),A72))*(IFERROR(DATEVALUE(SCD_Data!$I$3:$I$502&amp;""),SCD_Data!$I$3:$I$502)&gt;=IFERROR(DATEVALUE(A72&amp;""),A72))*(ROW(SCD_Data!$A$3:$A$502)-2))),"—"))</f>
        <v/>
      </c>
      <c r="J72" s="26" t="str">
        <f aca="false">IF(A72="","",IFERROR(INDEX(SCD_Data!$E$3:$E$502,SUMPRODUCT((SCD_Data!$A$3:$A$502=B72)*(IFERROR(DATEVALUE(SCD_Data!$H$3:$H$502&amp;""),SCD_Data!$H$3:$H$502)&lt;=IFERROR(DATEVALUE(A72&amp;""),A72))*(IFERROR(DATEVALUE(SCD_Data!$I$3:$I$502&amp;""),SCD_Data!$I$3:$I$502)&gt;=IFERROR(DATEVALUE(A72&amp;""),A72))*(ROW(SCD_Data!$A$3:$A$502)-2))),"—"))</f>
        <v/>
      </c>
      <c r="K72" s="25" t="str">
        <f aca="false">IF(A72="","",IFERROR(INDEX(SCD_Data!$F$3:$F$502,SUMPRODUCT((SCD_Data!$A$3:$A$502=B72)*(IFERROR(DATEVALUE(SCD_Data!$H$3:$H$502&amp;""),SCD_Data!$H$3:$H$502)&lt;=IFERROR(DATEVALUE(A72&amp;""),A72))*(IFERROR(DATEVALUE(SCD_Data!$I$3:$I$502&amp;""),SCD_Data!$I$3:$I$502)&gt;=IFERROR(DATEVALUE(A72&amp;""),A72))*(ROW(SCD_Data!$A$3:$A$502)-2))),"—"))</f>
        <v/>
      </c>
      <c r="L72" s="25" t="str">
        <f aca="false">IF(A72="","",IFERROR(INDEX(SCD_Data!$G$3:$G$502,SUMPRODUCT((SCD_Data!$A$3:$A$502=B72)*(IFERROR(DATEVALUE(SCD_Data!$H$3:$H$502&amp;""),SCD_Data!$H$3:$H$502)&lt;=IFERROR(DATEVALUE(A72&amp;""),A72))*(IFERROR(DATEVALUE(SCD_Data!$I$3:$I$502&amp;""),SCD_Data!$I$3:$I$502)&gt;=IFERROR(DATEVALUE(A72&amp;""),A72))*(ROW(SCD_Data!$A$3:$A$502)-2))),"—"))</f>
        <v/>
      </c>
      <c r="M72" s="27" t="str">
        <f aca="false">IF(A72="","",IF(H72="—","—",IF(C72&amp;""=H72&amp;"","✓","✗")))</f>
        <v/>
      </c>
      <c r="N72" s="27" t="str">
        <f aca="false">IF(A72="","",IF(H72="—","—",IF(D72&amp;""=I72&amp;"","✓","✗")))</f>
        <v/>
      </c>
      <c r="O72" s="27" t="str">
        <f aca="false">IF(A72="","",IF(H72="—","—",IF(ABS(E72-J72)&lt;0.01,"✓","✗")))</f>
        <v/>
      </c>
      <c r="P72" s="27" t="str">
        <f aca="false">IF(A72="","",IF(H72="—","—",IF(F72&amp;""=K72&amp;"","✓","✗")))</f>
        <v/>
      </c>
      <c r="Q72" s="27" t="str">
        <f aca="false">IF(A72="","",IF(H72="—","—",IF(G72&amp;""=L72&amp;"","✓","✗")))</f>
        <v/>
      </c>
      <c r="R72" s="27" t="str">
        <f aca="false">IF(A72="","",IF(COUNTIF(M72:Q72,"—")=5,"⚠ NO SCD ROW",IF(COUNTIF(M72:Q72,"✗")&gt;0,"❌ MISMATCH","✅ MATCH")))</f>
        <v/>
      </c>
    </row>
    <row r="73" customFormat="false" ht="15" hidden="false" customHeight="true" outlineLevel="0" collapsed="false">
      <c r="A73" s="22" t="str">
        <f aca="false">IF(Daily_Data!A72="","",Daily_Data!A72)</f>
        <v/>
      </c>
      <c r="B73" s="23" t="str">
        <f aca="false">IF(Daily_Data!B72="","",Daily_Data!B72)</f>
        <v/>
      </c>
      <c r="C73" s="23" t="str">
        <f aca="false">IF(A73="","",Daily_Data!C72)</f>
        <v/>
      </c>
      <c r="D73" s="23" t="str">
        <f aca="false">IF(A73="","",Daily_Data!D72)</f>
        <v/>
      </c>
      <c r="E73" s="24" t="str">
        <f aca="false">IF(A73="","",Daily_Data!E72)</f>
        <v/>
      </c>
      <c r="F73" s="23" t="str">
        <f aca="false">IF(A73="","",Daily_Data!F72)</f>
        <v/>
      </c>
      <c r="G73" s="23" t="str">
        <f aca="false">IF(A73="","",Daily_Data!G72)</f>
        <v/>
      </c>
      <c r="H73" s="25" t="str">
        <f aca="false">IF(A73="","",IFERROR(INDEX(SCD_Data!$C$3:$C$502,SUMPRODUCT((SCD_Data!$A$3:$A$502=B73)*(IFERROR(DATEVALUE(SCD_Data!$H$3:$H$502&amp;""),SCD_Data!$H$3:$H$502)&lt;=IFERROR(DATEVALUE(A73&amp;""),A73))*(IFERROR(DATEVALUE(SCD_Data!$I$3:$I$502&amp;""),SCD_Data!$I$3:$I$502)&gt;=IFERROR(DATEVALUE(A73&amp;""),A73))*(ROW(SCD_Data!$A$3:$A$502)-2))),"—"))</f>
        <v/>
      </c>
      <c r="I73" s="25" t="str">
        <f aca="false">IF(A73="","",IFERROR(INDEX(SCD_Data!$D$3:$D$502,SUMPRODUCT((SCD_Data!$A$3:$A$502=B73)*(IFERROR(DATEVALUE(SCD_Data!$H$3:$H$502&amp;""),SCD_Data!$H$3:$H$502)&lt;=IFERROR(DATEVALUE(A73&amp;""),A73))*(IFERROR(DATEVALUE(SCD_Data!$I$3:$I$502&amp;""),SCD_Data!$I$3:$I$502)&gt;=IFERROR(DATEVALUE(A73&amp;""),A73))*(ROW(SCD_Data!$A$3:$A$502)-2))),"—"))</f>
        <v/>
      </c>
      <c r="J73" s="26" t="str">
        <f aca="false">IF(A73="","",IFERROR(INDEX(SCD_Data!$E$3:$E$502,SUMPRODUCT((SCD_Data!$A$3:$A$502=B73)*(IFERROR(DATEVALUE(SCD_Data!$H$3:$H$502&amp;""),SCD_Data!$H$3:$H$502)&lt;=IFERROR(DATEVALUE(A73&amp;""),A73))*(IFERROR(DATEVALUE(SCD_Data!$I$3:$I$502&amp;""),SCD_Data!$I$3:$I$502)&gt;=IFERROR(DATEVALUE(A73&amp;""),A73))*(ROW(SCD_Data!$A$3:$A$502)-2))),"—"))</f>
        <v/>
      </c>
      <c r="K73" s="25" t="str">
        <f aca="false">IF(A73="","",IFERROR(INDEX(SCD_Data!$F$3:$F$502,SUMPRODUCT((SCD_Data!$A$3:$A$502=B73)*(IFERROR(DATEVALUE(SCD_Data!$H$3:$H$502&amp;""),SCD_Data!$H$3:$H$502)&lt;=IFERROR(DATEVALUE(A73&amp;""),A73))*(IFERROR(DATEVALUE(SCD_Data!$I$3:$I$502&amp;""),SCD_Data!$I$3:$I$502)&gt;=IFERROR(DATEVALUE(A73&amp;""),A73))*(ROW(SCD_Data!$A$3:$A$502)-2))),"—"))</f>
        <v/>
      </c>
      <c r="L73" s="25" t="str">
        <f aca="false">IF(A73="","",IFERROR(INDEX(SCD_Data!$G$3:$G$502,SUMPRODUCT((SCD_Data!$A$3:$A$502=B73)*(IFERROR(DATEVALUE(SCD_Data!$H$3:$H$502&amp;""),SCD_Data!$H$3:$H$502)&lt;=IFERROR(DATEVALUE(A73&amp;""),A73))*(IFERROR(DATEVALUE(SCD_Data!$I$3:$I$502&amp;""),SCD_Data!$I$3:$I$502)&gt;=IFERROR(DATEVALUE(A73&amp;""),A73))*(ROW(SCD_Data!$A$3:$A$502)-2))),"—"))</f>
        <v/>
      </c>
      <c r="M73" s="27" t="str">
        <f aca="false">IF(A73="","",IF(H73="—","—",IF(C73&amp;""=H73&amp;"","✓","✗")))</f>
        <v/>
      </c>
      <c r="N73" s="27" t="str">
        <f aca="false">IF(A73="","",IF(H73="—","—",IF(D73&amp;""=I73&amp;"","✓","✗")))</f>
        <v/>
      </c>
      <c r="O73" s="27" t="str">
        <f aca="false">IF(A73="","",IF(H73="—","—",IF(ABS(E73-J73)&lt;0.01,"✓","✗")))</f>
        <v/>
      </c>
      <c r="P73" s="27" t="str">
        <f aca="false">IF(A73="","",IF(H73="—","—",IF(F73&amp;""=K73&amp;"","✓","✗")))</f>
        <v/>
      </c>
      <c r="Q73" s="27" t="str">
        <f aca="false">IF(A73="","",IF(H73="—","—",IF(G73&amp;""=L73&amp;"","✓","✗")))</f>
        <v/>
      </c>
      <c r="R73" s="27" t="str">
        <f aca="false">IF(A73="","",IF(COUNTIF(M73:Q73,"—")=5,"⚠ NO SCD ROW",IF(COUNTIF(M73:Q73,"✗")&gt;0,"❌ MISMATCH","✅ MATCH")))</f>
        <v/>
      </c>
    </row>
    <row r="74" customFormat="false" ht="15" hidden="false" customHeight="true" outlineLevel="0" collapsed="false">
      <c r="A74" s="22" t="str">
        <f aca="false">IF(Daily_Data!A73="","",Daily_Data!A73)</f>
        <v/>
      </c>
      <c r="B74" s="23" t="str">
        <f aca="false">IF(Daily_Data!B73="","",Daily_Data!B73)</f>
        <v/>
      </c>
      <c r="C74" s="23" t="str">
        <f aca="false">IF(A74="","",Daily_Data!C73)</f>
        <v/>
      </c>
      <c r="D74" s="23" t="str">
        <f aca="false">IF(A74="","",Daily_Data!D73)</f>
        <v/>
      </c>
      <c r="E74" s="24" t="str">
        <f aca="false">IF(A74="","",Daily_Data!E73)</f>
        <v/>
      </c>
      <c r="F74" s="23" t="str">
        <f aca="false">IF(A74="","",Daily_Data!F73)</f>
        <v/>
      </c>
      <c r="G74" s="23" t="str">
        <f aca="false">IF(A74="","",Daily_Data!G73)</f>
        <v/>
      </c>
      <c r="H74" s="25" t="str">
        <f aca="false">IF(A74="","",IFERROR(INDEX(SCD_Data!$C$3:$C$502,SUMPRODUCT((SCD_Data!$A$3:$A$502=B74)*(IFERROR(DATEVALUE(SCD_Data!$H$3:$H$502&amp;""),SCD_Data!$H$3:$H$502)&lt;=IFERROR(DATEVALUE(A74&amp;""),A74))*(IFERROR(DATEVALUE(SCD_Data!$I$3:$I$502&amp;""),SCD_Data!$I$3:$I$502)&gt;=IFERROR(DATEVALUE(A74&amp;""),A74))*(ROW(SCD_Data!$A$3:$A$502)-2))),"—"))</f>
        <v/>
      </c>
      <c r="I74" s="25" t="str">
        <f aca="false">IF(A74="","",IFERROR(INDEX(SCD_Data!$D$3:$D$502,SUMPRODUCT((SCD_Data!$A$3:$A$502=B74)*(IFERROR(DATEVALUE(SCD_Data!$H$3:$H$502&amp;""),SCD_Data!$H$3:$H$502)&lt;=IFERROR(DATEVALUE(A74&amp;""),A74))*(IFERROR(DATEVALUE(SCD_Data!$I$3:$I$502&amp;""),SCD_Data!$I$3:$I$502)&gt;=IFERROR(DATEVALUE(A74&amp;""),A74))*(ROW(SCD_Data!$A$3:$A$502)-2))),"—"))</f>
        <v/>
      </c>
      <c r="J74" s="26" t="str">
        <f aca="false">IF(A74="","",IFERROR(INDEX(SCD_Data!$E$3:$E$502,SUMPRODUCT((SCD_Data!$A$3:$A$502=B74)*(IFERROR(DATEVALUE(SCD_Data!$H$3:$H$502&amp;""),SCD_Data!$H$3:$H$502)&lt;=IFERROR(DATEVALUE(A74&amp;""),A74))*(IFERROR(DATEVALUE(SCD_Data!$I$3:$I$502&amp;""),SCD_Data!$I$3:$I$502)&gt;=IFERROR(DATEVALUE(A74&amp;""),A74))*(ROW(SCD_Data!$A$3:$A$502)-2))),"—"))</f>
        <v/>
      </c>
      <c r="K74" s="25" t="str">
        <f aca="false">IF(A74="","",IFERROR(INDEX(SCD_Data!$F$3:$F$502,SUMPRODUCT((SCD_Data!$A$3:$A$502=B74)*(IFERROR(DATEVALUE(SCD_Data!$H$3:$H$502&amp;""),SCD_Data!$H$3:$H$502)&lt;=IFERROR(DATEVALUE(A74&amp;""),A74))*(IFERROR(DATEVALUE(SCD_Data!$I$3:$I$502&amp;""),SCD_Data!$I$3:$I$502)&gt;=IFERROR(DATEVALUE(A74&amp;""),A74))*(ROW(SCD_Data!$A$3:$A$502)-2))),"—"))</f>
        <v/>
      </c>
      <c r="L74" s="25" t="str">
        <f aca="false">IF(A74="","",IFERROR(INDEX(SCD_Data!$G$3:$G$502,SUMPRODUCT((SCD_Data!$A$3:$A$502=B74)*(IFERROR(DATEVALUE(SCD_Data!$H$3:$H$502&amp;""),SCD_Data!$H$3:$H$502)&lt;=IFERROR(DATEVALUE(A74&amp;""),A74))*(IFERROR(DATEVALUE(SCD_Data!$I$3:$I$502&amp;""),SCD_Data!$I$3:$I$502)&gt;=IFERROR(DATEVALUE(A74&amp;""),A74))*(ROW(SCD_Data!$A$3:$A$502)-2))),"—"))</f>
        <v/>
      </c>
      <c r="M74" s="27" t="str">
        <f aca="false">IF(A74="","",IF(H74="—","—",IF(C74&amp;""=H74&amp;"","✓","✗")))</f>
        <v/>
      </c>
      <c r="N74" s="27" t="str">
        <f aca="false">IF(A74="","",IF(H74="—","—",IF(D74&amp;""=I74&amp;"","✓","✗")))</f>
        <v/>
      </c>
      <c r="O74" s="27" t="str">
        <f aca="false">IF(A74="","",IF(H74="—","—",IF(ABS(E74-J74)&lt;0.01,"✓","✗")))</f>
        <v/>
      </c>
      <c r="P74" s="27" t="str">
        <f aca="false">IF(A74="","",IF(H74="—","—",IF(F74&amp;""=K74&amp;"","✓","✗")))</f>
        <v/>
      </c>
      <c r="Q74" s="27" t="str">
        <f aca="false">IF(A74="","",IF(H74="—","—",IF(G74&amp;""=L74&amp;"","✓","✗")))</f>
        <v/>
      </c>
      <c r="R74" s="27" t="str">
        <f aca="false">IF(A74="","",IF(COUNTIF(M74:Q74,"—")=5,"⚠ NO SCD ROW",IF(COUNTIF(M74:Q74,"✗")&gt;0,"❌ MISMATCH","✅ MATCH")))</f>
        <v/>
      </c>
    </row>
    <row r="75" customFormat="false" ht="15" hidden="false" customHeight="true" outlineLevel="0" collapsed="false">
      <c r="A75" s="22" t="str">
        <f aca="false">IF(Daily_Data!A74="","",Daily_Data!A74)</f>
        <v/>
      </c>
      <c r="B75" s="23" t="str">
        <f aca="false">IF(Daily_Data!B74="","",Daily_Data!B74)</f>
        <v/>
      </c>
      <c r="C75" s="23" t="str">
        <f aca="false">IF(A75="","",Daily_Data!C74)</f>
        <v/>
      </c>
      <c r="D75" s="23" t="str">
        <f aca="false">IF(A75="","",Daily_Data!D74)</f>
        <v/>
      </c>
      <c r="E75" s="24" t="str">
        <f aca="false">IF(A75="","",Daily_Data!E74)</f>
        <v/>
      </c>
      <c r="F75" s="23" t="str">
        <f aca="false">IF(A75="","",Daily_Data!F74)</f>
        <v/>
      </c>
      <c r="G75" s="23" t="str">
        <f aca="false">IF(A75="","",Daily_Data!G74)</f>
        <v/>
      </c>
      <c r="H75" s="25" t="str">
        <f aca="false">IF(A75="","",IFERROR(INDEX(SCD_Data!$C$3:$C$502,SUMPRODUCT((SCD_Data!$A$3:$A$502=B75)*(IFERROR(DATEVALUE(SCD_Data!$H$3:$H$502&amp;""),SCD_Data!$H$3:$H$502)&lt;=IFERROR(DATEVALUE(A75&amp;""),A75))*(IFERROR(DATEVALUE(SCD_Data!$I$3:$I$502&amp;""),SCD_Data!$I$3:$I$502)&gt;=IFERROR(DATEVALUE(A75&amp;""),A75))*(ROW(SCD_Data!$A$3:$A$502)-2))),"—"))</f>
        <v/>
      </c>
      <c r="I75" s="25" t="str">
        <f aca="false">IF(A75="","",IFERROR(INDEX(SCD_Data!$D$3:$D$502,SUMPRODUCT((SCD_Data!$A$3:$A$502=B75)*(IFERROR(DATEVALUE(SCD_Data!$H$3:$H$502&amp;""),SCD_Data!$H$3:$H$502)&lt;=IFERROR(DATEVALUE(A75&amp;""),A75))*(IFERROR(DATEVALUE(SCD_Data!$I$3:$I$502&amp;""),SCD_Data!$I$3:$I$502)&gt;=IFERROR(DATEVALUE(A75&amp;""),A75))*(ROW(SCD_Data!$A$3:$A$502)-2))),"—"))</f>
        <v/>
      </c>
      <c r="J75" s="26" t="str">
        <f aca="false">IF(A75="","",IFERROR(INDEX(SCD_Data!$E$3:$E$502,SUMPRODUCT((SCD_Data!$A$3:$A$502=B75)*(IFERROR(DATEVALUE(SCD_Data!$H$3:$H$502&amp;""),SCD_Data!$H$3:$H$502)&lt;=IFERROR(DATEVALUE(A75&amp;""),A75))*(IFERROR(DATEVALUE(SCD_Data!$I$3:$I$502&amp;""),SCD_Data!$I$3:$I$502)&gt;=IFERROR(DATEVALUE(A75&amp;""),A75))*(ROW(SCD_Data!$A$3:$A$502)-2))),"—"))</f>
        <v/>
      </c>
      <c r="K75" s="25" t="str">
        <f aca="false">IF(A75="","",IFERROR(INDEX(SCD_Data!$F$3:$F$502,SUMPRODUCT((SCD_Data!$A$3:$A$502=B75)*(IFERROR(DATEVALUE(SCD_Data!$H$3:$H$502&amp;""),SCD_Data!$H$3:$H$502)&lt;=IFERROR(DATEVALUE(A75&amp;""),A75))*(IFERROR(DATEVALUE(SCD_Data!$I$3:$I$502&amp;""),SCD_Data!$I$3:$I$502)&gt;=IFERROR(DATEVALUE(A75&amp;""),A75))*(ROW(SCD_Data!$A$3:$A$502)-2))),"—"))</f>
        <v/>
      </c>
      <c r="L75" s="25" t="str">
        <f aca="false">IF(A75="","",IFERROR(INDEX(SCD_Data!$G$3:$G$502,SUMPRODUCT((SCD_Data!$A$3:$A$502=B75)*(IFERROR(DATEVALUE(SCD_Data!$H$3:$H$502&amp;""),SCD_Data!$H$3:$H$502)&lt;=IFERROR(DATEVALUE(A75&amp;""),A75))*(IFERROR(DATEVALUE(SCD_Data!$I$3:$I$502&amp;""),SCD_Data!$I$3:$I$502)&gt;=IFERROR(DATEVALUE(A75&amp;""),A75))*(ROW(SCD_Data!$A$3:$A$502)-2))),"—"))</f>
        <v/>
      </c>
      <c r="M75" s="27" t="str">
        <f aca="false">IF(A75="","",IF(H75="—","—",IF(C75&amp;""=H75&amp;"","✓","✗")))</f>
        <v/>
      </c>
      <c r="N75" s="27" t="str">
        <f aca="false">IF(A75="","",IF(H75="—","—",IF(D75&amp;""=I75&amp;"","✓","✗")))</f>
        <v/>
      </c>
      <c r="O75" s="27" t="str">
        <f aca="false">IF(A75="","",IF(H75="—","—",IF(ABS(E75-J75)&lt;0.01,"✓","✗")))</f>
        <v/>
      </c>
      <c r="P75" s="27" t="str">
        <f aca="false">IF(A75="","",IF(H75="—","—",IF(F75&amp;""=K75&amp;"","✓","✗")))</f>
        <v/>
      </c>
      <c r="Q75" s="27" t="str">
        <f aca="false">IF(A75="","",IF(H75="—","—",IF(G75&amp;""=L75&amp;"","✓","✗")))</f>
        <v/>
      </c>
      <c r="R75" s="27" t="str">
        <f aca="false">IF(A75="","",IF(COUNTIF(M75:Q75,"—")=5,"⚠ NO SCD ROW",IF(COUNTIF(M75:Q75,"✗")&gt;0,"❌ MISMATCH","✅ MATCH")))</f>
        <v/>
      </c>
    </row>
    <row r="76" customFormat="false" ht="15" hidden="false" customHeight="true" outlineLevel="0" collapsed="false">
      <c r="A76" s="22" t="str">
        <f aca="false">IF(Daily_Data!A75="","",Daily_Data!A75)</f>
        <v/>
      </c>
      <c r="B76" s="23" t="str">
        <f aca="false">IF(Daily_Data!B75="","",Daily_Data!B75)</f>
        <v/>
      </c>
      <c r="C76" s="23" t="str">
        <f aca="false">IF(A76="","",Daily_Data!C75)</f>
        <v/>
      </c>
      <c r="D76" s="23" t="str">
        <f aca="false">IF(A76="","",Daily_Data!D75)</f>
        <v/>
      </c>
      <c r="E76" s="24" t="str">
        <f aca="false">IF(A76="","",Daily_Data!E75)</f>
        <v/>
      </c>
      <c r="F76" s="23" t="str">
        <f aca="false">IF(A76="","",Daily_Data!F75)</f>
        <v/>
      </c>
      <c r="G76" s="23" t="str">
        <f aca="false">IF(A76="","",Daily_Data!G75)</f>
        <v/>
      </c>
      <c r="H76" s="25" t="str">
        <f aca="false">IF(A76="","",IFERROR(INDEX(SCD_Data!$C$3:$C$502,SUMPRODUCT((SCD_Data!$A$3:$A$502=B76)*(IFERROR(DATEVALUE(SCD_Data!$H$3:$H$502&amp;""),SCD_Data!$H$3:$H$502)&lt;=IFERROR(DATEVALUE(A76&amp;""),A76))*(IFERROR(DATEVALUE(SCD_Data!$I$3:$I$502&amp;""),SCD_Data!$I$3:$I$502)&gt;=IFERROR(DATEVALUE(A76&amp;""),A76))*(ROW(SCD_Data!$A$3:$A$502)-2))),"—"))</f>
        <v/>
      </c>
      <c r="I76" s="25" t="str">
        <f aca="false">IF(A76="","",IFERROR(INDEX(SCD_Data!$D$3:$D$502,SUMPRODUCT((SCD_Data!$A$3:$A$502=B76)*(IFERROR(DATEVALUE(SCD_Data!$H$3:$H$502&amp;""),SCD_Data!$H$3:$H$502)&lt;=IFERROR(DATEVALUE(A76&amp;""),A76))*(IFERROR(DATEVALUE(SCD_Data!$I$3:$I$502&amp;""),SCD_Data!$I$3:$I$502)&gt;=IFERROR(DATEVALUE(A76&amp;""),A76))*(ROW(SCD_Data!$A$3:$A$502)-2))),"—"))</f>
        <v/>
      </c>
      <c r="J76" s="26" t="str">
        <f aca="false">IF(A76="","",IFERROR(INDEX(SCD_Data!$E$3:$E$502,SUMPRODUCT((SCD_Data!$A$3:$A$502=B76)*(IFERROR(DATEVALUE(SCD_Data!$H$3:$H$502&amp;""),SCD_Data!$H$3:$H$502)&lt;=IFERROR(DATEVALUE(A76&amp;""),A76))*(IFERROR(DATEVALUE(SCD_Data!$I$3:$I$502&amp;""),SCD_Data!$I$3:$I$502)&gt;=IFERROR(DATEVALUE(A76&amp;""),A76))*(ROW(SCD_Data!$A$3:$A$502)-2))),"—"))</f>
        <v/>
      </c>
      <c r="K76" s="25" t="str">
        <f aca="false">IF(A76="","",IFERROR(INDEX(SCD_Data!$F$3:$F$502,SUMPRODUCT((SCD_Data!$A$3:$A$502=B76)*(IFERROR(DATEVALUE(SCD_Data!$H$3:$H$502&amp;""),SCD_Data!$H$3:$H$502)&lt;=IFERROR(DATEVALUE(A76&amp;""),A76))*(IFERROR(DATEVALUE(SCD_Data!$I$3:$I$502&amp;""),SCD_Data!$I$3:$I$502)&gt;=IFERROR(DATEVALUE(A76&amp;""),A76))*(ROW(SCD_Data!$A$3:$A$502)-2))),"—"))</f>
        <v/>
      </c>
      <c r="L76" s="25" t="str">
        <f aca="false">IF(A76="","",IFERROR(INDEX(SCD_Data!$G$3:$G$502,SUMPRODUCT((SCD_Data!$A$3:$A$502=B76)*(IFERROR(DATEVALUE(SCD_Data!$H$3:$H$502&amp;""),SCD_Data!$H$3:$H$502)&lt;=IFERROR(DATEVALUE(A76&amp;""),A76))*(IFERROR(DATEVALUE(SCD_Data!$I$3:$I$502&amp;""),SCD_Data!$I$3:$I$502)&gt;=IFERROR(DATEVALUE(A76&amp;""),A76))*(ROW(SCD_Data!$A$3:$A$502)-2))),"—"))</f>
        <v/>
      </c>
      <c r="M76" s="27" t="str">
        <f aca="false">IF(A76="","",IF(H76="—","—",IF(C76&amp;""=H76&amp;"","✓","✗")))</f>
        <v/>
      </c>
      <c r="N76" s="27" t="str">
        <f aca="false">IF(A76="","",IF(H76="—","—",IF(D76&amp;""=I76&amp;"","✓","✗")))</f>
        <v/>
      </c>
      <c r="O76" s="27" t="str">
        <f aca="false">IF(A76="","",IF(H76="—","—",IF(ABS(E76-J76)&lt;0.01,"✓","✗")))</f>
        <v/>
      </c>
      <c r="P76" s="27" t="str">
        <f aca="false">IF(A76="","",IF(H76="—","—",IF(F76&amp;""=K76&amp;"","✓","✗")))</f>
        <v/>
      </c>
      <c r="Q76" s="27" t="str">
        <f aca="false">IF(A76="","",IF(H76="—","—",IF(G76&amp;""=L76&amp;"","✓","✗")))</f>
        <v/>
      </c>
      <c r="R76" s="27" t="str">
        <f aca="false">IF(A76="","",IF(COUNTIF(M76:Q76,"—")=5,"⚠ NO SCD ROW",IF(COUNTIF(M76:Q76,"✗")&gt;0,"❌ MISMATCH","✅ MATCH")))</f>
        <v/>
      </c>
    </row>
    <row r="77" customFormat="false" ht="15" hidden="false" customHeight="true" outlineLevel="0" collapsed="false">
      <c r="A77" s="22" t="str">
        <f aca="false">IF(Daily_Data!A76="","",Daily_Data!A76)</f>
        <v/>
      </c>
      <c r="B77" s="23" t="str">
        <f aca="false">IF(Daily_Data!B76="","",Daily_Data!B76)</f>
        <v/>
      </c>
      <c r="C77" s="23" t="str">
        <f aca="false">IF(A77="","",Daily_Data!C76)</f>
        <v/>
      </c>
      <c r="D77" s="23" t="str">
        <f aca="false">IF(A77="","",Daily_Data!D76)</f>
        <v/>
      </c>
      <c r="E77" s="24" t="str">
        <f aca="false">IF(A77="","",Daily_Data!E76)</f>
        <v/>
      </c>
      <c r="F77" s="23" t="str">
        <f aca="false">IF(A77="","",Daily_Data!F76)</f>
        <v/>
      </c>
      <c r="G77" s="23" t="str">
        <f aca="false">IF(A77="","",Daily_Data!G76)</f>
        <v/>
      </c>
      <c r="H77" s="25" t="str">
        <f aca="false">IF(A77="","",IFERROR(INDEX(SCD_Data!$C$3:$C$502,SUMPRODUCT((SCD_Data!$A$3:$A$502=B77)*(IFERROR(DATEVALUE(SCD_Data!$H$3:$H$502&amp;""),SCD_Data!$H$3:$H$502)&lt;=IFERROR(DATEVALUE(A77&amp;""),A77))*(IFERROR(DATEVALUE(SCD_Data!$I$3:$I$502&amp;""),SCD_Data!$I$3:$I$502)&gt;=IFERROR(DATEVALUE(A77&amp;""),A77))*(ROW(SCD_Data!$A$3:$A$502)-2))),"—"))</f>
        <v/>
      </c>
      <c r="I77" s="25" t="str">
        <f aca="false">IF(A77="","",IFERROR(INDEX(SCD_Data!$D$3:$D$502,SUMPRODUCT((SCD_Data!$A$3:$A$502=B77)*(IFERROR(DATEVALUE(SCD_Data!$H$3:$H$502&amp;""),SCD_Data!$H$3:$H$502)&lt;=IFERROR(DATEVALUE(A77&amp;""),A77))*(IFERROR(DATEVALUE(SCD_Data!$I$3:$I$502&amp;""),SCD_Data!$I$3:$I$502)&gt;=IFERROR(DATEVALUE(A77&amp;""),A77))*(ROW(SCD_Data!$A$3:$A$502)-2))),"—"))</f>
        <v/>
      </c>
      <c r="J77" s="26" t="str">
        <f aca="false">IF(A77="","",IFERROR(INDEX(SCD_Data!$E$3:$E$502,SUMPRODUCT((SCD_Data!$A$3:$A$502=B77)*(IFERROR(DATEVALUE(SCD_Data!$H$3:$H$502&amp;""),SCD_Data!$H$3:$H$502)&lt;=IFERROR(DATEVALUE(A77&amp;""),A77))*(IFERROR(DATEVALUE(SCD_Data!$I$3:$I$502&amp;""),SCD_Data!$I$3:$I$502)&gt;=IFERROR(DATEVALUE(A77&amp;""),A77))*(ROW(SCD_Data!$A$3:$A$502)-2))),"—"))</f>
        <v/>
      </c>
      <c r="K77" s="25" t="str">
        <f aca="false">IF(A77="","",IFERROR(INDEX(SCD_Data!$F$3:$F$502,SUMPRODUCT((SCD_Data!$A$3:$A$502=B77)*(IFERROR(DATEVALUE(SCD_Data!$H$3:$H$502&amp;""),SCD_Data!$H$3:$H$502)&lt;=IFERROR(DATEVALUE(A77&amp;""),A77))*(IFERROR(DATEVALUE(SCD_Data!$I$3:$I$502&amp;""),SCD_Data!$I$3:$I$502)&gt;=IFERROR(DATEVALUE(A77&amp;""),A77))*(ROW(SCD_Data!$A$3:$A$502)-2))),"—"))</f>
        <v/>
      </c>
      <c r="L77" s="25" t="str">
        <f aca="false">IF(A77="","",IFERROR(INDEX(SCD_Data!$G$3:$G$502,SUMPRODUCT((SCD_Data!$A$3:$A$502=B77)*(IFERROR(DATEVALUE(SCD_Data!$H$3:$H$502&amp;""),SCD_Data!$H$3:$H$502)&lt;=IFERROR(DATEVALUE(A77&amp;""),A77))*(IFERROR(DATEVALUE(SCD_Data!$I$3:$I$502&amp;""),SCD_Data!$I$3:$I$502)&gt;=IFERROR(DATEVALUE(A77&amp;""),A77))*(ROW(SCD_Data!$A$3:$A$502)-2))),"—"))</f>
        <v/>
      </c>
      <c r="M77" s="27" t="str">
        <f aca="false">IF(A77="","",IF(H77="—","—",IF(C77&amp;""=H77&amp;"","✓","✗")))</f>
        <v/>
      </c>
      <c r="N77" s="27" t="str">
        <f aca="false">IF(A77="","",IF(H77="—","—",IF(D77&amp;""=I77&amp;"","✓","✗")))</f>
        <v/>
      </c>
      <c r="O77" s="27" t="str">
        <f aca="false">IF(A77="","",IF(H77="—","—",IF(ABS(E77-J77)&lt;0.01,"✓","✗")))</f>
        <v/>
      </c>
      <c r="P77" s="27" t="str">
        <f aca="false">IF(A77="","",IF(H77="—","—",IF(F77&amp;""=K77&amp;"","✓","✗")))</f>
        <v/>
      </c>
      <c r="Q77" s="27" t="str">
        <f aca="false">IF(A77="","",IF(H77="—","—",IF(G77&amp;""=L77&amp;"","✓","✗")))</f>
        <v/>
      </c>
      <c r="R77" s="27" t="str">
        <f aca="false">IF(A77="","",IF(COUNTIF(M77:Q77,"—")=5,"⚠ NO SCD ROW",IF(COUNTIF(M77:Q77,"✗")&gt;0,"❌ MISMATCH","✅ MATCH")))</f>
        <v/>
      </c>
    </row>
    <row r="78" customFormat="false" ht="15" hidden="false" customHeight="true" outlineLevel="0" collapsed="false">
      <c r="A78" s="22" t="str">
        <f aca="false">IF(Daily_Data!A77="","",Daily_Data!A77)</f>
        <v/>
      </c>
      <c r="B78" s="23" t="str">
        <f aca="false">IF(Daily_Data!B77="","",Daily_Data!B77)</f>
        <v/>
      </c>
      <c r="C78" s="23" t="str">
        <f aca="false">IF(A78="","",Daily_Data!C77)</f>
        <v/>
      </c>
      <c r="D78" s="23" t="str">
        <f aca="false">IF(A78="","",Daily_Data!D77)</f>
        <v/>
      </c>
      <c r="E78" s="24" t="str">
        <f aca="false">IF(A78="","",Daily_Data!E77)</f>
        <v/>
      </c>
      <c r="F78" s="23" t="str">
        <f aca="false">IF(A78="","",Daily_Data!F77)</f>
        <v/>
      </c>
      <c r="G78" s="23" t="str">
        <f aca="false">IF(A78="","",Daily_Data!G77)</f>
        <v/>
      </c>
      <c r="H78" s="25" t="str">
        <f aca="false">IF(A78="","",IFERROR(INDEX(SCD_Data!$C$3:$C$502,SUMPRODUCT((SCD_Data!$A$3:$A$502=B78)*(IFERROR(DATEVALUE(SCD_Data!$H$3:$H$502&amp;""),SCD_Data!$H$3:$H$502)&lt;=IFERROR(DATEVALUE(A78&amp;""),A78))*(IFERROR(DATEVALUE(SCD_Data!$I$3:$I$502&amp;""),SCD_Data!$I$3:$I$502)&gt;=IFERROR(DATEVALUE(A78&amp;""),A78))*(ROW(SCD_Data!$A$3:$A$502)-2))),"—"))</f>
        <v/>
      </c>
      <c r="I78" s="25" t="str">
        <f aca="false">IF(A78="","",IFERROR(INDEX(SCD_Data!$D$3:$D$502,SUMPRODUCT((SCD_Data!$A$3:$A$502=B78)*(IFERROR(DATEVALUE(SCD_Data!$H$3:$H$502&amp;""),SCD_Data!$H$3:$H$502)&lt;=IFERROR(DATEVALUE(A78&amp;""),A78))*(IFERROR(DATEVALUE(SCD_Data!$I$3:$I$502&amp;""),SCD_Data!$I$3:$I$502)&gt;=IFERROR(DATEVALUE(A78&amp;""),A78))*(ROW(SCD_Data!$A$3:$A$502)-2))),"—"))</f>
        <v/>
      </c>
      <c r="J78" s="26" t="str">
        <f aca="false">IF(A78="","",IFERROR(INDEX(SCD_Data!$E$3:$E$502,SUMPRODUCT((SCD_Data!$A$3:$A$502=B78)*(IFERROR(DATEVALUE(SCD_Data!$H$3:$H$502&amp;""),SCD_Data!$H$3:$H$502)&lt;=IFERROR(DATEVALUE(A78&amp;""),A78))*(IFERROR(DATEVALUE(SCD_Data!$I$3:$I$502&amp;""),SCD_Data!$I$3:$I$502)&gt;=IFERROR(DATEVALUE(A78&amp;""),A78))*(ROW(SCD_Data!$A$3:$A$502)-2))),"—"))</f>
        <v/>
      </c>
      <c r="K78" s="25" t="str">
        <f aca="false">IF(A78="","",IFERROR(INDEX(SCD_Data!$F$3:$F$502,SUMPRODUCT((SCD_Data!$A$3:$A$502=B78)*(IFERROR(DATEVALUE(SCD_Data!$H$3:$H$502&amp;""),SCD_Data!$H$3:$H$502)&lt;=IFERROR(DATEVALUE(A78&amp;""),A78))*(IFERROR(DATEVALUE(SCD_Data!$I$3:$I$502&amp;""),SCD_Data!$I$3:$I$502)&gt;=IFERROR(DATEVALUE(A78&amp;""),A78))*(ROW(SCD_Data!$A$3:$A$502)-2))),"—"))</f>
        <v/>
      </c>
      <c r="L78" s="25" t="str">
        <f aca="false">IF(A78="","",IFERROR(INDEX(SCD_Data!$G$3:$G$502,SUMPRODUCT((SCD_Data!$A$3:$A$502=B78)*(IFERROR(DATEVALUE(SCD_Data!$H$3:$H$502&amp;""),SCD_Data!$H$3:$H$502)&lt;=IFERROR(DATEVALUE(A78&amp;""),A78))*(IFERROR(DATEVALUE(SCD_Data!$I$3:$I$502&amp;""),SCD_Data!$I$3:$I$502)&gt;=IFERROR(DATEVALUE(A78&amp;""),A78))*(ROW(SCD_Data!$A$3:$A$502)-2))),"—"))</f>
        <v/>
      </c>
      <c r="M78" s="27" t="str">
        <f aca="false">IF(A78="","",IF(H78="—","—",IF(C78&amp;""=H78&amp;"","✓","✗")))</f>
        <v/>
      </c>
      <c r="N78" s="27" t="str">
        <f aca="false">IF(A78="","",IF(H78="—","—",IF(D78&amp;""=I78&amp;"","✓","✗")))</f>
        <v/>
      </c>
      <c r="O78" s="27" t="str">
        <f aca="false">IF(A78="","",IF(H78="—","—",IF(ABS(E78-J78)&lt;0.01,"✓","✗")))</f>
        <v/>
      </c>
      <c r="P78" s="27" t="str">
        <f aca="false">IF(A78="","",IF(H78="—","—",IF(F78&amp;""=K78&amp;"","✓","✗")))</f>
        <v/>
      </c>
      <c r="Q78" s="27" t="str">
        <f aca="false">IF(A78="","",IF(H78="—","—",IF(G78&amp;""=L78&amp;"","✓","✗")))</f>
        <v/>
      </c>
      <c r="R78" s="27" t="str">
        <f aca="false">IF(A78="","",IF(COUNTIF(M78:Q78,"—")=5,"⚠ NO SCD ROW",IF(COUNTIF(M78:Q78,"✗")&gt;0,"❌ MISMATCH","✅ MATCH")))</f>
        <v/>
      </c>
    </row>
    <row r="79" customFormat="false" ht="15" hidden="false" customHeight="true" outlineLevel="0" collapsed="false">
      <c r="A79" s="22" t="str">
        <f aca="false">IF(Daily_Data!A78="","",Daily_Data!A78)</f>
        <v/>
      </c>
      <c r="B79" s="23" t="str">
        <f aca="false">IF(Daily_Data!B78="","",Daily_Data!B78)</f>
        <v/>
      </c>
      <c r="C79" s="23" t="str">
        <f aca="false">IF(A79="","",Daily_Data!C78)</f>
        <v/>
      </c>
      <c r="D79" s="23" t="str">
        <f aca="false">IF(A79="","",Daily_Data!D78)</f>
        <v/>
      </c>
      <c r="E79" s="24" t="str">
        <f aca="false">IF(A79="","",Daily_Data!E78)</f>
        <v/>
      </c>
      <c r="F79" s="23" t="str">
        <f aca="false">IF(A79="","",Daily_Data!F78)</f>
        <v/>
      </c>
      <c r="G79" s="23" t="str">
        <f aca="false">IF(A79="","",Daily_Data!G78)</f>
        <v/>
      </c>
      <c r="H79" s="25" t="str">
        <f aca="false">IF(A79="","",IFERROR(INDEX(SCD_Data!$C$3:$C$502,SUMPRODUCT((SCD_Data!$A$3:$A$502=B79)*(IFERROR(DATEVALUE(SCD_Data!$H$3:$H$502&amp;""),SCD_Data!$H$3:$H$502)&lt;=IFERROR(DATEVALUE(A79&amp;""),A79))*(IFERROR(DATEVALUE(SCD_Data!$I$3:$I$502&amp;""),SCD_Data!$I$3:$I$502)&gt;=IFERROR(DATEVALUE(A79&amp;""),A79))*(ROW(SCD_Data!$A$3:$A$502)-2))),"—"))</f>
        <v/>
      </c>
      <c r="I79" s="25" t="str">
        <f aca="false">IF(A79="","",IFERROR(INDEX(SCD_Data!$D$3:$D$502,SUMPRODUCT((SCD_Data!$A$3:$A$502=B79)*(IFERROR(DATEVALUE(SCD_Data!$H$3:$H$502&amp;""),SCD_Data!$H$3:$H$502)&lt;=IFERROR(DATEVALUE(A79&amp;""),A79))*(IFERROR(DATEVALUE(SCD_Data!$I$3:$I$502&amp;""),SCD_Data!$I$3:$I$502)&gt;=IFERROR(DATEVALUE(A79&amp;""),A79))*(ROW(SCD_Data!$A$3:$A$502)-2))),"—"))</f>
        <v/>
      </c>
      <c r="J79" s="26" t="str">
        <f aca="false">IF(A79="","",IFERROR(INDEX(SCD_Data!$E$3:$E$502,SUMPRODUCT((SCD_Data!$A$3:$A$502=B79)*(IFERROR(DATEVALUE(SCD_Data!$H$3:$H$502&amp;""),SCD_Data!$H$3:$H$502)&lt;=IFERROR(DATEVALUE(A79&amp;""),A79))*(IFERROR(DATEVALUE(SCD_Data!$I$3:$I$502&amp;""),SCD_Data!$I$3:$I$502)&gt;=IFERROR(DATEVALUE(A79&amp;""),A79))*(ROW(SCD_Data!$A$3:$A$502)-2))),"—"))</f>
        <v/>
      </c>
      <c r="K79" s="25" t="str">
        <f aca="false">IF(A79="","",IFERROR(INDEX(SCD_Data!$F$3:$F$502,SUMPRODUCT((SCD_Data!$A$3:$A$502=B79)*(IFERROR(DATEVALUE(SCD_Data!$H$3:$H$502&amp;""),SCD_Data!$H$3:$H$502)&lt;=IFERROR(DATEVALUE(A79&amp;""),A79))*(IFERROR(DATEVALUE(SCD_Data!$I$3:$I$502&amp;""),SCD_Data!$I$3:$I$502)&gt;=IFERROR(DATEVALUE(A79&amp;""),A79))*(ROW(SCD_Data!$A$3:$A$502)-2))),"—"))</f>
        <v/>
      </c>
      <c r="L79" s="25" t="str">
        <f aca="false">IF(A79="","",IFERROR(INDEX(SCD_Data!$G$3:$G$502,SUMPRODUCT((SCD_Data!$A$3:$A$502=B79)*(IFERROR(DATEVALUE(SCD_Data!$H$3:$H$502&amp;""),SCD_Data!$H$3:$H$502)&lt;=IFERROR(DATEVALUE(A79&amp;""),A79))*(IFERROR(DATEVALUE(SCD_Data!$I$3:$I$502&amp;""),SCD_Data!$I$3:$I$502)&gt;=IFERROR(DATEVALUE(A79&amp;""),A79))*(ROW(SCD_Data!$A$3:$A$502)-2))),"—"))</f>
        <v/>
      </c>
      <c r="M79" s="27" t="str">
        <f aca="false">IF(A79="","",IF(H79="—","—",IF(C79&amp;""=H79&amp;"","✓","✗")))</f>
        <v/>
      </c>
      <c r="N79" s="27" t="str">
        <f aca="false">IF(A79="","",IF(H79="—","—",IF(D79&amp;""=I79&amp;"","✓","✗")))</f>
        <v/>
      </c>
      <c r="O79" s="27" t="str">
        <f aca="false">IF(A79="","",IF(H79="—","—",IF(ABS(E79-J79)&lt;0.01,"✓","✗")))</f>
        <v/>
      </c>
      <c r="P79" s="27" t="str">
        <f aca="false">IF(A79="","",IF(H79="—","—",IF(F79&amp;""=K79&amp;"","✓","✗")))</f>
        <v/>
      </c>
      <c r="Q79" s="27" t="str">
        <f aca="false">IF(A79="","",IF(H79="—","—",IF(G79&amp;""=L79&amp;"","✓","✗")))</f>
        <v/>
      </c>
      <c r="R79" s="27" t="str">
        <f aca="false">IF(A79="","",IF(COUNTIF(M79:Q79,"—")=5,"⚠ NO SCD ROW",IF(COUNTIF(M79:Q79,"✗")&gt;0,"❌ MISMATCH","✅ MATCH")))</f>
        <v/>
      </c>
    </row>
    <row r="80" customFormat="false" ht="15" hidden="false" customHeight="true" outlineLevel="0" collapsed="false">
      <c r="A80" s="22" t="str">
        <f aca="false">IF(Daily_Data!A79="","",Daily_Data!A79)</f>
        <v/>
      </c>
      <c r="B80" s="23" t="str">
        <f aca="false">IF(Daily_Data!B79="","",Daily_Data!B79)</f>
        <v/>
      </c>
      <c r="C80" s="23" t="str">
        <f aca="false">IF(A80="","",Daily_Data!C79)</f>
        <v/>
      </c>
      <c r="D80" s="23" t="str">
        <f aca="false">IF(A80="","",Daily_Data!D79)</f>
        <v/>
      </c>
      <c r="E80" s="24" t="str">
        <f aca="false">IF(A80="","",Daily_Data!E79)</f>
        <v/>
      </c>
      <c r="F80" s="23" t="str">
        <f aca="false">IF(A80="","",Daily_Data!F79)</f>
        <v/>
      </c>
      <c r="G80" s="23" t="str">
        <f aca="false">IF(A80="","",Daily_Data!G79)</f>
        <v/>
      </c>
      <c r="H80" s="25" t="str">
        <f aca="false">IF(A80="","",IFERROR(INDEX(SCD_Data!$C$3:$C$502,SUMPRODUCT((SCD_Data!$A$3:$A$502=B80)*(IFERROR(DATEVALUE(SCD_Data!$H$3:$H$502&amp;""),SCD_Data!$H$3:$H$502)&lt;=IFERROR(DATEVALUE(A80&amp;""),A80))*(IFERROR(DATEVALUE(SCD_Data!$I$3:$I$502&amp;""),SCD_Data!$I$3:$I$502)&gt;=IFERROR(DATEVALUE(A80&amp;""),A80))*(ROW(SCD_Data!$A$3:$A$502)-2))),"—"))</f>
        <v/>
      </c>
      <c r="I80" s="25" t="str">
        <f aca="false">IF(A80="","",IFERROR(INDEX(SCD_Data!$D$3:$D$502,SUMPRODUCT((SCD_Data!$A$3:$A$502=B80)*(IFERROR(DATEVALUE(SCD_Data!$H$3:$H$502&amp;""),SCD_Data!$H$3:$H$502)&lt;=IFERROR(DATEVALUE(A80&amp;""),A80))*(IFERROR(DATEVALUE(SCD_Data!$I$3:$I$502&amp;""),SCD_Data!$I$3:$I$502)&gt;=IFERROR(DATEVALUE(A80&amp;""),A80))*(ROW(SCD_Data!$A$3:$A$502)-2))),"—"))</f>
        <v/>
      </c>
      <c r="J80" s="26" t="str">
        <f aca="false">IF(A80="","",IFERROR(INDEX(SCD_Data!$E$3:$E$502,SUMPRODUCT((SCD_Data!$A$3:$A$502=B80)*(IFERROR(DATEVALUE(SCD_Data!$H$3:$H$502&amp;""),SCD_Data!$H$3:$H$502)&lt;=IFERROR(DATEVALUE(A80&amp;""),A80))*(IFERROR(DATEVALUE(SCD_Data!$I$3:$I$502&amp;""),SCD_Data!$I$3:$I$502)&gt;=IFERROR(DATEVALUE(A80&amp;""),A80))*(ROW(SCD_Data!$A$3:$A$502)-2))),"—"))</f>
        <v/>
      </c>
      <c r="K80" s="25" t="str">
        <f aca="false">IF(A80="","",IFERROR(INDEX(SCD_Data!$F$3:$F$502,SUMPRODUCT((SCD_Data!$A$3:$A$502=B80)*(IFERROR(DATEVALUE(SCD_Data!$H$3:$H$502&amp;""),SCD_Data!$H$3:$H$502)&lt;=IFERROR(DATEVALUE(A80&amp;""),A80))*(IFERROR(DATEVALUE(SCD_Data!$I$3:$I$502&amp;""),SCD_Data!$I$3:$I$502)&gt;=IFERROR(DATEVALUE(A80&amp;""),A80))*(ROW(SCD_Data!$A$3:$A$502)-2))),"—"))</f>
        <v/>
      </c>
      <c r="L80" s="25" t="str">
        <f aca="false">IF(A80="","",IFERROR(INDEX(SCD_Data!$G$3:$G$502,SUMPRODUCT((SCD_Data!$A$3:$A$502=B80)*(IFERROR(DATEVALUE(SCD_Data!$H$3:$H$502&amp;""),SCD_Data!$H$3:$H$502)&lt;=IFERROR(DATEVALUE(A80&amp;""),A80))*(IFERROR(DATEVALUE(SCD_Data!$I$3:$I$502&amp;""),SCD_Data!$I$3:$I$502)&gt;=IFERROR(DATEVALUE(A80&amp;""),A80))*(ROW(SCD_Data!$A$3:$A$502)-2))),"—"))</f>
        <v/>
      </c>
      <c r="M80" s="27" t="str">
        <f aca="false">IF(A80="","",IF(H80="—","—",IF(C80&amp;""=H80&amp;"","✓","✗")))</f>
        <v/>
      </c>
      <c r="N80" s="27" t="str">
        <f aca="false">IF(A80="","",IF(H80="—","—",IF(D80&amp;""=I80&amp;"","✓","✗")))</f>
        <v/>
      </c>
      <c r="O80" s="27" t="str">
        <f aca="false">IF(A80="","",IF(H80="—","—",IF(ABS(E80-J80)&lt;0.01,"✓","✗")))</f>
        <v/>
      </c>
      <c r="P80" s="27" t="str">
        <f aca="false">IF(A80="","",IF(H80="—","—",IF(F80&amp;""=K80&amp;"","✓","✗")))</f>
        <v/>
      </c>
      <c r="Q80" s="27" t="str">
        <f aca="false">IF(A80="","",IF(H80="—","—",IF(G80&amp;""=L80&amp;"","✓","✗")))</f>
        <v/>
      </c>
      <c r="R80" s="27" t="str">
        <f aca="false">IF(A80="","",IF(COUNTIF(M80:Q80,"—")=5,"⚠ NO SCD ROW",IF(COUNTIF(M80:Q80,"✗")&gt;0,"❌ MISMATCH","✅ MATCH")))</f>
        <v/>
      </c>
    </row>
    <row r="81" customFormat="false" ht="15" hidden="false" customHeight="true" outlineLevel="0" collapsed="false">
      <c r="A81" s="22" t="str">
        <f aca="false">IF(Daily_Data!A80="","",Daily_Data!A80)</f>
        <v/>
      </c>
      <c r="B81" s="23" t="str">
        <f aca="false">IF(Daily_Data!B80="","",Daily_Data!B80)</f>
        <v/>
      </c>
      <c r="C81" s="23" t="str">
        <f aca="false">IF(A81="","",Daily_Data!C80)</f>
        <v/>
      </c>
      <c r="D81" s="23" t="str">
        <f aca="false">IF(A81="","",Daily_Data!D80)</f>
        <v/>
      </c>
      <c r="E81" s="24" t="str">
        <f aca="false">IF(A81="","",Daily_Data!E80)</f>
        <v/>
      </c>
      <c r="F81" s="23" t="str">
        <f aca="false">IF(A81="","",Daily_Data!F80)</f>
        <v/>
      </c>
      <c r="G81" s="23" t="str">
        <f aca="false">IF(A81="","",Daily_Data!G80)</f>
        <v/>
      </c>
      <c r="H81" s="25" t="str">
        <f aca="false">IF(A81="","",IFERROR(INDEX(SCD_Data!$C$3:$C$502,SUMPRODUCT((SCD_Data!$A$3:$A$502=B81)*(IFERROR(DATEVALUE(SCD_Data!$H$3:$H$502&amp;""),SCD_Data!$H$3:$H$502)&lt;=IFERROR(DATEVALUE(A81&amp;""),A81))*(IFERROR(DATEVALUE(SCD_Data!$I$3:$I$502&amp;""),SCD_Data!$I$3:$I$502)&gt;=IFERROR(DATEVALUE(A81&amp;""),A81))*(ROW(SCD_Data!$A$3:$A$502)-2))),"—"))</f>
        <v/>
      </c>
      <c r="I81" s="25" t="str">
        <f aca="false">IF(A81="","",IFERROR(INDEX(SCD_Data!$D$3:$D$502,SUMPRODUCT((SCD_Data!$A$3:$A$502=B81)*(IFERROR(DATEVALUE(SCD_Data!$H$3:$H$502&amp;""),SCD_Data!$H$3:$H$502)&lt;=IFERROR(DATEVALUE(A81&amp;""),A81))*(IFERROR(DATEVALUE(SCD_Data!$I$3:$I$502&amp;""),SCD_Data!$I$3:$I$502)&gt;=IFERROR(DATEVALUE(A81&amp;""),A81))*(ROW(SCD_Data!$A$3:$A$502)-2))),"—"))</f>
        <v/>
      </c>
      <c r="J81" s="26" t="str">
        <f aca="false">IF(A81="","",IFERROR(INDEX(SCD_Data!$E$3:$E$502,SUMPRODUCT((SCD_Data!$A$3:$A$502=B81)*(IFERROR(DATEVALUE(SCD_Data!$H$3:$H$502&amp;""),SCD_Data!$H$3:$H$502)&lt;=IFERROR(DATEVALUE(A81&amp;""),A81))*(IFERROR(DATEVALUE(SCD_Data!$I$3:$I$502&amp;""),SCD_Data!$I$3:$I$502)&gt;=IFERROR(DATEVALUE(A81&amp;""),A81))*(ROW(SCD_Data!$A$3:$A$502)-2))),"—"))</f>
        <v/>
      </c>
      <c r="K81" s="25" t="str">
        <f aca="false">IF(A81="","",IFERROR(INDEX(SCD_Data!$F$3:$F$502,SUMPRODUCT((SCD_Data!$A$3:$A$502=B81)*(IFERROR(DATEVALUE(SCD_Data!$H$3:$H$502&amp;""),SCD_Data!$H$3:$H$502)&lt;=IFERROR(DATEVALUE(A81&amp;""),A81))*(IFERROR(DATEVALUE(SCD_Data!$I$3:$I$502&amp;""),SCD_Data!$I$3:$I$502)&gt;=IFERROR(DATEVALUE(A81&amp;""),A81))*(ROW(SCD_Data!$A$3:$A$502)-2))),"—"))</f>
        <v/>
      </c>
      <c r="L81" s="25" t="str">
        <f aca="false">IF(A81="","",IFERROR(INDEX(SCD_Data!$G$3:$G$502,SUMPRODUCT((SCD_Data!$A$3:$A$502=B81)*(IFERROR(DATEVALUE(SCD_Data!$H$3:$H$502&amp;""),SCD_Data!$H$3:$H$502)&lt;=IFERROR(DATEVALUE(A81&amp;""),A81))*(IFERROR(DATEVALUE(SCD_Data!$I$3:$I$502&amp;""),SCD_Data!$I$3:$I$502)&gt;=IFERROR(DATEVALUE(A81&amp;""),A81))*(ROW(SCD_Data!$A$3:$A$502)-2))),"—"))</f>
        <v/>
      </c>
      <c r="M81" s="27" t="str">
        <f aca="false">IF(A81="","",IF(H81="—","—",IF(C81&amp;""=H81&amp;"","✓","✗")))</f>
        <v/>
      </c>
      <c r="N81" s="27" t="str">
        <f aca="false">IF(A81="","",IF(H81="—","—",IF(D81&amp;""=I81&amp;"","✓","✗")))</f>
        <v/>
      </c>
      <c r="O81" s="27" t="str">
        <f aca="false">IF(A81="","",IF(H81="—","—",IF(ABS(E81-J81)&lt;0.01,"✓","✗")))</f>
        <v/>
      </c>
      <c r="P81" s="27" t="str">
        <f aca="false">IF(A81="","",IF(H81="—","—",IF(F81&amp;""=K81&amp;"","✓","✗")))</f>
        <v/>
      </c>
      <c r="Q81" s="27" t="str">
        <f aca="false">IF(A81="","",IF(H81="—","—",IF(G81&amp;""=L81&amp;"","✓","✗")))</f>
        <v/>
      </c>
      <c r="R81" s="27" t="str">
        <f aca="false">IF(A81="","",IF(COUNTIF(M81:Q81,"—")=5,"⚠ NO SCD ROW",IF(COUNTIF(M81:Q81,"✗")&gt;0,"❌ MISMATCH","✅ MATCH")))</f>
        <v/>
      </c>
    </row>
    <row r="82" customFormat="false" ht="15" hidden="false" customHeight="true" outlineLevel="0" collapsed="false">
      <c r="A82" s="22" t="str">
        <f aca="false">IF(Daily_Data!A81="","",Daily_Data!A81)</f>
        <v/>
      </c>
      <c r="B82" s="23" t="str">
        <f aca="false">IF(Daily_Data!B81="","",Daily_Data!B81)</f>
        <v/>
      </c>
      <c r="C82" s="23" t="str">
        <f aca="false">IF(A82="","",Daily_Data!C81)</f>
        <v/>
      </c>
      <c r="D82" s="23" t="str">
        <f aca="false">IF(A82="","",Daily_Data!D81)</f>
        <v/>
      </c>
      <c r="E82" s="24" t="str">
        <f aca="false">IF(A82="","",Daily_Data!E81)</f>
        <v/>
      </c>
      <c r="F82" s="23" t="str">
        <f aca="false">IF(A82="","",Daily_Data!F81)</f>
        <v/>
      </c>
      <c r="G82" s="23" t="str">
        <f aca="false">IF(A82="","",Daily_Data!G81)</f>
        <v/>
      </c>
      <c r="H82" s="25" t="str">
        <f aca="false">IF(A82="","",IFERROR(INDEX(SCD_Data!$C$3:$C$502,SUMPRODUCT((SCD_Data!$A$3:$A$502=B82)*(IFERROR(DATEVALUE(SCD_Data!$H$3:$H$502&amp;""),SCD_Data!$H$3:$H$502)&lt;=IFERROR(DATEVALUE(A82&amp;""),A82))*(IFERROR(DATEVALUE(SCD_Data!$I$3:$I$502&amp;""),SCD_Data!$I$3:$I$502)&gt;=IFERROR(DATEVALUE(A82&amp;""),A82))*(ROW(SCD_Data!$A$3:$A$502)-2))),"—"))</f>
        <v/>
      </c>
      <c r="I82" s="25" t="str">
        <f aca="false">IF(A82="","",IFERROR(INDEX(SCD_Data!$D$3:$D$502,SUMPRODUCT((SCD_Data!$A$3:$A$502=B82)*(IFERROR(DATEVALUE(SCD_Data!$H$3:$H$502&amp;""),SCD_Data!$H$3:$H$502)&lt;=IFERROR(DATEVALUE(A82&amp;""),A82))*(IFERROR(DATEVALUE(SCD_Data!$I$3:$I$502&amp;""),SCD_Data!$I$3:$I$502)&gt;=IFERROR(DATEVALUE(A82&amp;""),A82))*(ROW(SCD_Data!$A$3:$A$502)-2))),"—"))</f>
        <v/>
      </c>
      <c r="J82" s="26" t="str">
        <f aca="false">IF(A82="","",IFERROR(INDEX(SCD_Data!$E$3:$E$502,SUMPRODUCT((SCD_Data!$A$3:$A$502=B82)*(IFERROR(DATEVALUE(SCD_Data!$H$3:$H$502&amp;""),SCD_Data!$H$3:$H$502)&lt;=IFERROR(DATEVALUE(A82&amp;""),A82))*(IFERROR(DATEVALUE(SCD_Data!$I$3:$I$502&amp;""),SCD_Data!$I$3:$I$502)&gt;=IFERROR(DATEVALUE(A82&amp;""),A82))*(ROW(SCD_Data!$A$3:$A$502)-2))),"—"))</f>
        <v/>
      </c>
      <c r="K82" s="25" t="str">
        <f aca="false">IF(A82="","",IFERROR(INDEX(SCD_Data!$F$3:$F$502,SUMPRODUCT((SCD_Data!$A$3:$A$502=B82)*(IFERROR(DATEVALUE(SCD_Data!$H$3:$H$502&amp;""),SCD_Data!$H$3:$H$502)&lt;=IFERROR(DATEVALUE(A82&amp;""),A82))*(IFERROR(DATEVALUE(SCD_Data!$I$3:$I$502&amp;""),SCD_Data!$I$3:$I$502)&gt;=IFERROR(DATEVALUE(A82&amp;""),A82))*(ROW(SCD_Data!$A$3:$A$502)-2))),"—"))</f>
        <v/>
      </c>
      <c r="L82" s="25" t="str">
        <f aca="false">IF(A82="","",IFERROR(INDEX(SCD_Data!$G$3:$G$502,SUMPRODUCT((SCD_Data!$A$3:$A$502=B82)*(IFERROR(DATEVALUE(SCD_Data!$H$3:$H$502&amp;""),SCD_Data!$H$3:$H$502)&lt;=IFERROR(DATEVALUE(A82&amp;""),A82))*(IFERROR(DATEVALUE(SCD_Data!$I$3:$I$502&amp;""),SCD_Data!$I$3:$I$502)&gt;=IFERROR(DATEVALUE(A82&amp;""),A82))*(ROW(SCD_Data!$A$3:$A$502)-2))),"—"))</f>
        <v/>
      </c>
      <c r="M82" s="27" t="str">
        <f aca="false">IF(A82="","",IF(H82="—","—",IF(C82&amp;""=H82&amp;"","✓","✗")))</f>
        <v/>
      </c>
      <c r="N82" s="27" t="str">
        <f aca="false">IF(A82="","",IF(H82="—","—",IF(D82&amp;""=I82&amp;"","✓","✗")))</f>
        <v/>
      </c>
      <c r="O82" s="27" t="str">
        <f aca="false">IF(A82="","",IF(H82="—","—",IF(ABS(E82-J82)&lt;0.01,"✓","✗")))</f>
        <v/>
      </c>
      <c r="P82" s="27" t="str">
        <f aca="false">IF(A82="","",IF(H82="—","—",IF(F82&amp;""=K82&amp;"","✓","✗")))</f>
        <v/>
      </c>
      <c r="Q82" s="27" t="str">
        <f aca="false">IF(A82="","",IF(H82="—","—",IF(G82&amp;""=L82&amp;"","✓","✗")))</f>
        <v/>
      </c>
      <c r="R82" s="27" t="str">
        <f aca="false">IF(A82="","",IF(COUNTIF(M82:Q82,"—")=5,"⚠ NO SCD ROW",IF(COUNTIF(M82:Q82,"✗")&gt;0,"❌ MISMATCH","✅ MATCH")))</f>
        <v/>
      </c>
    </row>
    <row r="83" customFormat="false" ht="15" hidden="false" customHeight="true" outlineLevel="0" collapsed="false">
      <c r="A83" s="22" t="str">
        <f aca="false">IF(Daily_Data!A82="","",Daily_Data!A82)</f>
        <v/>
      </c>
      <c r="B83" s="23" t="str">
        <f aca="false">IF(Daily_Data!B82="","",Daily_Data!B82)</f>
        <v/>
      </c>
      <c r="C83" s="23" t="str">
        <f aca="false">IF(A83="","",Daily_Data!C82)</f>
        <v/>
      </c>
      <c r="D83" s="23" t="str">
        <f aca="false">IF(A83="","",Daily_Data!D82)</f>
        <v/>
      </c>
      <c r="E83" s="24" t="str">
        <f aca="false">IF(A83="","",Daily_Data!E82)</f>
        <v/>
      </c>
      <c r="F83" s="23" t="str">
        <f aca="false">IF(A83="","",Daily_Data!F82)</f>
        <v/>
      </c>
      <c r="G83" s="23" t="str">
        <f aca="false">IF(A83="","",Daily_Data!G82)</f>
        <v/>
      </c>
      <c r="H83" s="25" t="str">
        <f aca="false">IF(A83="","",IFERROR(INDEX(SCD_Data!$C$3:$C$502,SUMPRODUCT((SCD_Data!$A$3:$A$502=B83)*(IFERROR(DATEVALUE(SCD_Data!$H$3:$H$502&amp;""),SCD_Data!$H$3:$H$502)&lt;=IFERROR(DATEVALUE(A83&amp;""),A83))*(IFERROR(DATEVALUE(SCD_Data!$I$3:$I$502&amp;""),SCD_Data!$I$3:$I$502)&gt;=IFERROR(DATEVALUE(A83&amp;""),A83))*(ROW(SCD_Data!$A$3:$A$502)-2))),"—"))</f>
        <v/>
      </c>
      <c r="I83" s="25" t="str">
        <f aca="false">IF(A83="","",IFERROR(INDEX(SCD_Data!$D$3:$D$502,SUMPRODUCT((SCD_Data!$A$3:$A$502=B83)*(IFERROR(DATEVALUE(SCD_Data!$H$3:$H$502&amp;""),SCD_Data!$H$3:$H$502)&lt;=IFERROR(DATEVALUE(A83&amp;""),A83))*(IFERROR(DATEVALUE(SCD_Data!$I$3:$I$502&amp;""),SCD_Data!$I$3:$I$502)&gt;=IFERROR(DATEVALUE(A83&amp;""),A83))*(ROW(SCD_Data!$A$3:$A$502)-2))),"—"))</f>
        <v/>
      </c>
      <c r="J83" s="26" t="str">
        <f aca="false">IF(A83="","",IFERROR(INDEX(SCD_Data!$E$3:$E$502,SUMPRODUCT((SCD_Data!$A$3:$A$502=B83)*(IFERROR(DATEVALUE(SCD_Data!$H$3:$H$502&amp;""),SCD_Data!$H$3:$H$502)&lt;=IFERROR(DATEVALUE(A83&amp;""),A83))*(IFERROR(DATEVALUE(SCD_Data!$I$3:$I$502&amp;""),SCD_Data!$I$3:$I$502)&gt;=IFERROR(DATEVALUE(A83&amp;""),A83))*(ROW(SCD_Data!$A$3:$A$502)-2))),"—"))</f>
        <v/>
      </c>
      <c r="K83" s="25" t="str">
        <f aca="false">IF(A83="","",IFERROR(INDEX(SCD_Data!$F$3:$F$502,SUMPRODUCT((SCD_Data!$A$3:$A$502=B83)*(IFERROR(DATEVALUE(SCD_Data!$H$3:$H$502&amp;""),SCD_Data!$H$3:$H$502)&lt;=IFERROR(DATEVALUE(A83&amp;""),A83))*(IFERROR(DATEVALUE(SCD_Data!$I$3:$I$502&amp;""),SCD_Data!$I$3:$I$502)&gt;=IFERROR(DATEVALUE(A83&amp;""),A83))*(ROW(SCD_Data!$A$3:$A$502)-2))),"—"))</f>
        <v/>
      </c>
      <c r="L83" s="25" t="str">
        <f aca="false">IF(A83="","",IFERROR(INDEX(SCD_Data!$G$3:$G$502,SUMPRODUCT((SCD_Data!$A$3:$A$502=B83)*(IFERROR(DATEVALUE(SCD_Data!$H$3:$H$502&amp;""),SCD_Data!$H$3:$H$502)&lt;=IFERROR(DATEVALUE(A83&amp;""),A83))*(IFERROR(DATEVALUE(SCD_Data!$I$3:$I$502&amp;""),SCD_Data!$I$3:$I$502)&gt;=IFERROR(DATEVALUE(A83&amp;""),A83))*(ROW(SCD_Data!$A$3:$A$502)-2))),"—"))</f>
        <v/>
      </c>
      <c r="M83" s="27" t="str">
        <f aca="false">IF(A83="","",IF(H83="—","—",IF(C83&amp;""=H83&amp;"","✓","✗")))</f>
        <v/>
      </c>
      <c r="N83" s="27" t="str">
        <f aca="false">IF(A83="","",IF(H83="—","—",IF(D83&amp;""=I83&amp;"","✓","✗")))</f>
        <v/>
      </c>
      <c r="O83" s="27" t="str">
        <f aca="false">IF(A83="","",IF(H83="—","—",IF(ABS(E83-J83)&lt;0.01,"✓","✗")))</f>
        <v/>
      </c>
      <c r="P83" s="27" t="str">
        <f aca="false">IF(A83="","",IF(H83="—","—",IF(F83&amp;""=K83&amp;"","✓","✗")))</f>
        <v/>
      </c>
      <c r="Q83" s="27" t="str">
        <f aca="false">IF(A83="","",IF(H83="—","—",IF(G83&amp;""=L83&amp;"","✓","✗")))</f>
        <v/>
      </c>
      <c r="R83" s="27" t="str">
        <f aca="false">IF(A83="","",IF(COUNTIF(M83:Q83,"—")=5,"⚠ NO SCD ROW",IF(COUNTIF(M83:Q83,"✗")&gt;0,"❌ MISMATCH","✅ MATCH")))</f>
        <v/>
      </c>
    </row>
    <row r="84" customFormat="false" ht="15" hidden="false" customHeight="true" outlineLevel="0" collapsed="false">
      <c r="A84" s="22" t="str">
        <f aca="false">IF(Daily_Data!A83="","",Daily_Data!A83)</f>
        <v/>
      </c>
      <c r="B84" s="23" t="str">
        <f aca="false">IF(Daily_Data!B83="","",Daily_Data!B83)</f>
        <v/>
      </c>
      <c r="C84" s="23" t="str">
        <f aca="false">IF(A84="","",Daily_Data!C83)</f>
        <v/>
      </c>
      <c r="D84" s="23" t="str">
        <f aca="false">IF(A84="","",Daily_Data!D83)</f>
        <v/>
      </c>
      <c r="E84" s="24" t="str">
        <f aca="false">IF(A84="","",Daily_Data!E83)</f>
        <v/>
      </c>
      <c r="F84" s="23" t="str">
        <f aca="false">IF(A84="","",Daily_Data!F83)</f>
        <v/>
      </c>
      <c r="G84" s="23" t="str">
        <f aca="false">IF(A84="","",Daily_Data!G83)</f>
        <v/>
      </c>
      <c r="H84" s="25" t="str">
        <f aca="false">IF(A84="","",IFERROR(INDEX(SCD_Data!$C$3:$C$502,SUMPRODUCT((SCD_Data!$A$3:$A$502=B84)*(IFERROR(DATEVALUE(SCD_Data!$H$3:$H$502&amp;""),SCD_Data!$H$3:$H$502)&lt;=IFERROR(DATEVALUE(A84&amp;""),A84))*(IFERROR(DATEVALUE(SCD_Data!$I$3:$I$502&amp;""),SCD_Data!$I$3:$I$502)&gt;=IFERROR(DATEVALUE(A84&amp;""),A84))*(ROW(SCD_Data!$A$3:$A$502)-2))),"—"))</f>
        <v/>
      </c>
      <c r="I84" s="25" t="str">
        <f aca="false">IF(A84="","",IFERROR(INDEX(SCD_Data!$D$3:$D$502,SUMPRODUCT((SCD_Data!$A$3:$A$502=B84)*(IFERROR(DATEVALUE(SCD_Data!$H$3:$H$502&amp;""),SCD_Data!$H$3:$H$502)&lt;=IFERROR(DATEVALUE(A84&amp;""),A84))*(IFERROR(DATEVALUE(SCD_Data!$I$3:$I$502&amp;""),SCD_Data!$I$3:$I$502)&gt;=IFERROR(DATEVALUE(A84&amp;""),A84))*(ROW(SCD_Data!$A$3:$A$502)-2))),"—"))</f>
        <v/>
      </c>
      <c r="J84" s="26" t="str">
        <f aca="false">IF(A84="","",IFERROR(INDEX(SCD_Data!$E$3:$E$502,SUMPRODUCT((SCD_Data!$A$3:$A$502=B84)*(IFERROR(DATEVALUE(SCD_Data!$H$3:$H$502&amp;""),SCD_Data!$H$3:$H$502)&lt;=IFERROR(DATEVALUE(A84&amp;""),A84))*(IFERROR(DATEVALUE(SCD_Data!$I$3:$I$502&amp;""),SCD_Data!$I$3:$I$502)&gt;=IFERROR(DATEVALUE(A84&amp;""),A84))*(ROW(SCD_Data!$A$3:$A$502)-2))),"—"))</f>
        <v/>
      </c>
      <c r="K84" s="25" t="str">
        <f aca="false">IF(A84="","",IFERROR(INDEX(SCD_Data!$F$3:$F$502,SUMPRODUCT((SCD_Data!$A$3:$A$502=B84)*(IFERROR(DATEVALUE(SCD_Data!$H$3:$H$502&amp;""),SCD_Data!$H$3:$H$502)&lt;=IFERROR(DATEVALUE(A84&amp;""),A84))*(IFERROR(DATEVALUE(SCD_Data!$I$3:$I$502&amp;""),SCD_Data!$I$3:$I$502)&gt;=IFERROR(DATEVALUE(A84&amp;""),A84))*(ROW(SCD_Data!$A$3:$A$502)-2))),"—"))</f>
        <v/>
      </c>
      <c r="L84" s="25" t="str">
        <f aca="false">IF(A84="","",IFERROR(INDEX(SCD_Data!$G$3:$G$502,SUMPRODUCT((SCD_Data!$A$3:$A$502=B84)*(IFERROR(DATEVALUE(SCD_Data!$H$3:$H$502&amp;""),SCD_Data!$H$3:$H$502)&lt;=IFERROR(DATEVALUE(A84&amp;""),A84))*(IFERROR(DATEVALUE(SCD_Data!$I$3:$I$502&amp;""),SCD_Data!$I$3:$I$502)&gt;=IFERROR(DATEVALUE(A84&amp;""),A84))*(ROW(SCD_Data!$A$3:$A$502)-2))),"—"))</f>
        <v/>
      </c>
      <c r="M84" s="27" t="str">
        <f aca="false">IF(A84="","",IF(H84="—","—",IF(C84&amp;""=H84&amp;"","✓","✗")))</f>
        <v/>
      </c>
      <c r="N84" s="27" t="str">
        <f aca="false">IF(A84="","",IF(H84="—","—",IF(D84&amp;""=I84&amp;"","✓","✗")))</f>
        <v/>
      </c>
      <c r="O84" s="27" t="str">
        <f aca="false">IF(A84="","",IF(H84="—","—",IF(ABS(E84-J84)&lt;0.01,"✓","✗")))</f>
        <v/>
      </c>
      <c r="P84" s="27" t="str">
        <f aca="false">IF(A84="","",IF(H84="—","—",IF(F84&amp;""=K84&amp;"","✓","✗")))</f>
        <v/>
      </c>
      <c r="Q84" s="27" t="str">
        <f aca="false">IF(A84="","",IF(H84="—","—",IF(G84&amp;""=L84&amp;"","✓","✗")))</f>
        <v/>
      </c>
      <c r="R84" s="27" t="str">
        <f aca="false">IF(A84="","",IF(COUNTIF(M84:Q84,"—")=5,"⚠ NO SCD ROW",IF(COUNTIF(M84:Q84,"✗")&gt;0,"❌ MISMATCH","✅ MATCH")))</f>
        <v/>
      </c>
    </row>
    <row r="85" customFormat="false" ht="15" hidden="false" customHeight="true" outlineLevel="0" collapsed="false">
      <c r="A85" s="22" t="str">
        <f aca="false">IF(Daily_Data!A84="","",Daily_Data!A84)</f>
        <v/>
      </c>
      <c r="B85" s="23" t="str">
        <f aca="false">IF(Daily_Data!B84="","",Daily_Data!B84)</f>
        <v/>
      </c>
      <c r="C85" s="23" t="str">
        <f aca="false">IF(A85="","",Daily_Data!C84)</f>
        <v/>
      </c>
      <c r="D85" s="23" t="str">
        <f aca="false">IF(A85="","",Daily_Data!D84)</f>
        <v/>
      </c>
      <c r="E85" s="24" t="str">
        <f aca="false">IF(A85="","",Daily_Data!E84)</f>
        <v/>
      </c>
      <c r="F85" s="23" t="str">
        <f aca="false">IF(A85="","",Daily_Data!F84)</f>
        <v/>
      </c>
      <c r="G85" s="23" t="str">
        <f aca="false">IF(A85="","",Daily_Data!G84)</f>
        <v/>
      </c>
      <c r="H85" s="25" t="str">
        <f aca="false">IF(A85="","",IFERROR(INDEX(SCD_Data!$C$3:$C$502,SUMPRODUCT((SCD_Data!$A$3:$A$502=B85)*(IFERROR(DATEVALUE(SCD_Data!$H$3:$H$502&amp;""),SCD_Data!$H$3:$H$502)&lt;=IFERROR(DATEVALUE(A85&amp;""),A85))*(IFERROR(DATEVALUE(SCD_Data!$I$3:$I$502&amp;""),SCD_Data!$I$3:$I$502)&gt;=IFERROR(DATEVALUE(A85&amp;""),A85))*(ROW(SCD_Data!$A$3:$A$502)-2))),"—"))</f>
        <v/>
      </c>
      <c r="I85" s="25" t="str">
        <f aca="false">IF(A85="","",IFERROR(INDEX(SCD_Data!$D$3:$D$502,SUMPRODUCT((SCD_Data!$A$3:$A$502=B85)*(IFERROR(DATEVALUE(SCD_Data!$H$3:$H$502&amp;""),SCD_Data!$H$3:$H$502)&lt;=IFERROR(DATEVALUE(A85&amp;""),A85))*(IFERROR(DATEVALUE(SCD_Data!$I$3:$I$502&amp;""),SCD_Data!$I$3:$I$502)&gt;=IFERROR(DATEVALUE(A85&amp;""),A85))*(ROW(SCD_Data!$A$3:$A$502)-2))),"—"))</f>
        <v/>
      </c>
      <c r="J85" s="26" t="str">
        <f aca="false">IF(A85="","",IFERROR(INDEX(SCD_Data!$E$3:$E$502,SUMPRODUCT((SCD_Data!$A$3:$A$502=B85)*(IFERROR(DATEVALUE(SCD_Data!$H$3:$H$502&amp;""),SCD_Data!$H$3:$H$502)&lt;=IFERROR(DATEVALUE(A85&amp;""),A85))*(IFERROR(DATEVALUE(SCD_Data!$I$3:$I$502&amp;""),SCD_Data!$I$3:$I$502)&gt;=IFERROR(DATEVALUE(A85&amp;""),A85))*(ROW(SCD_Data!$A$3:$A$502)-2))),"—"))</f>
        <v/>
      </c>
      <c r="K85" s="25" t="str">
        <f aca="false">IF(A85="","",IFERROR(INDEX(SCD_Data!$F$3:$F$502,SUMPRODUCT((SCD_Data!$A$3:$A$502=B85)*(IFERROR(DATEVALUE(SCD_Data!$H$3:$H$502&amp;""),SCD_Data!$H$3:$H$502)&lt;=IFERROR(DATEVALUE(A85&amp;""),A85))*(IFERROR(DATEVALUE(SCD_Data!$I$3:$I$502&amp;""),SCD_Data!$I$3:$I$502)&gt;=IFERROR(DATEVALUE(A85&amp;""),A85))*(ROW(SCD_Data!$A$3:$A$502)-2))),"—"))</f>
        <v/>
      </c>
      <c r="L85" s="25" t="str">
        <f aca="false">IF(A85="","",IFERROR(INDEX(SCD_Data!$G$3:$G$502,SUMPRODUCT((SCD_Data!$A$3:$A$502=B85)*(IFERROR(DATEVALUE(SCD_Data!$H$3:$H$502&amp;""),SCD_Data!$H$3:$H$502)&lt;=IFERROR(DATEVALUE(A85&amp;""),A85))*(IFERROR(DATEVALUE(SCD_Data!$I$3:$I$502&amp;""),SCD_Data!$I$3:$I$502)&gt;=IFERROR(DATEVALUE(A85&amp;""),A85))*(ROW(SCD_Data!$A$3:$A$502)-2))),"—"))</f>
        <v/>
      </c>
      <c r="M85" s="27" t="str">
        <f aca="false">IF(A85="","",IF(H85="—","—",IF(C85&amp;""=H85&amp;"","✓","✗")))</f>
        <v/>
      </c>
      <c r="N85" s="27" t="str">
        <f aca="false">IF(A85="","",IF(H85="—","—",IF(D85&amp;""=I85&amp;"","✓","✗")))</f>
        <v/>
      </c>
      <c r="O85" s="27" t="str">
        <f aca="false">IF(A85="","",IF(H85="—","—",IF(ABS(E85-J85)&lt;0.01,"✓","✗")))</f>
        <v/>
      </c>
      <c r="P85" s="27" t="str">
        <f aca="false">IF(A85="","",IF(H85="—","—",IF(F85&amp;""=K85&amp;"","✓","✗")))</f>
        <v/>
      </c>
      <c r="Q85" s="27" t="str">
        <f aca="false">IF(A85="","",IF(H85="—","—",IF(G85&amp;""=L85&amp;"","✓","✗")))</f>
        <v/>
      </c>
      <c r="R85" s="27" t="str">
        <f aca="false">IF(A85="","",IF(COUNTIF(M85:Q85,"—")=5,"⚠ NO SCD ROW",IF(COUNTIF(M85:Q85,"✗")&gt;0,"❌ MISMATCH","✅ MATCH")))</f>
        <v/>
      </c>
    </row>
    <row r="86" customFormat="false" ht="15" hidden="false" customHeight="true" outlineLevel="0" collapsed="false">
      <c r="A86" s="22" t="str">
        <f aca="false">IF(Daily_Data!A85="","",Daily_Data!A85)</f>
        <v/>
      </c>
      <c r="B86" s="23" t="str">
        <f aca="false">IF(Daily_Data!B85="","",Daily_Data!B85)</f>
        <v/>
      </c>
      <c r="C86" s="23" t="str">
        <f aca="false">IF(A86="","",Daily_Data!C85)</f>
        <v/>
      </c>
      <c r="D86" s="23" t="str">
        <f aca="false">IF(A86="","",Daily_Data!D85)</f>
        <v/>
      </c>
      <c r="E86" s="24" t="str">
        <f aca="false">IF(A86="","",Daily_Data!E85)</f>
        <v/>
      </c>
      <c r="F86" s="23" t="str">
        <f aca="false">IF(A86="","",Daily_Data!F85)</f>
        <v/>
      </c>
      <c r="G86" s="23" t="str">
        <f aca="false">IF(A86="","",Daily_Data!G85)</f>
        <v/>
      </c>
      <c r="H86" s="25" t="str">
        <f aca="false">IF(A86="","",IFERROR(INDEX(SCD_Data!$C$3:$C$502,SUMPRODUCT((SCD_Data!$A$3:$A$502=B86)*(IFERROR(DATEVALUE(SCD_Data!$H$3:$H$502&amp;""),SCD_Data!$H$3:$H$502)&lt;=IFERROR(DATEVALUE(A86&amp;""),A86))*(IFERROR(DATEVALUE(SCD_Data!$I$3:$I$502&amp;""),SCD_Data!$I$3:$I$502)&gt;=IFERROR(DATEVALUE(A86&amp;""),A86))*(ROW(SCD_Data!$A$3:$A$502)-2))),"—"))</f>
        <v/>
      </c>
      <c r="I86" s="25" t="str">
        <f aca="false">IF(A86="","",IFERROR(INDEX(SCD_Data!$D$3:$D$502,SUMPRODUCT((SCD_Data!$A$3:$A$502=B86)*(IFERROR(DATEVALUE(SCD_Data!$H$3:$H$502&amp;""),SCD_Data!$H$3:$H$502)&lt;=IFERROR(DATEVALUE(A86&amp;""),A86))*(IFERROR(DATEVALUE(SCD_Data!$I$3:$I$502&amp;""),SCD_Data!$I$3:$I$502)&gt;=IFERROR(DATEVALUE(A86&amp;""),A86))*(ROW(SCD_Data!$A$3:$A$502)-2))),"—"))</f>
        <v/>
      </c>
      <c r="J86" s="26" t="str">
        <f aca="false">IF(A86="","",IFERROR(INDEX(SCD_Data!$E$3:$E$502,SUMPRODUCT((SCD_Data!$A$3:$A$502=B86)*(IFERROR(DATEVALUE(SCD_Data!$H$3:$H$502&amp;""),SCD_Data!$H$3:$H$502)&lt;=IFERROR(DATEVALUE(A86&amp;""),A86))*(IFERROR(DATEVALUE(SCD_Data!$I$3:$I$502&amp;""),SCD_Data!$I$3:$I$502)&gt;=IFERROR(DATEVALUE(A86&amp;""),A86))*(ROW(SCD_Data!$A$3:$A$502)-2))),"—"))</f>
        <v/>
      </c>
      <c r="K86" s="25" t="str">
        <f aca="false">IF(A86="","",IFERROR(INDEX(SCD_Data!$F$3:$F$502,SUMPRODUCT((SCD_Data!$A$3:$A$502=B86)*(IFERROR(DATEVALUE(SCD_Data!$H$3:$H$502&amp;""),SCD_Data!$H$3:$H$502)&lt;=IFERROR(DATEVALUE(A86&amp;""),A86))*(IFERROR(DATEVALUE(SCD_Data!$I$3:$I$502&amp;""),SCD_Data!$I$3:$I$502)&gt;=IFERROR(DATEVALUE(A86&amp;""),A86))*(ROW(SCD_Data!$A$3:$A$502)-2))),"—"))</f>
        <v/>
      </c>
      <c r="L86" s="25" t="str">
        <f aca="false">IF(A86="","",IFERROR(INDEX(SCD_Data!$G$3:$G$502,SUMPRODUCT((SCD_Data!$A$3:$A$502=B86)*(IFERROR(DATEVALUE(SCD_Data!$H$3:$H$502&amp;""),SCD_Data!$H$3:$H$502)&lt;=IFERROR(DATEVALUE(A86&amp;""),A86))*(IFERROR(DATEVALUE(SCD_Data!$I$3:$I$502&amp;""),SCD_Data!$I$3:$I$502)&gt;=IFERROR(DATEVALUE(A86&amp;""),A86))*(ROW(SCD_Data!$A$3:$A$502)-2))),"—"))</f>
        <v/>
      </c>
      <c r="M86" s="27" t="str">
        <f aca="false">IF(A86="","",IF(H86="—","—",IF(C86&amp;""=H86&amp;"","✓","✗")))</f>
        <v/>
      </c>
      <c r="N86" s="27" t="str">
        <f aca="false">IF(A86="","",IF(H86="—","—",IF(D86&amp;""=I86&amp;"","✓","✗")))</f>
        <v/>
      </c>
      <c r="O86" s="27" t="str">
        <f aca="false">IF(A86="","",IF(H86="—","—",IF(ABS(E86-J86)&lt;0.01,"✓","✗")))</f>
        <v/>
      </c>
      <c r="P86" s="27" t="str">
        <f aca="false">IF(A86="","",IF(H86="—","—",IF(F86&amp;""=K86&amp;"","✓","✗")))</f>
        <v/>
      </c>
      <c r="Q86" s="27" t="str">
        <f aca="false">IF(A86="","",IF(H86="—","—",IF(G86&amp;""=L86&amp;"","✓","✗")))</f>
        <v/>
      </c>
      <c r="R86" s="27" t="str">
        <f aca="false">IF(A86="","",IF(COUNTIF(M86:Q86,"—")=5,"⚠ NO SCD ROW",IF(COUNTIF(M86:Q86,"✗")&gt;0,"❌ MISMATCH","✅ MATCH")))</f>
        <v/>
      </c>
    </row>
    <row r="87" customFormat="false" ht="15" hidden="false" customHeight="true" outlineLevel="0" collapsed="false">
      <c r="A87" s="22" t="str">
        <f aca="false">IF(Daily_Data!A86="","",Daily_Data!A86)</f>
        <v/>
      </c>
      <c r="B87" s="23" t="str">
        <f aca="false">IF(Daily_Data!B86="","",Daily_Data!B86)</f>
        <v/>
      </c>
      <c r="C87" s="23" t="str">
        <f aca="false">IF(A87="","",Daily_Data!C86)</f>
        <v/>
      </c>
      <c r="D87" s="23" t="str">
        <f aca="false">IF(A87="","",Daily_Data!D86)</f>
        <v/>
      </c>
      <c r="E87" s="24" t="str">
        <f aca="false">IF(A87="","",Daily_Data!E86)</f>
        <v/>
      </c>
      <c r="F87" s="23" t="str">
        <f aca="false">IF(A87="","",Daily_Data!F86)</f>
        <v/>
      </c>
      <c r="G87" s="23" t="str">
        <f aca="false">IF(A87="","",Daily_Data!G86)</f>
        <v/>
      </c>
      <c r="H87" s="25" t="str">
        <f aca="false">IF(A87="","",IFERROR(INDEX(SCD_Data!$C$3:$C$502,SUMPRODUCT((SCD_Data!$A$3:$A$502=B87)*(IFERROR(DATEVALUE(SCD_Data!$H$3:$H$502&amp;""),SCD_Data!$H$3:$H$502)&lt;=IFERROR(DATEVALUE(A87&amp;""),A87))*(IFERROR(DATEVALUE(SCD_Data!$I$3:$I$502&amp;""),SCD_Data!$I$3:$I$502)&gt;=IFERROR(DATEVALUE(A87&amp;""),A87))*(ROW(SCD_Data!$A$3:$A$502)-2))),"—"))</f>
        <v/>
      </c>
      <c r="I87" s="25" t="str">
        <f aca="false">IF(A87="","",IFERROR(INDEX(SCD_Data!$D$3:$D$502,SUMPRODUCT((SCD_Data!$A$3:$A$502=B87)*(IFERROR(DATEVALUE(SCD_Data!$H$3:$H$502&amp;""),SCD_Data!$H$3:$H$502)&lt;=IFERROR(DATEVALUE(A87&amp;""),A87))*(IFERROR(DATEVALUE(SCD_Data!$I$3:$I$502&amp;""),SCD_Data!$I$3:$I$502)&gt;=IFERROR(DATEVALUE(A87&amp;""),A87))*(ROW(SCD_Data!$A$3:$A$502)-2))),"—"))</f>
        <v/>
      </c>
      <c r="J87" s="26" t="str">
        <f aca="false">IF(A87="","",IFERROR(INDEX(SCD_Data!$E$3:$E$502,SUMPRODUCT((SCD_Data!$A$3:$A$502=B87)*(IFERROR(DATEVALUE(SCD_Data!$H$3:$H$502&amp;""),SCD_Data!$H$3:$H$502)&lt;=IFERROR(DATEVALUE(A87&amp;""),A87))*(IFERROR(DATEVALUE(SCD_Data!$I$3:$I$502&amp;""),SCD_Data!$I$3:$I$502)&gt;=IFERROR(DATEVALUE(A87&amp;""),A87))*(ROW(SCD_Data!$A$3:$A$502)-2))),"—"))</f>
        <v/>
      </c>
      <c r="K87" s="25" t="str">
        <f aca="false">IF(A87="","",IFERROR(INDEX(SCD_Data!$F$3:$F$502,SUMPRODUCT((SCD_Data!$A$3:$A$502=B87)*(IFERROR(DATEVALUE(SCD_Data!$H$3:$H$502&amp;""),SCD_Data!$H$3:$H$502)&lt;=IFERROR(DATEVALUE(A87&amp;""),A87))*(IFERROR(DATEVALUE(SCD_Data!$I$3:$I$502&amp;""),SCD_Data!$I$3:$I$502)&gt;=IFERROR(DATEVALUE(A87&amp;""),A87))*(ROW(SCD_Data!$A$3:$A$502)-2))),"—"))</f>
        <v/>
      </c>
      <c r="L87" s="25" t="str">
        <f aca="false">IF(A87="","",IFERROR(INDEX(SCD_Data!$G$3:$G$502,SUMPRODUCT((SCD_Data!$A$3:$A$502=B87)*(IFERROR(DATEVALUE(SCD_Data!$H$3:$H$502&amp;""),SCD_Data!$H$3:$H$502)&lt;=IFERROR(DATEVALUE(A87&amp;""),A87))*(IFERROR(DATEVALUE(SCD_Data!$I$3:$I$502&amp;""),SCD_Data!$I$3:$I$502)&gt;=IFERROR(DATEVALUE(A87&amp;""),A87))*(ROW(SCD_Data!$A$3:$A$502)-2))),"—"))</f>
        <v/>
      </c>
      <c r="M87" s="27" t="str">
        <f aca="false">IF(A87="","",IF(H87="—","—",IF(C87&amp;""=H87&amp;"","✓","✗")))</f>
        <v/>
      </c>
      <c r="N87" s="27" t="str">
        <f aca="false">IF(A87="","",IF(H87="—","—",IF(D87&amp;""=I87&amp;"","✓","✗")))</f>
        <v/>
      </c>
      <c r="O87" s="27" t="str">
        <f aca="false">IF(A87="","",IF(H87="—","—",IF(ABS(E87-J87)&lt;0.01,"✓","✗")))</f>
        <v/>
      </c>
      <c r="P87" s="27" t="str">
        <f aca="false">IF(A87="","",IF(H87="—","—",IF(F87&amp;""=K87&amp;"","✓","✗")))</f>
        <v/>
      </c>
      <c r="Q87" s="27" t="str">
        <f aca="false">IF(A87="","",IF(H87="—","—",IF(G87&amp;""=L87&amp;"","✓","✗")))</f>
        <v/>
      </c>
      <c r="R87" s="27" t="str">
        <f aca="false">IF(A87="","",IF(COUNTIF(M87:Q87,"—")=5,"⚠ NO SCD ROW",IF(COUNTIF(M87:Q87,"✗")&gt;0,"❌ MISMATCH","✅ MATCH")))</f>
        <v/>
      </c>
    </row>
    <row r="88" customFormat="false" ht="15" hidden="false" customHeight="true" outlineLevel="0" collapsed="false">
      <c r="A88" s="22" t="str">
        <f aca="false">IF(Daily_Data!A87="","",Daily_Data!A87)</f>
        <v/>
      </c>
      <c r="B88" s="23" t="str">
        <f aca="false">IF(Daily_Data!B87="","",Daily_Data!B87)</f>
        <v/>
      </c>
      <c r="C88" s="23" t="str">
        <f aca="false">IF(A88="","",Daily_Data!C87)</f>
        <v/>
      </c>
      <c r="D88" s="23" t="str">
        <f aca="false">IF(A88="","",Daily_Data!D87)</f>
        <v/>
      </c>
      <c r="E88" s="24" t="str">
        <f aca="false">IF(A88="","",Daily_Data!E87)</f>
        <v/>
      </c>
      <c r="F88" s="23" t="str">
        <f aca="false">IF(A88="","",Daily_Data!F87)</f>
        <v/>
      </c>
      <c r="G88" s="23" t="str">
        <f aca="false">IF(A88="","",Daily_Data!G87)</f>
        <v/>
      </c>
      <c r="H88" s="25" t="str">
        <f aca="false">IF(A88="","",IFERROR(INDEX(SCD_Data!$C$3:$C$502,SUMPRODUCT((SCD_Data!$A$3:$A$502=B88)*(IFERROR(DATEVALUE(SCD_Data!$H$3:$H$502&amp;""),SCD_Data!$H$3:$H$502)&lt;=IFERROR(DATEVALUE(A88&amp;""),A88))*(IFERROR(DATEVALUE(SCD_Data!$I$3:$I$502&amp;""),SCD_Data!$I$3:$I$502)&gt;=IFERROR(DATEVALUE(A88&amp;""),A88))*(ROW(SCD_Data!$A$3:$A$502)-2))),"—"))</f>
        <v/>
      </c>
      <c r="I88" s="25" t="str">
        <f aca="false">IF(A88="","",IFERROR(INDEX(SCD_Data!$D$3:$D$502,SUMPRODUCT((SCD_Data!$A$3:$A$502=B88)*(IFERROR(DATEVALUE(SCD_Data!$H$3:$H$502&amp;""),SCD_Data!$H$3:$H$502)&lt;=IFERROR(DATEVALUE(A88&amp;""),A88))*(IFERROR(DATEVALUE(SCD_Data!$I$3:$I$502&amp;""),SCD_Data!$I$3:$I$502)&gt;=IFERROR(DATEVALUE(A88&amp;""),A88))*(ROW(SCD_Data!$A$3:$A$502)-2))),"—"))</f>
        <v/>
      </c>
      <c r="J88" s="26" t="str">
        <f aca="false">IF(A88="","",IFERROR(INDEX(SCD_Data!$E$3:$E$502,SUMPRODUCT((SCD_Data!$A$3:$A$502=B88)*(IFERROR(DATEVALUE(SCD_Data!$H$3:$H$502&amp;""),SCD_Data!$H$3:$H$502)&lt;=IFERROR(DATEVALUE(A88&amp;""),A88))*(IFERROR(DATEVALUE(SCD_Data!$I$3:$I$502&amp;""),SCD_Data!$I$3:$I$502)&gt;=IFERROR(DATEVALUE(A88&amp;""),A88))*(ROW(SCD_Data!$A$3:$A$502)-2))),"—"))</f>
        <v/>
      </c>
      <c r="K88" s="25" t="str">
        <f aca="false">IF(A88="","",IFERROR(INDEX(SCD_Data!$F$3:$F$502,SUMPRODUCT((SCD_Data!$A$3:$A$502=B88)*(IFERROR(DATEVALUE(SCD_Data!$H$3:$H$502&amp;""),SCD_Data!$H$3:$H$502)&lt;=IFERROR(DATEVALUE(A88&amp;""),A88))*(IFERROR(DATEVALUE(SCD_Data!$I$3:$I$502&amp;""),SCD_Data!$I$3:$I$502)&gt;=IFERROR(DATEVALUE(A88&amp;""),A88))*(ROW(SCD_Data!$A$3:$A$502)-2))),"—"))</f>
        <v/>
      </c>
      <c r="L88" s="25" t="str">
        <f aca="false">IF(A88="","",IFERROR(INDEX(SCD_Data!$G$3:$G$502,SUMPRODUCT((SCD_Data!$A$3:$A$502=B88)*(IFERROR(DATEVALUE(SCD_Data!$H$3:$H$502&amp;""),SCD_Data!$H$3:$H$502)&lt;=IFERROR(DATEVALUE(A88&amp;""),A88))*(IFERROR(DATEVALUE(SCD_Data!$I$3:$I$502&amp;""),SCD_Data!$I$3:$I$502)&gt;=IFERROR(DATEVALUE(A88&amp;""),A88))*(ROW(SCD_Data!$A$3:$A$502)-2))),"—"))</f>
        <v/>
      </c>
      <c r="M88" s="27" t="str">
        <f aca="false">IF(A88="","",IF(H88="—","—",IF(C88&amp;""=H88&amp;"","✓","✗")))</f>
        <v/>
      </c>
      <c r="N88" s="27" t="str">
        <f aca="false">IF(A88="","",IF(H88="—","—",IF(D88&amp;""=I88&amp;"","✓","✗")))</f>
        <v/>
      </c>
      <c r="O88" s="27" t="str">
        <f aca="false">IF(A88="","",IF(H88="—","—",IF(ABS(E88-J88)&lt;0.01,"✓","✗")))</f>
        <v/>
      </c>
      <c r="P88" s="27" t="str">
        <f aca="false">IF(A88="","",IF(H88="—","—",IF(F88&amp;""=K88&amp;"","✓","✗")))</f>
        <v/>
      </c>
      <c r="Q88" s="27" t="str">
        <f aca="false">IF(A88="","",IF(H88="—","—",IF(G88&amp;""=L88&amp;"","✓","✗")))</f>
        <v/>
      </c>
      <c r="R88" s="27" t="str">
        <f aca="false">IF(A88="","",IF(COUNTIF(M88:Q88,"—")=5,"⚠ NO SCD ROW",IF(COUNTIF(M88:Q88,"✗")&gt;0,"❌ MISMATCH","✅ MATCH")))</f>
        <v/>
      </c>
    </row>
    <row r="89" customFormat="false" ht="15" hidden="false" customHeight="true" outlineLevel="0" collapsed="false">
      <c r="A89" s="22" t="str">
        <f aca="false">IF(Daily_Data!A88="","",Daily_Data!A88)</f>
        <v/>
      </c>
      <c r="B89" s="23" t="str">
        <f aca="false">IF(Daily_Data!B88="","",Daily_Data!B88)</f>
        <v/>
      </c>
      <c r="C89" s="23" t="str">
        <f aca="false">IF(A89="","",Daily_Data!C88)</f>
        <v/>
      </c>
      <c r="D89" s="23" t="str">
        <f aca="false">IF(A89="","",Daily_Data!D88)</f>
        <v/>
      </c>
      <c r="E89" s="24" t="str">
        <f aca="false">IF(A89="","",Daily_Data!E88)</f>
        <v/>
      </c>
      <c r="F89" s="23" t="str">
        <f aca="false">IF(A89="","",Daily_Data!F88)</f>
        <v/>
      </c>
      <c r="G89" s="23" t="str">
        <f aca="false">IF(A89="","",Daily_Data!G88)</f>
        <v/>
      </c>
      <c r="H89" s="25" t="str">
        <f aca="false">IF(A89="","",IFERROR(INDEX(SCD_Data!$C$3:$C$502,SUMPRODUCT((SCD_Data!$A$3:$A$502=B89)*(IFERROR(DATEVALUE(SCD_Data!$H$3:$H$502&amp;""),SCD_Data!$H$3:$H$502)&lt;=IFERROR(DATEVALUE(A89&amp;""),A89))*(IFERROR(DATEVALUE(SCD_Data!$I$3:$I$502&amp;""),SCD_Data!$I$3:$I$502)&gt;=IFERROR(DATEVALUE(A89&amp;""),A89))*(ROW(SCD_Data!$A$3:$A$502)-2))),"—"))</f>
        <v/>
      </c>
      <c r="I89" s="25" t="str">
        <f aca="false">IF(A89="","",IFERROR(INDEX(SCD_Data!$D$3:$D$502,SUMPRODUCT((SCD_Data!$A$3:$A$502=B89)*(IFERROR(DATEVALUE(SCD_Data!$H$3:$H$502&amp;""),SCD_Data!$H$3:$H$502)&lt;=IFERROR(DATEVALUE(A89&amp;""),A89))*(IFERROR(DATEVALUE(SCD_Data!$I$3:$I$502&amp;""),SCD_Data!$I$3:$I$502)&gt;=IFERROR(DATEVALUE(A89&amp;""),A89))*(ROW(SCD_Data!$A$3:$A$502)-2))),"—"))</f>
        <v/>
      </c>
      <c r="J89" s="26" t="str">
        <f aca="false">IF(A89="","",IFERROR(INDEX(SCD_Data!$E$3:$E$502,SUMPRODUCT((SCD_Data!$A$3:$A$502=B89)*(IFERROR(DATEVALUE(SCD_Data!$H$3:$H$502&amp;""),SCD_Data!$H$3:$H$502)&lt;=IFERROR(DATEVALUE(A89&amp;""),A89))*(IFERROR(DATEVALUE(SCD_Data!$I$3:$I$502&amp;""),SCD_Data!$I$3:$I$502)&gt;=IFERROR(DATEVALUE(A89&amp;""),A89))*(ROW(SCD_Data!$A$3:$A$502)-2))),"—"))</f>
        <v/>
      </c>
      <c r="K89" s="25" t="str">
        <f aca="false">IF(A89="","",IFERROR(INDEX(SCD_Data!$F$3:$F$502,SUMPRODUCT((SCD_Data!$A$3:$A$502=B89)*(IFERROR(DATEVALUE(SCD_Data!$H$3:$H$502&amp;""),SCD_Data!$H$3:$H$502)&lt;=IFERROR(DATEVALUE(A89&amp;""),A89))*(IFERROR(DATEVALUE(SCD_Data!$I$3:$I$502&amp;""),SCD_Data!$I$3:$I$502)&gt;=IFERROR(DATEVALUE(A89&amp;""),A89))*(ROW(SCD_Data!$A$3:$A$502)-2))),"—"))</f>
        <v/>
      </c>
      <c r="L89" s="25" t="str">
        <f aca="false">IF(A89="","",IFERROR(INDEX(SCD_Data!$G$3:$G$502,SUMPRODUCT((SCD_Data!$A$3:$A$502=B89)*(IFERROR(DATEVALUE(SCD_Data!$H$3:$H$502&amp;""),SCD_Data!$H$3:$H$502)&lt;=IFERROR(DATEVALUE(A89&amp;""),A89))*(IFERROR(DATEVALUE(SCD_Data!$I$3:$I$502&amp;""),SCD_Data!$I$3:$I$502)&gt;=IFERROR(DATEVALUE(A89&amp;""),A89))*(ROW(SCD_Data!$A$3:$A$502)-2))),"—"))</f>
        <v/>
      </c>
      <c r="M89" s="27" t="str">
        <f aca="false">IF(A89="","",IF(H89="—","—",IF(C89&amp;""=H89&amp;"","✓","✗")))</f>
        <v/>
      </c>
      <c r="N89" s="27" t="str">
        <f aca="false">IF(A89="","",IF(H89="—","—",IF(D89&amp;""=I89&amp;"","✓","✗")))</f>
        <v/>
      </c>
      <c r="O89" s="27" t="str">
        <f aca="false">IF(A89="","",IF(H89="—","—",IF(ABS(E89-J89)&lt;0.01,"✓","✗")))</f>
        <v/>
      </c>
      <c r="P89" s="27" t="str">
        <f aca="false">IF(A89="","",IF(H89="—","—",IF(F89&amp;""=K89&amp;"","✓","✗")))</f>
        <v/>
      </c>
      <c r="Q89" s="27" t="str">
        <f aca="false">IF(A89="","",IF(H89="—","—",IF(G89&amp;""=L89&amp;"","✓","✗")))</f>
        <v/>
      </c>
      <c r="R89" s="27" t="str">
        <f aca="false">IF(A89="","",IF(COUNTIF(M89:Q89,"—")=5,"⚠ NO SCD ROW",IF(COUNTIF(M89:Q89,"✗")&gt;0,"❌ MISMATCH","✅ MATCH")))</f>
        <v/>
      </c>
    </row>
    <row r="90" customFormat="false" ht="15" hidden="false" customHeight="true" outlineLevel="0" collapsed="false">
      <c r="A90" s="22" t="str">
        <f aca="false">IF(Daily_Data!A89="","",Daily_Data!A89)</f>
        <v/>
      </c>
      <c r="B90" s="23" t="str">
        <f aca="false">IF(Daily_Data!B89="","",Daily_Data!B89)</f>
        <v/>
      </c>
      <c r="C90" s="23" t="str">
        <f aca="false">IF(A90="","",Daily_Data!C89)</f>
        <v/>
      </c>
      <c r="D90" s="23" t="str">
        <f aca="false">IF(A90="","",Daily_Data!D89)</f>
        <v/>
      </c>
      <c r="E90" s="24" t="str">
        <f aca="false">IF(A90="","",Daily_Data!E89)</f>
        <v/>
      </c>
      <c r="F90" s="23" t="str">
        <f aca="false">IF(A90="","",Daily_Data!F89)</f>
        <v/>
      </c>
      <c r="G90" s="23" t="str">
        <f aca="false">IF(A90="","",Daily_Data!G89)</f>
        <v/>
      </c>
      <c r="H90" s="25" t="str">
        <f aca="false">IF(A90="","",IFERROR(INDEX(SCD_Data!$C$3:$C$502,SUMPRODUCT((SCD_Data!$A$3:$A$502=B90)*(IFERROR(DATEVALUE(SCD_Data!$H$3:$H$502&amp;""),SCD_Data!$H$3:$H$502)&lt;=IFERROR(DATEVALUE(A90&amp;""),A90))*(IFERROR(DATEVALUE(SCD_Data!$I$3:$I$502&amp;""),SCD_Data!$I$3:$I$502)&gt;=IFERROR(DATEVALUE(A90&amp;""),A90))*(ROW(SCD_Data!$A$3:$A$502)-2))),"—"))</f>
        <v/>
      </c>
      <c r="I90" s="25" t="str">
        <f aca="false">IF(A90="","",IFERROR(INDEX(SCD_Data!$D$3:$D$502,SUMPRODUCT((SCD_Data!$A$3:$A$502=B90)*(IFERROR(DATEVALUE(SCD_Data!$H$3:$H$502&amp;""),SCD_Data!$H$3:$H$502)&lt;=IFERROR(DATEVALUE(A90&amp;""),A90))*(IFERROR(DATEVALUE(SCD_Data!$I$3:$I$502&amp;""),SCD_Data!$I$3:$I$502)&gt;=IFERROR(DATEVALUE(A90&amp;""),A90))*(ROW(SCD_Data!$A$3:$A$502)-2))),"—"))</f>
        <v/>
      </c>
      <c r="J90" s="26" t="str">
        <f aca="false">IF(A90="","",IFERROR(INDEX(SCD_Data!$E$3:$E$502,SUMPRODUCT((SCD_Data!$A$3:$A$502=B90)*(IFERROR(DATEVALUE(SCD_Data!$H$3:$H$502&amp;""),SCD_Data!$H$3:$H$502)&lt;=IFERROR(DATEVALUE(A90&amp;""),A90))*(IFERROR(DATEVALUE(SCD_Data!$I$3:$I$502&amp;""),SCD_Data!$I$3:$I$502)&gt;=IFERROR(DATEVALUE(A90&amp;""),A90))*(ROW(SCD_Data!$A$3:$A$502)-2))),"—"))</f>
        <v/>
      </c>
      <c r="K90" s="25" t="str">
        <f aca="false">IF(A90="","",IFERROR(INDEX(SCD_Data!$F$3:$F$502,SUMPRODUCT((SCD_Data!$A$3:$A$502=B90)*(IFERROR(DATEVALUE(SCD_Data!$H$3:$H$502&amp;""),SCD_Data!$H$3:$H$502)&lt;=IFERROR(DATEVALUE(A90&amp;""),A90))*(IFERROR(DATEVALUE(SCD_Data!$I$3:$I$502&amp;""),SCD_Data!$I$3:$I$502)&gt;=IFERROR(DATEVALUE(A90&amp;""),A90))*(ROW(SCD_Data!$A$3:$A$502)-2))),"—"))</f>
        <v/>
      </c>
      <c r="L90" s="25" t="str">
        <f aca="false">IF(A90="","",IFERROR(INDEX(SCD_Data!$G$3:$G$502,SUMPRODUCT((SCD_Data!$A$3:$A$502=B90)*(IFERROR(DATEVALUE(SCD_Data!$H$3:$H$502&amp;""),SCD_Data!$H$3:$H$502)&lt;=IFERROR(DATEVALUE(A90&amp;""),A90))*(IFERROR(DATEVALUE(SCD_Data!$I$3:$I$502&amp;""),SCD_Data!$I$3:$I$502)&gt;=IFERROR(DATEVALUE(A90&amp;""),A90))*(ROW(SCD_Data!$A$3:$A$502)-2))),"—"))</f>
        <v/>
      </c>
      <c r="M90" s="27" t="str">
        <f aca="false">IF(A90="","",IF(H90="—","—",IF(C90&amp;""=H90&amp;"","✓","✗")))</f>
        <v/>
      </c>
      <c r="N90" s="27" t="str">
        <f aca="false">IF(A90="","",IF(H90="—","—",IF(D90&amp;""=I90&amp;"","✓","✗")))</f>
        <v/>
      </c>
      <c r="O90" s="27" t="str">
        <f aca="false">IF(A90="","",IF(H90="—","—",IF(ABS(E90-J90)&lt;0.01,"✓","✗")))</f>
        <v/>
      </c>
      <c r="P90" s="27" t="str">
        <f aca="false">IF(A90="","",IF(H90="—","—",IF(F90&amp;""=K90&amp;"","✓","✗")))</f>
        <v/>
      </c>
      <c r="Q90" s="27" t="str">
        <f aca="false">IF(A90="","",IF(H90="—","—",IF(G90&amp;""=L90&amp;"","✓","✗")))</f>
        <v/>
      </c>
      <c r="R90" s="27" t="str">
        <f aca="false">IF(A90="","",IF(COUNTIF(M90:Q90,"—")=5,"⚠ NO SCD ROW",IF(COUNTIF(M90:Q90,"✗")&gt;0,"❌ MISMATCH","✅ MATCH")))</f>
        <v/>
      </c>
    </row>
    <row r="91" customFormat="false" ht="15" hidden="false" customHeight="true" outlineLevel="0" collapsed="false">
      <c r="A91" s="22" t="str">
        <f aca="false">IF(Daily_Data!A90="","",Daily_Data!A90)</f>
        <v/>
      </c>
      <c r="B91" s="23" t="str">
        <f aca="false">IF(Daily_Data!B90="","",Daily_Data!B90)</f>
        <v/>
      </c>
      <c r="C91" s="23" t="str">
        <f aca="false">IF(A91="","",Daily_Data!C90)</f>
        <v/>
      </c>
      <c r="D91" s="23" t="str">
        <f aca="false">IF(A91="","",Daily_Data!D90)</f>
        <v/>
      </c>
      <c r="E91" s="24" t="str">
        <f aca="false">IF(A91="","",Daily_Data!E90)</f>
        <v/>
      </c>
      <c r="F91" s="23" t="str">
        <f aca="false">IF(A91="","",Daily_Data!F90)</f>
        <v/>
      </c>
      <c r="G91" s="23" t="str">
        <f aca="false">IF(A91="","",Daily_Data!G90)</f>
        <v/>
      </c>
      <c r="H91" s="25" t="str">
        <f aca="false">IF(A91="","",IFERROR(INDEX(SCD_Data!$C$3:$C$502,SUMPRODUCT((SCD_Data!$A$3:$A$502=B91)*(IFERROR(DATEVALUE(SCD_Data!$H$3:$H$502&amp;""),SCD_Data!$H$3:$H$502)&lt;=IFERROR(DATEVALUE(A91&amp;""),A91))*(IFERROR(DATEVALUE(SCD_Data!$I$3:$I$502&amp;""),SCD_Data!$I$3:$I$502)&gt;=IFERROR(DATEVALUE(A91&amp;""),A91))*(ROW(SCD_Data!$A$3:$A$502)-2))),"—"))</f>
        <v/>
      </c>
      <c r="I91" s="25" t="str">
        <f aca="false">IF(A91="","",IFERROR(INDEX(SCD_Data!$D$3:$D$502,SUMPRODUCT((SCD_Data!$A$3:$A$502=B91)*(IFERROR(DATEVALUE(SCD_Data!$H$3:$H$502&amp;""),SCD_Data!$H$3:$H$502)&lt;=IFERROR(DATEVALUE(A91&amp;""),A91))*(IFERROR(DATEVALUE(SCD_Data!$I$3:$I$502&amp;""),SCD_Data!$I$3:$I$502)&gt;=IFERROR(DATEVALUE(A91&amp;""),A91))*(ROW(SCD_Data!$A$3:$A$502)-2))),"—"))</f>
        <v/>
      </c>
      <c r="J91" s="26" t="str">
        <f aca="false">IF(A91="","",IFERROR(INDEX(SCD_Data!$E$3:$E$502,SUMPRODUCT((SCD_Data!$A$3:$A$502=B91)*(IFERROR(DATEVALUE(SCD_Data!$H$3:$H$502&amp;""),SCD_Data!$H$3:$H$502)&lt;=IFERROR(DATEVALUE(A91&amp;""),A91))*(IFERROR(DATEVALUE(SCD_Data!$I$3:$I$502&amp;""),SCD_Data!$I$3:$I$502)&gt;=IFERROR(DATEVALUE(A91&amp;""),A91))*(ROW(SCD_Data!$A$3:$A$502)-2))),"—"))</f>
        <v/>
      </c>
      <c r="K91" s="25" t="str">
        <f aca="false">IF(A91="","",IFERROR(INDEX(SCD_Data!$F$3:$F$502,SUMPRODUCT((SCD_Data!$A$3:$A$502=B91)*(IFERROR(DATEVALUE(SCD_Data!$H$3:$H$502&amp;""),SCD_Data!$H$3:$H$502)&lt;=IFERROR(DATEVALUE(A91&amp;""),A91))*(IFERROR(DATEVALUE(SCD_Data!$I$3:$I$502&amp;""),SCD_Data!$I$3:$I$502)&gt;=IFERROR(DATEVALUE(A91&amp;""),A91))*(ROW(SCD_Data!$A$3:$A$502)-2))),"—"))</f>
        <v/>
      </c>
      <c r="L91" s="25" t="str">
        <f aca="false">IF(A91="","",IFERROR(INDEX(SCD_Data!$G$3:$G$502,SUMPRODUCT((SCD_Data!$A$3:$A$502=B91)*(IFERROR(DATEVALUE(SCD_Data!$H$3:$H$502&amp;""),SCD_Data!$H$3:$H$502)&lt;=IFERROR(DATEVALUE(A91&amp;""),A91))*(IFERROR(DATEVALUE(SCD_Data!$I$3:$I$502&amp;""),SCD_Data!$I$3:$I$502)&gt;=IFERROR(DATEVALUE(A91&amp;""),A91))*(ROW(SCD_Data!$A$3:$A$502)-2))),"—"))</f>
        <v/>
      </c>
      <c r="M91" s="27" t="str">
        <f aca="false">IF(A91="","",IF(H91="—","—",IF(C91&amp;""=H91&amp;"","✓","✗")))</f>
        <v/>
      </c>
      <c r="N91" s="27" t="str">
        <f aca="false">IF(A91="","",IF(H91="—","—",IF(D91&amp;""=I91&amp;"","✓","✗")))</f>
        <v/>
      </c>
      <c r="O91" s="27" t="str">
        <f aca="false">IF(A91="","",IF(H91="—","—",IF(ABS(E91-J91)&lt;0.01,"✓","✗")))</f>
        <v/>
      </c>
      <c r="P91" s="27" t="str">
        <f aca="false">IF(A91="","",IF(H91="—","—",IF(F91&amp;""=K91&amp;"","✓","✗")))</f>
        <v/>
      </c>
      <c r="Q91" s="27" t="str">
        <f aca="false">IF(A91="","",IF(H91="—","—",IF(G91&amp;""=L91&amp;"","✓","✗")))</f>
        <v/>
      </c>
      <c r="R91" s="27" t="str">
        <f aca="false">IF(A91="","",IF(COUNTIF(M91:Q91,"—")=5,"⚠ NO SCD ROW",IF(COUNTIF(M91:Q91,"✗")&gt;0,"❌ MISMATCH","✅ MATCH")))</f>
        <v/>
      </c>
    </row>
    <row r="92" customFormat="false" ht="15" hidden="false" customHeight="true" outlineLevel="0" collapsed="false">
      <c r="A92" s="22" t="str">
        <f aca="false">IF(Daily_Data!A91="","",Daily_Data!A91)</f>
        <v/>
      </c>
      <c r="B92" s="23" t="str">
        <f aca="false">IF(Daily_Data!B91="","",Daily_Data!B91)</f>
        <v/>
      </c>
      <c r="C92" s="23" t="str">
        <f aca="false">IF(A92="","",Daily_Data!C91)</f>
        <v/>
      </c>
      <c r="D92" s="23" t="str">
        <f aca="false">IF(A92="","",Daily_Data!D91)</f>
        <v/>
      </c>
      <c r="E92" s="24" t="str">
        <f aca="false">IF(A92="","",Daily_Data!E91)</f>
        <v/>
      </c>
      <c r="F92" s="23" t="str">
        <f aca="false">IF(A92="","",Daily_Data!F91)</f>
        <v/>
      </c>
      <c r="G92" s="23" t="str">
        <f aca="false">IF(A92="","",Daily_Data!G91)</f>
        <v/>
      </c>
      <c r="H92" s="25" t="str">
        <f aca="false">IF(A92="","",IFERROR(INDEX(SCD_Data!$C$3:$C$502,SUMPRODUCT((SCD_Data!$A$3:$A$502=B92)*(IFERROR(DATEVALUE(SCD_Data!$H$3:$H$502&amp;""),SCD_Data!$H$3:$H$502)&lt;=IFERROR(DATEVALUE(A92&amp;""),A92))*(IFERROR(DATEVALUE(SCD_Data!$I$3:$I$502&amp;""),SCD_Data!$I$3:$I$502)&gt;=IFERROR(DATEVALUE(A92&amp;""),A92))*(ROW(SCD_Data!$A$3:$A$502)-2))),"—"))</f>
        <v/>
      </c>
      <c r="I92" s="25" t="str">
        <f aca="false">IF(A92="","",IFERROR(INDEX(SCD_Data!$D$3:$D$502,SUMPRODUCT((SCD_Data!$A$3:$A$502=B92)*(IFERROR(DATEVALUE(SCD_Data!$H$3:$H$502&amp;""),SCD_Data!$H$3:$H$502)&lt;=IFERROR(DATEVALUE(A92&amp;""),A92))*(IFERROR(DATEVALUE(SCD_Data!$I$3:$I$502&amp;""),SCD_Data!$I$3:$I$502)&gt;=IFERROR(DATEVALUE(A92&amp;""),A92))*(ROW(SCD_Data!$A$3:$A$502)-2))),"—"))</f>
        <v/>
      </c>
      <c r="J92" s="26" t="str">
        <f aca="false">IF(A92="","",IFERROR(INDEX(SCD_Data!$E$3:$E$502,SUMPRODUCT((SCD_Data!$A$3:$A$502=B92)*(IFERROR(DATEVALUE(SCD_Data!$H$3:$H$502&amp;""),SCD_Data!$H$3:$H$502)&lt;=IFERROR(DATEVALUE(A92&amp;""),A92))*(IFERROR(DATEVALUE(SCD_Data!$I$3:$I$502&amp;""),SCD_Data!$I$3:$I$502)&gt;=IFERROR(DATEVALUE(A92&amp;""),A92))*(ROW(SCD_Data!$A$3:$A$502)-2))),"—"))</f>
        <v/>
      </c>
      <c r="K92" s="25" t="str">
        <f aca="false">IF(A92="","",IFERROR(INDEX(SCD_Data!$F$3:$F$502,SUMPRODUCT((SCD_Data!$A$3:$A$502=B92)*(IFERROR(DATEVALUE(SCD_Data!$H$3:$H$502&amp;""),SCD_Data!$H$3:$H$502)&lt;=IFERROR(DATEVALUE(A92&amp;""),A92))*(IFERROR(DATEVALUE(SCD_Data!$I$3:$I$502&amp;""),SCD_Data!$I$3:$I$502)&gt;=IFERROR(DATEVALUE(A92&amp;""),A92))*(ROW(SCD_Data!$A$3:$A$502)-2))),"—"))</f>
        <v/>
      </c>
      <c r="L92" s="25" t="str">
        <f aca="false">IF(A92="","",IFERROR(INDEX(SCD_Data!$G$3:$G$502,SUMPRODUCT((SCD_Data!$A$3:$A$502=B92)*(IFERROR(DATEVALUE(SCD_Data!$H$3:$H$502&amp;""),SCD_Data!$H$3:$H$502)&lt;=IFERROR(DATEVALUE(A92&amp;""),A92))*(IFERROR(DATEVALUE(SCD_Data!$I$3:$I$502&amp;""),SCD_Data!$I$3:$I$502)&gt;=IFERROR(DATEVALUE(A92&amp;""),A92))*(ROW(SCD_Data!$A$3:$A$502)-2))),"—"))</f>
        <v/>
      </c>
      <c r="M92" s="27" t="str">
        <f aca="false">IF(A92="","",IF(H92="—","—",IF(C92&amp;""=H92&amp;"","✓","✗")))</f>
        <v/>
      </c>
      <c r="N92" s="27" t="str">
        <f aca="false">IF(A92="","",IF(H92="—","—",IF(D92&amp;""=I92&amp;"","✓","✗")))</f>
        <v/>
      </c>
      <c r="O92" s="27" t="str">
        <f aca="false">IF(A92="","",IF(H92="—","—",IF(ABS(E92-J92)&lt;0.01,"✓","✗")))</f>
        <v/>
      </c>
      <c r="P92" s="27" t="str">
        <f aca="false">IF(A92="","",IF(H92="—","—",IF(F92&amp;""=K92&amp;"","✓","✗")))</f>
        <v/>
      </c>
      <c r="Q92" s="27" t="str">
        <f aca="false">IF(A92="","",IF(H92="—","—",IF(G92&amp;""=L92&amp;"","✓","✗")))</f>
        <v/>
      </c>
      <c r="R92" s="27" t="str">
        <f aca="false">IF(A92="","",IF(COUNTIF(M92:Q92,"—")=5,"⚠ NO SCD ROW",IF(COUNTIF(M92:Q92,"✗")&gt;0,"❌ MISMATCH","✅ MATCH")))</f>
        <v/>
      </c>
    </row>
    <row r="93" customFormat="false" ht="15" hidden="false" customHeight="true" outlineLevel="0" collapsed="false">
      <c r="A93" s="22" t="str">
        <f aca="false">IF(Daily_Data!A92="","",Daily_Data!A92)</f>
        <v/>
      </c>
      <c r="B93" s="23" t="str">
        <f aca="false">IF(Daily_Data!B92="","",Daily_Data!B92)</f>
        <v/>
      </c>
      <c r="C93" s="23" t="str">
        <f aca="false">IF(A93="","",Daily_Data!C92)</f>
        <v/>
      </c>
      <c r="D93" s="23" t="str">
        <f aca="false">IF(A93="","",Daily_Data!D92)</f>
        <v/>
      </c>
      <c r="E93" s="24" t="str">
        <f aca="false">IF(A93="","",Daily_Data!E92)</f>
        <v/>
      </c>
      <c r="F93" s="23" t="str">
        <f aca="false">IF(A93="","",Daily_Data!F92)</f>
        <v/>
      </c>
      <c r="G93" s="23" t="str">
        <f aca="false">IF(A93="","",Daily_Data!G92)</f>
        <v/>
      </c>
      <c r="H93" s="25" t="str">
        <f aca="false">IF(A93="","",IFERROR(INDEX(SCD_Data!$C$3:$C$502,SUMPRODUCT((SCD_Data!$A$3:$A$502=B93)*(IFERROR(DATEVALUE(SCD_Data!$H$3:$H$502&amp;""),SCD_Data!$H$3:$H$502)&lt;=IFERROR(DATEVALUE(A93&amp;""),A93))*(IFERROR(DATEVALUE(SCD_Data!$I$3:$I$502&amp;""),SCD_Data!$I$3:$I$502)&gt;=IFERROR(DATEVALUE(A93&amp;""),A93))*(ROW(SCD_Data!$A$3:$A$502)-2))),"—"))</f>
        <v/>
      </c>
      <c r="I93" s="25" t="str">
        <f aca="false">IF(A93="","",IFERROR(INDEX(SCD_Data!$D$3:$D$502,SUMPRODUCT((SCD_Data!$A$3:$A$502=B93)*(IFERROR(DATEVALUE(SCD_Data!$H$3:$H$502&amp;""),SCD_Data!$H$3:$H$502)&lt;=IFERROR(DATEVALUE(A93&amp;""),A93))*(IFERROR(DATEVALUE(SCD_Data!$I$3:$I$502&amp;""),SCD_Data!$I$3:$I$502)&gt;=IFERROR(DATEVALUE(A93&amp;""),A93))*(ROW(SCD_Data!$A$3:$A$502)-2))),"—"))</f>
        <v/>
      </c>
      <c r="J93" s="26" t="str">
        <f aca="false">IF(A93="","",IFERROR(INDEX(SCD_Data!$E$3:$E$502,SUMPRODUCT((SCD_Data!$A$3:$A$502=B93)*(IFERROR(DATEVALUE(SCD_Data!$H$3:$H$502&amp;""),SCD_Data!$H$3:$H$502)&lt;=IFERROR(DATEVALUE(A93&amp;""),A93))*(IFERROR(DATEVALUE(SCD_Data!$I$3:$I$502&amp;""),SCD_Data!$I$3:$I$502)&gt;=IFERROR(DATEVALUE(A93&amp;""),A93))*(ROW(SCD_Data!$A$3:$A$502)-2))),"—"))</f>
        <v/>
      </c>
      <c r="K93" s="25" t="str">
        <f aca="false">IF(A93="","",IFERROR(INDEX(SCD_Data!$F$3:$F$502,SUMPRODUCT((SCD_Data!$A$3:$A$502=B93)*(IFERROR(DATEVALUE(SCD_Data!$H$3:$H$502&amp;""),SCD_Data!$H$3:$H$502)&lt;=IFERROR(DATEVALUE(A93&amp;""),A93))*(IFERROR(DATEVALUE(SCD_Data!$I$3:$I$502&amp;""),SCD_Data!$I$3:$I$502)&gt;=IFERROR(DATEVALUE(A93&amp;""),A93))*(ROW(SCD_Data!$A$3:$A$502)-2))),"—"))</f>
        <v/>
      </c>
      <c r="L93" s="25" t="str">
        <f aca="false">IF(A93="","",IFERROR(INDEX(SCD_Data!$G$3:$G$502,SUMPRODUCT((SCD_Data!$A$3:$A$502=B93)*(IFERROR(DATEVALUE(SCD_Data!$H$3:$H$502&amp;""),SCD_Data!$H$3:$H$502)&lt;=IFERROR(DATEVALUE(A93&amp;""),A93))*(IFERROR(DATEVALUE(SCD_Data!$I$3:$I$502&amp;""),SCD_Data!$I$3:$I$502)&gt;=IFERROR(DATEVALUE(A93&amp;""),A93))*(ROW(SCD_Data!$A$3:$A$502)-2))),"—"))</f>
        <v/>
      </c>
      <c r="M93" s="27" t="str">
        <f aca="false">IF(A93="","",IF(H93="—","—",IF(C93&amp;""=H93&amp;"","✓","✗")))</f>
        <v/>
      </c>
      <c r="N93" s="27" t="str">
        <f aca="false">IF(A93="","",IF(H93="—","—",IF(D93&amp;""=I93&amp;"","✓","✗")))</f>
        <v/>
      </c>
      <c r="O93" s="27" t="str">
        <f aca="false">IF(A93="","",IF(H93="—","—",IF(ABS(E93-J93)&lt;0.01,"✓","✗")))</f>
        <v/>
      </c>
      <c r="P93" s="27" t="str">
        <f aca="false">IF(A93="","",IF(H93="—","—",IF(F93&amp;""=K93&amp;"","✓","✗")))</f>
        <v/>
      </c>
      <c r="Q93" s="27" t="str">
        <f aca="false">IF(A93="","",IF(H93="—","—",IF(G93&amp;""=L93&amp;"","✓","✗")))</f>
        <v/>
      </c>
      <c r="R93" s="27" t="str">
        <f aca="false">IF(A93="","",IF(COUNTIF(M93:Q93,"—")=5,"⚠ NO SCD ROW",IF(COUNTIF(M93:Q93,"✗")&gt;0,"❌ MISMATCH","✅ MATCH")))</f>
        <v/>
      </c>
    </row>
    <row r="94" customFormat="false" ht="15" hidden="false" customHeight="true" outlineLevel="0" collapsed="false">
      <c r="A94" s="22" t="str">
        <f aca="false">IF(Daily_Data!A93="","",Daily_Data!A93)</f>
        <v/>
      </c>
      <c r="B94" s="23" t="str">
        <f aca="false">IF(Daily_Data!B93="","",Daily_Data!B93)</f>
        <v/>
      </c>
      <c r="C94" s="23" t="str">
        <f aca="false">IF(A94="","",Daily_Data!C93)</f>
        <v/>
      </c>
      <c r="D94" s="23" t="str">
        <f aca="false">IF(A94="","",Daily_Data!D93)</f>
        <v/>
      </c>
      <c r="E94" s="24" t="str">
        <f aca="false">IF(A94="","",Daily_Data!E93)</f>
        <v/>
      </c>
      <c r="F94" s="23" t="str">
        <f aca="false">IF(A94="","",Daily_Data!F93)</f>
        <v/>
      </c>
      <c r="G94" s="23" t="str">
        <f aca="false">IF(A94="","",Daily_Data!G93)</f>
        <v/>
      </c>
      <c r="H94" s="25" t="str">
        <f aca="false">IF(A94="","",IFERROR(INDEX(SCD_Data!$C$3:$C$502,SUMPRODUCT((SCD_Data!$A$3:$A$502=B94)*(IFERROR(DATEVALUE(SCD_Data!$H$3:$H$502&amp;""),SCD_Data!$H$3:$H$502)&lt;=IFERROR(DATEVALUE(A94&amp;""),A94))*(IFERROR(DATEVALUE(SCD_Data!$I$3:$I$502&amp;""),SCD_Data!$I$3:$I$502)&gt;=IFERROR(DATEVALUE(A94&amp;""),A94))*(ROW(SCD_Data!$A$3:$A$502)-2))),"—"))</f>
        <v/>
      </c>
      <c r="I94" s="25" t="str">
        <f aca="false">IF(A94="","",IFERROR(INDEX(SCD_Data!$D$3:$D$502,SUMPRODUCT((SCD_Data!$A$3:$A$502=B94)*(IFERROR(DATEVALUE(SCD_Data!$H$3:$H$502&amp;""),SCD_Data!$H$3:$H$502)&lt;=IFERROR(DATEVALUE(A94&amp;""),A94))*(IFERROR(DATEVALUE(SCD_Data!$I$3:$I$502&amp;""),SCD_Data!$I$3:$I$502)&gt;=IFERROR(DATEVALUE(A94&amp;""),A94))*(ROW(SCD_Data!$A$3:$A$502)-2))),"—"))</f>
        <v/>
      </c>
      <c r="J94" s="26" t="str">
        <f aca="false">IF(A94="","",IFERROR(INDEX(SCD_Data!$E$3:$E$502,SUMPRODUCT((SCD_Data!$A$3:$A$502=B94)*(IFERROR(DATEVALUE(SCD_Data!$H$3:$H$502&amp;""),SCD_Data!$H$3:$H$502)&lt;=IFERROR(DATEVALUE(A94&amp;""),A94))*(IFERROR(DATEVALUE(SCD_Data!$I$3:$I$502&amp;""),SCD_Data!$I$3:$I$502)&gt;=IFERROR(DATEVALUE(A94&amp;""),A94))*(ROW(SCD_Data!$A$3:$A$502)-2))),"—"))</f>
        <v/>
      </c>
      <c r="K94" s="25" t="str">
        <f aca="false">IF(A94="","",IFERROR(INDEX(SCD_Data!$F$3:$F$502,SUMPRODUCT((SCD_Data!$A$3:$A$502=B94)*(IFERROR(DATEVALUE(SCD_Data!$H$3:$H$502&amp;""),SCD_Data!$H$3:$H$502)&lt;=IFERROR(DATEVALUE(A94&amp;""),A94))*(IFERROR(DATEVALUE(SCD_Data!$I$3:$I$502&amp;""),SCD_Data!$I$3:$I$502)&gt;=IFERROR(DATEVALUE(A94&amp;""),A94))*(ROW(SCD_Data!$A$3:$A$502)-2))),"—"))</f>
        <v/>
      </c>
      <c r="L94" s="25" t="str">
        <f aca="false">IF(A94="","",IFERROR(INDEX(SCD_Data!$G$3:$G$502,SUMPRODUCT((SCD_Data!$A$3:$A$502=B94)*(IFERROR(DATEVALUE(SCD_Data!$H$3:$H$502&amp;""),SCD_Data!$H$3:$H$502)&lt;=IFERROR(DATEVALUE(A94&amp;""),A94))*(IFERROR(DATEVALUE(SCD_Data!$I$3:$I$502&amp;""),SCD_Data!$I$3:$I$502)&gt;=IFERROR(DATEVALUE(A94&amp;""),A94))*(ROW(SCD_Data!$A$3:$A$502)-2))),"—"))</f>
        <v/>
      </c>
      <c r="M94" s="27" t="str">
        <f aca="false">IF(A94="","",IF(H94="—","—",IF(C94&amp;""=H94&amp;"","✓","✗")))</f>
        <v/>
      </c>
      <c r="N94" s="27" t="str">
        <f aca="false">IF(A94="","",IF(H94="—","—",IF(D94&amp;""=I94&amp;"","✓","✗")))</f>
        <v/>
      </c>
      <c r="O94" s="27" t="str">
        <f aca="false">IF(A94="","",IF(H94="—","—",IF(ABS(E94-J94)&lt;0.01,"✓","✗")))</f>
        <v/>
      </c>
      <c r="P94" s="27" t="str">
        <f aca="false">IF(A94="","",IF(H94="—","—",IF(F94&amp;""=K94&amp;"","✓","✗")))</f>
        <v/>
      </c>
      <c r="Q94" s="27" t="str">
        <f aca="false">IF(A94="","",IF(H94="—","—",IF(G94&amp;""=L94&amp;"","✓","✗")))</f>
        <v/>
      </c>
      <c r="R94" s="27" t="str">
        <f aca="false">IF(A94="","",IF(COUNTIF(M94:Q94,"—")=5,"⚠ NO SCD ROW",IF(COUNTIF(M94:Q94,"✗")&gt;0,"❌ MISMATCH","✅ MATCH")))</f>
        <v/>
      </c>
    </row>
    <row r="95" customFormat="false" ht="15" hidden="false" customHeight="true" outlineLevel="0" collapsed="false">
      <c r="A95" s="22" t="str">
        <f aca="false">IF(Daily_Data!A94="","",Daily_Data!A94)</f>
        <v/>
      </c>
      <c r="B95" s="23" t="str">
        <f aca="false">IF(Daily_Data!B94="","",Daily_Data!B94)</f>
        <v/>
      </c>
      <c r="C95" s="23" t="str">
        <f aca="false">IF(A95="","",Daily_Data!C94)</f>
        <v/>
      </c>
      <c r="D95" s="23" t="str">
        <f aca="false">IF(A95="","",Daily_Data!D94)</f>
        <v/>
      </c>
      <c r="E95" s="24" t="str">
        <f aca="false">IF(A95="","",Daily_Data!E94)</f>
        <v/>
      </c>
      <c r="F95" s="23" t="str">
        <f aca="false">IF(A95="","",Daily_Data!F94)</f>
        <v/>
      </c>
      <c r="G95" s="23" t="str">
        <f aca="false">IF(A95="","",Daily_Data!G94)</f>
        <v/>
      </c>
      <c r="H95" s="25" t="str">
        <f aca="false">IF(A95="","",IFERROR(INDEX(SCD_Data!$C$3:$C$502,SUMPRODUCT((SCD_Data!$A$3:$A$502=B95)*(IFERROR(DATEVALUE(SCD_Data!$H$3:$H$502&amp;""),SCD_Data!$H$3:$H$502)&lt;=IFERROR(DATEVALUE(A95&amp;""),A95))*(IFERROR(DATEVALUE(SCD_Data!$I$3:$I$502&amp;""),SCD_Data!$I$3:$I$502)&gt;=IFERROR(DATEVALUE(A95&amp;""),A95))*(ROW(SCD_Data!$A$3:$A$502)-2))),"—"))</f>
        <v/>
      </c>
      <c r="I95" s="25" t="str">
        <f aca="false">IF(A95="","",IFERROR(INDEX(SCD_Data!$D$3:$D$502,SUMPRODUCT((SCD_Data!$A$3:$A$502=B95)*(IFERROR(DATEVALUE(SCD_Data!$H$3:$H$502&amp;""),SCD_Data!$H$3:$H$502)&lt;=IFERROR(DATEVALUE(A95&amp;""),A95))*(IFERROR(DATEVALUE(SCD_Data!$I$3:$I$502&amp;""),SCD_Data!$I$3:$I$502)&gt;=IFERROR(DATEVALUE(A95&amp;""),A95))*(ROW(SCD_Data!$A$3:$A$502)-2))),"—"))</f>
        <v/>
      </c>
      <c r="J95" s="26" t="str">
        <f aca="false">IF(A95="","",IFERROR(INDEX(SCD_Data!$E$3:$E$502,SUMPRODUCT((SCD_Data!$A$3:$A$502=B95)*(IFERROR(DATEVALUE(SCD_Data!$H$3:$H$502&amp;""),SCD_Data!$H$3:$H$502)&lt;=IFERROR(DATEVALUE(A95&amp;""),A95))*(IFERROR(DATEVALUE(SCD_Data!$I$3:$I$502&amp;""),SCD_Data!$I$3:$I$502)&gt;=IFERROR(DATEVALUE(A95&amp;""),A95))*(ROW(SCD_Data!$A$3:$A$502)-2))),"—"))</f>
        <v/>
      </c>
      <c r="K95" s="25" t="str">
        <f aca="false">IF(A95="","",IFERROR(INDEX(SCD_Data!$F$3:$F$502,SUMPRODUCT((SCD_Data!$A$3:$A$502=B95)*(IFERROR(DATEVALUE(SCD_Data!$H$3:$H$502&amp;""),SCD_Data!$H$3:$H$502)&lt;=IFERROR(DATEVALUE(A95&amp;""),A95))*(IFERROR(DATEVALUE(SCD_Data!$I$3:$I$502&amp;""),SCD_Data!$I$3:$I$502)&gt;=IFERROR(DATEVALUE(A95&amp;""),A95))*(ROW(SCD_Data!$A$3:$A$502)-2))),"—"))</f>
        <v/>
      </c>
      <c r="L95" s="25" t="str">
        <f aca="false">IF(A95="","",IFERROR(INDEX(SCD_Data!$G$3:$G$502,SUMPRODUCT((SCD_Data!$A$3:$A$502=B95)*(IFERROR(DATEVALUE(SCD_Data!$H$3:$H$502&amp;""),SCD_Data!$H$3:$H$502)&lt;=IFERROR(DATEVALUE(A95&amp;""),A95))*(IFERROR(DATEVALUE(SCD_Data!$I$3:$I$502&amp;""),SCD_Data!$I$3:$I$502)&gt;=IFERROR(DATEVALUE(A95&amp;""),A95))*(ROW(SCD_Data!$A$3:$A$502)-2))),"—"))</f>
        <v/>
      </c>
      <c r="M95" s="27" t="str">
        <f aca="false">IF(A95="","",IF(H95="—","—",IF(C95&amp;""=H95&amp;"","✓","✗")))</f>
        <v/>
      </c>
      <c r="N95" s="27" t="str">
        <f aca="false">IF(A95="","",IF(H95="—","—",IF(D95&amp;""=I95&amp;"","✓","✗")))</f>
        <v/>
      </c>
      <c r="O95" s="27" t="str">
        <f aca="false">IF(A95="","",IF(H95="—","—",IF(ABS(E95-J95)&lt;0.01,"✓","✗")))</f>
        <v/>
      </c>
      <c r="P95" s="27" t="str">
        <f aca="false">IF(A95="","",IF(H95="—","—",IF(F95&amp;""=K95&amp;"","✓","✗")))</f>
        <v/>
      </c>
      <c r="Q95" s="27" t="str">
        <f aca="false">IF(A95="","",IF(H95="—","—",IF(G95&amp;""=L95&amp;"","✓","✗")))</f>
        <v/>
      </c>
      <c r="R95" s="27" t="str">
        <f aca="false">IF(A95="","",IF(COUNTIF(M95:Q95,"—")=5,"⚠ NO SCD ROW",IF(COUNTIF(M95:Q95,"✗")&gt;0,"❌ MISMATCH","✅ MATCH")))</f>
        <v/>
      </c>
    </row>
    <row r="96" customFormat="false" ht="15" hidden="false" customHeight="true" outlineLevel="0" collapsed="false">
      <c r="A96" s="22" t="str">
        <f aca="false">IF(Daily_Data!A95="","",Daily_Data!A95)</f>
        <v/>
      </c>
      <c r="B96" s="23" t="str">
        <f aca="false">IF(Daily_Data!B95="","",Daily_Data!B95)</f>
        <v/>
      </c>
      <c r="C96" s="23" t="str">
        <f aca="false">IF(A96="","",Daily_Data!C95)</f>
        <v/>
      </c>
      <c r="D96" s="23" t="str">
        <f aca="false">IF(A96="","",Daily_Data!D95)</f>
        <v/>
      </c>
      <c r="E96" s="24" t="str">
        <f aca="false">IF(A96="","",Daily_Data!E95)</f>
        <v/>
      </c>
      <c r="F96" s="23" t="str">
        <f aca="false">IF(A96="","",Daily_Data!F95)</f>
        <v/>
      </c>
      <c r="G96" s="23" t="str">
        <f aca="false">IF(A96="","",Daily_Data!G95)</f>
        <v/>
      </c>
      <c r="H96" s="25" t="str">
        <f aca="false">IF(A96="","",IFERROR(INDEX(SCD_Data!$C$3:$C$502,SUMPRODUCT((SCD_Data!$A$3:$A$502=B96)*(IFERROR(DATEVALUE(SCD_Data!$H$3:$H$502&amp;""),SCD_Data!$H$3:$H$502)&lt;=IFERROR(DATEVALUE(A96&amp;""),A96))*(IFERROR(DATEVALUE(SCD_Data!$I$3:$I$502&amp;""),SCD_Data!$I$3:$I$502)&gt;=IFERROR(DATEVALUE(A96&amp;""),A96))*(ROW(SCD_Data!$A$3:$A$502)-2))),"—"))</f>
        <v/>
      </c>
      <c r="I96" s="25" t="str">
        <f aca="false">IF(A96="","",IFERROR(INDEX(SCD_Data!$D$3:$D$502,SUMPRODUCT((SCD_Data!$A$3:$A$502=B96)*(IFERROR(DATEVALUE(SCD_Data!$H$3:$H$502&amp;""),SCD_Data!$H$3:$H$502)&lt;=IFERROR(DATEVALUE(A96&amp;""),A96))*(IFERROR(DATEVALUE(SCD_Data!$I$3:$I$502&amp;""),SCD_Data!$I$3:$I$502)&gt;=IFERROR(DATEVALUE(A96&amp;""),A96))*(ROW(SCD_Data!$A$3:$A$502)-2))),"—"))</f>
        <v/>
      </c>
      <c r="J96" s="26" t="str">
        <f aca="false">IF(A96="","",IFERROR(INDEX(SCD_Data!$E$3:$E$502,SUMPRODUCT((SCD_Data!$A$3:$A$502=B96)*(IFERROR(DATEVALUE(SCD_Data!$H$3:$H$502&amp;""),SCD_Data!$H$3:$H$502)&lt;=IFERROR(DATEVALUE(A96&amp;""),A96))*(IFERROR(DATEVALUE(SCD_Data!$I$3:$I$502&amp;""),SCD_Data!$I$3:$I$502)&gt;=IFERROR(DATEVALUE(A96&amp;""),A96))*(ROW(SCD_Data!$A$3:$A$502)-2))),"—"))</f>
        <v/>
      </c>
      <c r="K96" s="25" t="str">
        <f aca="false">IF(A96="","",IFERROR(INDEX(SCD_Data!$F$3:$F$502,SUMPRODUCT((SCD_Data!$A$3:$A$502=B96)*(IFERROR(DATEVALUE(SCD_Data!$H$3:$H$502&amp;""),SCD_Data!$H$3:$H$502)&lt;=IFERROR(DATEVALUE(A96&amp;""),A96))*(IFERROR(DATEVALUE(SCD_Data!$I$3:$I$502&amp;""),SCD_Data!$I$3:$I$502)&gt;=IFERROR(DATEVALUE(A96&amp;""),A96))*(ROW(SCD_Data!$A$3:$A$502)-2))),"—"))</f>
        <v/>
      </c>
      <c r="L96" s="25" t="str">
        <f aca="false">IF(A96="","",IFERROR(INDEX(SCD_Data!$G$3:$G$502,SUMPRODUCT((SCD_Data!$A$3:$A$502=B96)*(IFERROR(DATEVALUE(SCD_Data!$H$3:$H$502&amp;""),SCD_Data!$H$3:$H$502)&lt;=IFERROR(DATEVALUE(A96&amp;""),A96))*(IFERROR(DATEVALUE(SCD_Data!$I$3:$I$502&amp;""),SCD_Data!$I$3:$I$502)&gt;=IFERROR(DATEVALUE(A96&amp;""),A96))*(ROW(SCD_Data!$A$3:$A$502)-2))),"—"))</f>
        <v/>
      </c>
      <c r="M96" s="27" t="str">
        <f aca="false">IF(A96="","",IF(H96="—","—",IF(C96&amp;""=H96&amp;"","✓","✗")))</f>
        <v/>
      </c>
      <c r="N96" s="27" t="str">
        <f aca="false">IF(A96="","",IF(H96="—","—",IF(D96&amp;""=I96&amp;"","✓","✗")))</f>
        <v/>
      </c>
      <c r="O96" s="27" t="str">
        <f aca="false">IF(A96="","",IF(H96="—","—",IF(ABS(E96-J96)&lt;0.01,"✓","✗")))</f>
        <v/>
      </c>
      <c r="P96" s="27" t="str">
        <f aca="false">IF(A96="","",IF(H96="—","—",IF(F96&amp;""=K96&amp;"","✓","✗")))</f>
        <v/>
      </c>
      <c r="Q96" s="27" t="str">
        <f aca="false">IF(A96="","",IF(H96="—","—",IF(G96&amp;""=L96&amp;"","✓","✗")))</f>
        <v/>
      </c>
      <c r="R96" s="27" t="str">
        <f aca="false">IF(A96="","",IF(COUNTIF(M96:Q96,"—")=5,"⚠ NO SCD ROW",IF(COUNTIF(M96:Q96,"✗")&gt;0,"❌ MISMATCH","✅ MATCH")))</f>
        <v/>
      </c>
    </row>
    <row r="97" customFormat="false" ht="15" hidden="false" customHeight="true" outlineLevel="0" collapsed="false">
      <c r="A97" s="22" t="str">
        <f aca="false">IF(Daily_Data!A96="","",Daily_Data!A96)</f>
        <v/>
      </c>
      <c r="B97" s="23" t="str">
        <f aca="false">IF(Daily_Data!B96="","",Daily_Data!B96)</f>
        <v/>
      </c>
      <c r="C97" s="23" t="str">
        <f aca="false">IF(A97="","",Daily_Data!C96)</f>
        <v/>
      </c>
      <c r="D97" s="23" t="str">
        <f aca="false">IF(A97="","",Daily_Data!D96)</f>
        <v/>
      </c>
      <c r="E97" s="24" t="str">
        <f aca="false">IF(A97="","",Daily_Data!E96)</f>
        <v/>
      </c>
      <c r="F97" s="23" t="str">
        <f aca="false">IF(A97="","",Daily_Data!F96)</f>
        <v/>
      </c>
      <c r="G97" s="23" t="str">
        <f aca="false">IF(A97="","",Daily_Data!G96)</f>
        <v/>
      </c>
      <c r="H97" s="25" t="str">
        <f aca="false">IF(A97="","",IFERROR(INDEX(SCD_Data!$C$3:$C$502,SUMPRODUCT((SCD_Data!$A$3:$A$502=B97)*(IFERROR(DATEVALUE(SCD_Data!$H$3:$H$502&amp;""),SCD_Data!$H$3:$H$502)&lt;=IFERROR(DATEVALUE(A97&amp;""),A97))*(IFERROR(DATEVALUE(SCD_Data!$I$3:$I$502&amp;""),SCD_Data!$I$3:$I$502)&gt;=IFERROR(DATEVALUE(A97&amp;""),A97))*(ROW(SCD_Data!$A$3:$A$502)-2))),"—"))</f>
        <v/>
      </c>
      <c r="I97" s="25" t="str">
        <f aca="false">IF(A97="","",IFERROR(INDEX(SCD_Data!$D$3:$D$502,SUMPRODUCT((SCD_Data!$A$3:$A$502=B97)*(IFERROR(DATEVALUE(SCD_Data!$H$3:$H$502&amp;""),SCD_Data!$H$3:$H$502)&lt;=IFERROR(DATEVALUE(A97&amp;""),A97))*(IFERROR(DATEVALUE(SCD_Data!$I$3:$I$502&amp;""),SCD_Data!$I$3:$I$502)&gt;=IFERROR(DATEVALUE(A97&amp;""),A97))*(ROW(SCD_Data!$A$3:$A$502)-2))),"—"))</f>
        <v/>
      </c>
      <c r="J97" s="26" t="str">
        <f aca="false">IF(A97="","",IFERROR(INDEX(SCD_Data!$E$3:$E$502,SUMPRODUCT((SCD_Data!$A$3:$A$502=B97)*(IFERROR(DATEVALUE(SCD_Data!$H$3:$H$502&amp;""),SCD_Data!$H$3:$H$502)&lt;=IFERROR(DATEVALUE(A97&amp;""),A97))*(IFERROR(DATEVALUE(SCD_Data!$I$3:$I$502&amp;""),SCD_Data!$I$3:$I$502)&gt;=IFERROR(DATEVALUE(A97&amp;""),A97))*(ROW(SCD_Data!$A$3:$A$502)-2))),"—"))</f>
        <v/>
      </c>
      <c r="K97" s="25" t="str">
        <f aca="false">IF(A97="","",IFERROR(INDEX(SCD_Data!$F$3:$F$502,SUMPRODUCT((SCD_Data!$A$3:$A$502=B97)*(IFERROR(DATEVALUE(SCD_Data!$H$3:$H$502&amp;""),SCD_Data!$H$3:$H$502)&lt;=IFERROR(DATEVALUE(A97&amp;""),A97))*(IFERROR(DATEVALUE(SCD_Data!$I$3:$I$502&amp;""),SCD_Data!$I$3:$I$502)&gt;=IFERROR(DATEVALUE(A97&amp;""),A97))*(ROW(SCD_Data!$A$3:$A$502)-2))),"—"))</f>
        <v/>
      </c>
      <c r="L97" s="25" t="str">
        <f aca="false">IF(A97="","",IFERROR(INDEX(SCD_Data!$G$3:$G$502,SUMPRODUCT((SCD_Data!$A$3:$A$502=B97)*(IFERROR(DATEVALUE(SCD_Data!$H$3:$H$502&amp;""),SCD_Data!$H$3:$H$502)&lt;=IFERROR(DATEVALUE(A97&amp;""),A97))*(IFERROR(DATEVALUE(SCD_Data!$I$3:$I$502&amp;""),SCD_Data!$I$3:$I$502)&gt;=IFERROR(DATEVALUE(A97&amp;""),A97))*(ROW(SCD_Data!$A$3:$A$502)-2))),"—"))</f>
        <v/>
      </c>
      <c r="M97" s="27" t="str">
        <f aca="false">IF(A97="","",IF(H97="—","—",IF(C97&amp;""=H97&amp;"","✓","✗")))</f>
        <v/>
      </c>
      <c r="N97" s="27" t="str">
        <f aca="false">IF(A97="","",IF(H97="—","—",IF(D97&amp;""=I97&amp;"","✓","✗")))</f>
        <v/>
      </c>
      <c r="O97" s="27" t="str">
        <f aca="false">IF(A97="","",IF(H97="—","—",IF(ABS(E97-J97)&lt;0.01,"✓","✗")))</f>
        <v/>
      </c>
      <c r="P97" s="27" t="str">
        <f aca="false">IF(A97="","",IF(H97="—","—",IF(F97&amp;""=K97&amp;"","✓","✗")))</f>
        <v/>
      </c>
      <c r="Q97" s="27" t="str">
        <f aca="false">IF(A97="","",IF(H97="—","—",IF(G97&amp;""=L97&amp;"","✓","✗")))</f>
        <v/>
      </c>
      <c r="R97" s="27" t="str">
        <f aca="false">IF(A97="","",IF(COUNTIF(M97:Q97,"—")=5,"⚠ NO SCD ROW",IF(COUNTIF(M97:Q97,"✗")&gt;0,"❌ MISMATCH","✅ MATCH")))</f>
        <v/>
      </c>
    </row>
    <row r="98" customFormat="false" ht="15" hidden="false" customHeight="true" outlineLevel="0" collapsed="false">
      <c r="A98" s="22" t="str">
        <f aca="false">IF(Daily_Data!A97="","",Daily_Data!A97)</f>
        <v/>
      </c>
      <c r="B98" s="23" t="str">
        <f aca="false">IF(Daily_Data!B97="","",Daily_Data!B97)</f>
        <v/>
      </c>
      <c r="C98" s="23" t="str">
        <f aca="false">IF(A98="","",Daily_Data!C97)</f>
        <v/>
      </c>
      <c r="D98" s="23" t="str">
        <f aca="false">IF(A98="","",Daily_Data!D97)</f>
        <v/>
      </c>
      <c r="E98" s="24" t="str">
        <f aca="false">IF(A98="","",Daily_Data!E97)</f>
        <v/>
      </c>
      <c r="F98" s="23" t="str">
        <f aca="false">IF(A98="","",Daily_Data!F97)</f>
        <v/>
      </c>
      <c r="G98" s="23" t="str">
        <f aca="false">IF(A98="","",Daily_Data!G97)</f>
        <v/>
      </c>
      <c r="H98" s="25" t="str">
        <f aca="false">IF(A98="","",IFERROR(INDEX(SCD_Data!$C$3:$C$502,SUMPRODUCT((SCD_Data!$A$3:$A$502=B98)*(IFERROR(DATEVALUE(SCD_Data!$H$3:$H$502&amp;""),SCD_Data!$H$3:$H$502)&lt;=IFERROR(DATEVALUE(A98&amp;""),A98))*(IFERROR(DATEVALUE(SCD_Data!$I$3:$I$502&amp;""),SCD_Data!$I$3:$I$502)&gt;=IFERROR(DATEVALUE(A98&amp;""),A98))*(ROW(SCD_Data!$A$3:$A$502)-2))),"—"))</f>
        <v/>
      </c>
      <c r="I98" s="25" t="str">
        <f aca="false">IF(A98="","",IFERROR(INDEX(SCD_Data!$D$3:$D$502,SUMPRODUCT((SCD_Data!$A$3:$A$502=B98)*(IFERROR(DATEVALUE(SCD_Data!$H$3:$H$502&amp;""),SCD_Data!$H$3:$H$502)&lt;=IFERROR(DATEVALUE(A98&amp;""),A98))*(IFERROR(DATEVALUE(SCD_Data!$I$3:$I$502&amp;""),SCD_Data!$I$3:$I$502)&gt;=IFERROR(DATEVALUE(A98&amp;""),A98))*(ROW(SCD_Data!$A$3:$A$502)-2))),"—"))</f>
        <v/>
      </c>
      <c r="J98" s="26" t="str">
        <f aca="false">IF(A98="","",IFERROR(INDEX(SCD_Data!$E$3:$E$502,SUMPRODUCT((SCD_Data!$A$3:$A$502=B98)*(IFERROR(DATEVALUE(SCD_Data!$H$3:$H$502&amp;""),SCD_Data!$H$3:$H$502)&lt;=IFERROR(DATEVALUE(A98&amp;""),A98))*(IFERROR(DATEVALUE(SCD_Data!$I$3:$I$502&amp;""),SCD_Data!$I$3:$I$502)&gt;=IFERROR(DATEVALUE(A98&amp;""),A98))*(ROW(SCD_Data!$A$3:$A$502)-2))),"—"))</f>
        <v/>
      </c>
      <c r="K98" s="25" t="str">
        <f aca="false">IF(A98="","",IFERROR(INDEX(SCD_Data!$F$3:$F$502,SUMPRODUCT((SCD_Data!$A$3:$A$502=B98)*(IFERROR(DATEVALUE(SCD_Data!$H$3:$H$502&amp;""),SCD_Data!$H$3:$H$502)&lt;=IFERROR(DATEVALUE(A98&amp;""),A98))*(IFERROR(DATEVALUE(SCD_Data!$I$3:$I$502&amp;""),SCD_Data!$I$3:$I$502)&gt;=IFERROR(DATEVALUE(A98&amp;""),A98))*(ROW(SCD_Data!$A$3:$A$502)-2))),"—"))</f>
        <v/>
      </c>
      <c r="L98" s="25" t="str">
        <f aca="false">IF(A98="","",IFERROR(INDEX(SCD_Data!$G$3:$G$502,SUMPRODUCT((SCD_Data!$A$3:$A$502=B98)*(IFERROR(DATEVALUE(SCD_Data!$H$3:$H$502&amp;""),SCD_Data!$H$3:$H$502)&lt;=IFERROR(DATEVALUE(A98&amp;""),A98))*(IFERROR(DATEVALUE(SCD_Data!$I$3:$I$502&amp;""),SCD_Data!$I$3:$I$502)&gt;=IFERROR(DATEVALUE(A98&amp;""),A98))*(ROW(SCD_Data!$A$3:$A$502)-2))),"—"))</f>
        <v/>
      </c>
      <c r="M98" s="27" t="str">
        <f aca="false">IF(A98="","",IF(H98="—","—",IF(C98&amp;""=H98&amp;"","✓","✗")))</f>
        <v/>
      </c>
      <c r="N98" s="27" t="str">
        <f aca="false">IF(A98="","",IF(H98="—","—",IF(D98&amp;""=I98&amp;"","✓","✗")))</f>
        <v/>
      </c>
      <c r="O98" s="27" t="str">
        <f aca="false">IF(A98="","",IF(H98="—","—",IF(ABS(E98-J98)&lt;0.01,"✓","✗")))</f>
        <v/>
      </c>
      <c r="P98" s="27" t="str">
        <f aca="false">IF(A98="","",IF(H98="—","—",IF(F98&amp;""=K98&amp;"","✓","✗")))</f>
        <v/>
      </c>
      <c r="Q98" s="27" t="str">
        <f aca="false">IF(A98="","",IF(H98="—","—",IF(G98&amp;""=L98&amp;"","✓","✗")))</f>
        <v/>
      </c>
      <c r="R98" s="27" t="str">
        <f aca="false">IF(A98="","",IF(COUNTIF(M98:Q98,"—")=5,"⚠ NO SCD ROW",IF(COUNTIF(M98:Q98,"✗")&gt;0,"❌ MISMATCH","✅ MATCH")))</f>
        <v/>
      </c>
    </row>
    <row r="99" customFormat="false" ht="15" hidden="false" customHeight="true" outlineLevel="0" collapsed="false">
      <c r="A99" s="22" t="str">
        <f aca="false">IF(Daily_Data!A98="","",Daily_Data!A98)</f>
        <v/>
      </c>
      <c r="B99" s="23" t="str">
        <f aca="false">IF(Daily_Data!B98="","",Daily_Data!B98)</f>
        <v/>
      </c>
      <c r="C99" s="23" t="str">
        <f aca="false">IF(A99="","",Daily_Data!C98)</f>
        <v/>
      </c>
      <c r="D99" s="23" t="str">
        <f aca="false">IF(A99="","",Daily_Data!D98)</f>
        <v/>
      </c>
      <c r="E99" s="24" t="str">
        <f aca="false">IF(A99="","",Daily_Data!E98)</f>
        <v/>
      </c>
      <c r="F99" s="23" t="str">
        <f aca="false">IF(A99="","",Daily_Data!F98)</f>
        <v/>
      </c>
      <c r="G99" s="23" t="str">
        <f aca="false">IF(A99="","",Daily_Data!G98)</f>
        <v/>
      </c>
      <c r="H99" s="25" t="str">
        <f aca="false">IF(A99="","",IFERROR(INDEX(SCD_Data!$C$3:$C$502,SUMPRODUCT((SCD_Data!$A$3:$A$502=B99)*(IFERROR(DATEVALUE(SCD_Data!$H$3:$H$502&amp;""),SCD_Data!$H$3:$H$502)&lt;=IFERROR(DATEVALUE(A99&amp;""),A99))*(IFERROR(DATEVALUE(SCD_Data!$I$3:$I$502&amp;""),SCD_Data!$I$3:$I$502)&gt;=IFERROR(DATEVALUE(A99&amp;""),A99))*(ROW(SCD_Data!$A$3:$A$502)-2))),"—"))</f>
        <v/>
      </c>
      <c r="I99" s="25" t="str">
        <f aca="false">IF(A99="","",IFERROR(INDEX(SCD_Data!$D$3:$D$502,SUMPRODUCT((SCD_Data!$A$3:$A$502=B99)*(IFERROR(DATEVALUE(SCD_Data!$H$3:$H$502&amp;""),SCD_Data!$H$3:$H$502)&lt;=IFERROR(DATEVALUE(A99&amp;""),A99))*(IFERROR(DATEVALUE(SCD_Data!$I$3:$I$502&amp;""),SCD_Data!$I$3:$I$502)&gt;=IFERROR(DATEVALUE(A99&amp;""),A99))*(ROW(SCD_Data!$A$3:$A$502)-2))),"—"))</f>
        <v/>
      </c>
      <c r="J99" s="26" t="str">
        <f aca="false">IF(A99="","",IFERROR(INDEX(SCD_Data!$E$3:$E$502,SUMPRODUCT((SCD_Data!$A$3:$A$502=B99)*(IFERROR(DATEVALUE(SCD_Data!$H$3:$H$502&amp;""),SCD_Data!$H$3:$H$502)&lt;=IFERROR(DATEVALUE(A99&amp;""),A99))*(IFERROR(DATEVALUE(SCD_Data!$I$3:$I$502&amp;""),SCD_Data!$I$3:$I$502)&gt;=IFERROR(DATEVALUE(A99&amp;""),A99))*(ROW(SCD_Data!$A$3:$A$502)-2))),"—"))</f>
        <v/>
      </c>
      <c r="K99" s="25" t="str">
        <f aca="false">IF(A99="","",IFERROR(INDEX(SCD_Data!$F$3:$F$502,SUMPRODUCT((SCD_Data!$A$3:$A$502=B99)*(IFERROR(DATEVALUE(SCD_Data!$H$3:$H$502&amp;""),SCD_Data!$H$3:$H$502)&lt;=IFERROR(DATEVALUE(A99&amp;""),A99))*(IFERROR(DATEVALUE(SCD_Data!$I$3:$I$502&amp;""),SCD_Data!$I$3:$I$502)&gt;=IFERROR(DATEVALUE(A99&amp;""),A99))*(ROW(SCD_Data!$A$3:$A$502)-2))),"—"))</f>
        <v/>
      </c>
      <c r="L99" s="25" t="str">
        <f aca="false">IF(A99="","",IFERROR(INDEX(SCD_Data!$G$3:$G$502,SUMPRODUCT((SCD_Data!$A$3:$A$502=B99)*(IFERROR(DATEVALUE(SCD_Data!$H$3:$H$502&amp;""),SCD_Data!$H$3:$H$502)&lt;=IFERROR(DATEVALUE(A99&amp;""),A99))*(IFERROR(DATEVALUE(SCD_Data!$I$3:$I$502&amp;""),SCD_Data!$I$3:$I$502)&gt;=IFERROR(DATEVALUE(A99&amp;""),A99))*(ROW(SCD_Data!$A$3:$A$502)-2))),"—"))</f>
        <v/>
      </c>
      <c r="M99" s="27" t="str">
        <f aca="false">IF(A99="","",IF(H99="—","—",IF(C99&amp;""=H99&amp;"","✓","✗")))</f>
        <v/>
      </c>
      <c r="N99" s="27" t="str">
        <f aca="false">IF(A99="","",IF(H99="—","—",IF(D99&amp;""=I99&amp;"","✓","✗")))</f>
        <v/>
      </c>
      <c r="O99" s="27" t="str">
        <f aca="false">IF(A99="","",IF(H99="—","—",IF(ABS(E99-J99)&lt;0.01,"✓","✗")))</f>
        <v/>
      </c>
      <c r="P99" s="27" t="str">
        <f aca="false">IF(A99="","",IF(H99="—","—",IF(F99&amp;""=K99&amp;"","✓","✗")))</f>
        <v/>
      </c>
      <c r="Q99" s="27" t="str">
        <f aca="false">IF(A99="","",IF(H99="—","—",IF(G99&amp;""=L99&amp;"","✓","✗")))</f>
        <v/>
      </c>
      <c r="R99" s="27" t="str">
        <f aca="false">IF(A99="","",IF(COUNTIF(M99:Q99,"—")=5,"⚠ NO SCD ROW",IF(COUNTIF(M99:Q99,"✗")&gt;0,"❌ MISMATCH","✅ MATCH")))</f>
        <v/>
      </c>
    </row>
    <row r="100" customFormat="false" ht="15" hidden="false" customHeight="true" outlineLevel="0" collapsed="false">
      <c r="A100" s="22" t="str">
        <f aca="false">IF(Daily_Data!A99="","",Daily_Data!A99)</f>
        <v/>
      </c>
      <c r="B100" s="23" t="str">
        <f aca="false">IF(Daily_Data!B99="","",Daily_Data!B99)</f>
        <v/>
      </c>
      <c r="C100" s="23" t="str">
        <f aca="false">IF(A100="","",Daily_Data!C99)</f>
        <v/>
      </c>
      <c r="D100" s="23" t="str">
        <f aca="false">IF(A100="","",Daily_Data!D99)</f>
        <v/>
      </c>
      <c r="E100" s="24" t="str">
        <f aca="false">IF(A100="","",Daily_Data!E99)</f>
        <v/>
      </c>
      <c r="F100" s="23" t="str">
        <f aca="false">IF(A100="","",Daily_Data!F99)</f>
        <v/>
      </c>
      <c r="G100" s="23" t="str">
        <f aca="false">IF(A100="","",Daily_Data!G99)</f>
        <v/>
      </c>
      <c r="H100" s="25" t="str">
        <f aca="false">IF(A100="","",IFERROR(INDEX(SCD_Data!$C$3:$C$502,SUMPRODUCT((SCD_Data!$A$3:$A$502=B100)*(IFERROR(DATEVALUE(SCD_Data!$H$3:$H$502&amp;""),SCD_Data!$H$3:$H$502)&lt;=IFERROR(DATEVALUE(A100&amp;""),A100))*(IFERROR(DATEVALUE(SCD_Data!$I$3:$I$502&amp;""),SCD_Data!$I$3:$I$502)&gt;=IFERROR(DATEVALUE(A100&amp;""),A100))*(ROW(SCD_Data!$A$3:$A$502)-2))),"—"))</f>
        <v/>
      </c>
      <c r="I100" s="25" t="str">
        <f aca="false">IF(A100="","",IFERROR(INDEX(SCD_Data!$D$3:$D$502,SUMPRODUCT((SCD_Data!$A$3:$A$502=B100)*(IFERROR(DATEVALUE(SCD_Data!$H$3:$H$502&amp;""),SCD_Data!$H$3:$H$502)&lt;=IFERROR(DATEVALUE(A100&amp;""),A100))*(IFERROR(DATEVALUE(SCD_Data!$I$3:$I$502&amp;""),SCD_Data!$I$3:$I$502)&gt;=IFERROR(DATEVALUE(A100&amp;""),A100))*(ROW(SCD_Data!$A$3:$A$502)-2))),"—"))</f>
        <v/>
      </c>
      <c r="J100" s="26" t="str">
        <f aca="false">IF(A100="","",IFERROR(INDEX(SCD_Data!$E$3:$E$502,SUMPRODUCT((SCD_Data!$A$3:$A$502=B100)*(IFERROR(DATEVALUE(SCD_Data!$H$3:$H$502&amp;""),SCD_Data!$H$3:$H$502)&lt;=IFERROR(DATEVALUE(A100&amp;""),A100))*(IFERROR(DATEVALUE(SCD_Data!$I$3:$I$502&amp;""),SCD_Data!$I$3:$I$502)&gt;=IFERROR(DATEVALUE(A100&amp;""),A100))*(ROW(SCD_Data!$A$3:$A$502)-2))),"—"))</f>
        <v/>
      </c>
      <c r="K100" s="25" t="str">
        <f aca="false">IF(A100="","",IFERROR(INDEX(SCD_Data!$F$3:$F$502,SUMPRODUCT((SCD_Data!$A$3:$A$502=B100)*(IFERROR(DATEVALUE(SCD_Data!$H$3:$H$502&amp;""),SCD_Data!$H$3:$H$502)&lt;=IFERROR(DATEVALUE(A100&amp;""),A100))*(IFERROR(DATEVALUE(SCD_Data!$I$3:$I$502&amp;""),SCD_Data!$I$3:$I$502)&gt;=IFERROR(DATEVALUE(A100&amp;""),A100))*(ROW(SCD_Data!$A$3:$A$502)-2))),"—"))</f>
        <v/>
      </c>
      <c r="L100" s="25" t="str">
        <f aca="false">IF(A100="","",IFERROR(INDEX(SCD_Data!$G$3:$G$502,SUMPRODUCT((SCD_Data!$A$3:$A$502=B100)*(IFERROR(DATEVALUE(SCD_Data!$H$3:$H$502&amp;""),SCD_Data!$H$3:$H$502)&lt;=IFERROR(DATEVALUE(A100&amp;""),A100))*(IFERROR(DATEVALUE(SCD_Data!$I$3:$I$502&amp;""),SCD_Data!$I$3:$I$502)&gt;=IFERROR(DATEVALUE(A100&amp;""),A100))*(ROW(SCD_Data!$A$3:$A$502)-2))),"—"))</f>
        <v/>
      </c>
      <c r="M100" s="27" t="str">
        <f aca="false">IF(A100="","",IF(H100="—","—",IF(C100&amp;""=H100&amp;"","✓","✗")))</f>
        <v/>
      </c>
      <c r="N100" s="27" t="str">
        <f aca="false">IF(A100="","",IF(H100="—","—",IF(D100&amp;""=I100&amp;"","✓","✗")))</f>
        <v/>
      </c>
      <c r="O100" s="27" t="str">
        <f aca="false">IF(A100="","",IF(H100="—","—",IF(ABS(E100-J100)&lt;0.01,"✓","✗")))</f>
        <v/>
      </c>
      <c r="P100" s="27" t="str">
        <f aca="false">IF(A100="","",IF(H100="—","—",IF(F100&amp;""=K100&amp;"","✓","✗")))</f>
        <v/>
      </c>
      <c r="Q100" s="27" t="str">
        <f aca="false">IF(A100="","",IF(H100="—","—",IF(G100&amp;""=L100&amp;"","✓","✗")))</f>
        <v/>
      </c>
      <c r="R100" s="27" t="str">
        <f aca="false">IF(A100="","",IF(COUNTIF(M100:Q100,"—")=5,"⚠ NO SCD ROW",IF(COUNTIF(M100:Q100,"✗")&gt;0,"❌ MISMATCH","✅ MATCH")))</f>
        <v/>
      </c>
    </row>
    <row r="101" customFormat="false" ht="15" hidden="false" customHeight="true" outlineLevel="0" collapsed="false">
      <c r="A101" s="22" t="str">
        <f aca="false">IF(Daily_Data!A100="","",Daily_Data!A100)</f>
        <v/>
      </c>
      <c r="B101" s="23" t="str">
        <f aca="false">IF(Daily_Data!B100="","",Daily_Data!B100)</f>
        <v/>
      </c>
      <c r="C101" s="23" t="str">
        <f aca="false">IF(A101="","",Daily_Data!C100)</f>
        <v/>
      </c>
      <c r="D101" s="23" t="str">
        <f aca="false">IF(A101="","",Daily_Data!D100)</f>
        <v/>
      </c>
      <c r="E101" s="24" t="str">
        <f aca="false">IF(A101="","",Daily_Data!E100)</f>
        <v/>
      </c>
      <c r="F101" s="23" t="str">
        <f aca="false">IF(A101="","",Daily_Data!F100)</f>
        <v/>
      </c>
      <c r="G101" s="23" t="str">
        <f aca="false">IF(A101="","",Daily_Data!G100)</f>
        <v/>
      </c>
      <c r="H101" s="25" t="str">
        <f aca="false">IF(A101="","",IFERROR(INDEX(SCD_Data!$C$3:$C$502,SUMPRODUCT((SCD_Data!$A$3:$A$502=B101)*(IFERROR(DATEVALUE(SCD_Data!$H$3:$H$502&amp;""),SCD_Data!$H$3:$H$502)&lt;=IFERROR(DATEVALUE(A101&amp;""),A101))*(IFERROR(DATEVALUE(SCD_Data!$I$3:$I$502&amp;""),SCD_Data!$I$3:$I$502)&gt;=IFERROR(DATEVALUE(A101&amp;""),A101))*(ROW(SCD_Data!$A$3:$A$502)-2))),"—"))</f>
        <v/>
      </c>
      <c r="I101" s="25" t="str">
        <f aca="false">IF(A101="","",IFERROR(INDEX(SCD_Data!$D$3:$D$502,SUMPRODUCT((SCD_Data!$A$3:$A$502=B101)*(IFERROR(DATEVALUE(SCD_Data!$H$3:$H$502&amp;""),SCD_Data!$H$3:$H$502)&lt;=IFERROR(DATEVALUE(A101&amp;""),A101))*(IFERROR(DATEVALUE(SCD_Data!$I$3:$I$502&amp;""),SCD_Data!$I$3:$I$502)&gt;=IFERROR(DATEVALUE(A101&amp;""),A101))*(ROW(SCD_Data!$A$3:$A$502)-2))),"—"))</f>
        <v/>
      </c>
      <c r="J101" s="26" t="str">
        <f aca="false">IF(A101="","",IFERROR(INDEX(SCD_Data!$E$3:$E$502,SUMPRODUCT((SCD_Data!$A$3:$A$502=B101)*(IFERROR(DATEVALUE(SCD_Data!$H$3:$H$502&amp;""),SCD_Data!$H$3:$H$502)&lt;=IFERROR(DATEVALUE(A101&amp;""),A101))*(IFERROR(DATEVALUE(SCD_Data!$I$3:$I$502&amp;""),SCD_Data!$I$3:$I$502)&gt;=IFERROR(DATEVALUE(A101&amp;""),A101))*(ROW(SCD_Data!$A$3:$A$502)-2))),"—"))</f>
        <v/>
      </c>
      <c r="K101" s="25" t="str">
        <f aca="false">IF(A101="","",IFERROR(INDEX(SCD_Data!$F$3:$F$502,SUMPRODUCT((SCD_Data!$A$3:$A$502=B101)*(IFERROR(DATEVALUE(SCD_Data!$H$3:$H$502&amp;""),SCD_Data!$H$3:$H$502)&lt;=IFERROR(DATEVALUE(A101&amp;""),A101))*(IFERROR(DATEVALUE(SCD_Data!$I$3:$I$502&amp;""),SCD_Data!$I$3:$I$502)&gt;=IFERROR(DATEVALUE(A101&amp;""),A101))*(ROW(SCD_Data!$A$3:$A$502)-2))),"—"))</f>
        <v/>
      </c>
      <c r="L101" s="25" t="str">
        <f aca="false">IF(A101="","",IFERROR(INDEX(SCD_Data!$G$3:$G$502,SUMPRODUCT((SCD_Data!$A$3:$A$502=B101)*(IFERROR(DATEVALUE(SCD_Data!$H$3:$H$502&amp;""),SCD_Data!$H$3:$H$502)&lt;=IFERROR(DATEVALUE(A101&amp;""),A101))*(IFERROR(DATEVALUE(SCD_Data!$I$3:$I$502&amp;""),SCD_Data!$I$3:$I$502)&gt;=IFERROR(DATEVALUE(A101&amp;""),A101))*(ROW(SCD_Data!$A$3:$A$502)-2))),"—"))</f>
        <v/>
      </c>
      <c r="M101" s="27" t="str">
        <f aca="false">IF(A101="","",IF(H101="—","—",IF(C101&amp;""=H101&amp;"","✓","✗")))</f>
        <v/>
      </c>
      <c r="N101" s="27" t="str">
        <f aca="false">IF(A101="","",IF(H101="—","—",IF(D101&amp;""=I101&amp;"","✓","✗")))</f>
        <v/>
      </c>
      <c r="O101" s="27" t="str">
        <f aca="false">IF(A101="","",IF(H101="—","—",IF(ABS(E101-J101)&lt;0.01,"✓","✗")))</f>
        <v/>
      </c>
      <c r="P101" s="27" t="str">
        <f aca="false">IF(A101="","",IF(H101="—","—",IF(F101&amp;""=K101&amp;"","✓","✗")))</f>
        <v/>
      </c>
      <c r="Q101" s="27" t="str">
        <f aca="false">IF(A101="","",IF(H101="—","—",IF(G101&amp;""=L101&amp;"","✓","✗")))</f>
        <v/>
      </c>
      <c r="R101" s="27" t="str">
        <f aca="false">IF(A101="","",IF(COUNTIF(M101:Q101,"—")=5,"⚠ NO SCD ROW",IF(COUNTIF(M101:Q101,"✗")&gt;0,"❌ MISMATCH","✅ MATCH")))</f>
        <v/>
      </c>
    </row>
    <row r="102" customFormat="false" ht="15" hidden="false" customHeight="true" outlineLevel="0" collapsed="false">
      <c r="A102" s="22" t="str">
        <f aca="false">IF(Daily_Data!A101="","",Daily_Data!A101)</f>
        <v/>
      </c>
      <c r="B102" s="23" t="str">
        <f aca="false">IF(Daily_Data!B101="","",Daily_Data!B101)</f>
        <v/>
      </c>
      <c r="C102" s="23" t="str">
        <f aca="false">IF(A102="","",Daily_Data!C101)</f>
        <v/>
      </c>
      <c r="D102" s="23" t="str">
        <f aca="false">IF(A102="","",Daily_Data!D101)</f>
        <v/>
      </c>
      <c r="E102" s="24" t="str">
        <f aca="false">IF(A102="","",Daily_Data!E101)</f>
        <v/>
      </c>
      <c r="F102" s="23" t="str">
        <f aca="false">IF(A102="","",Daily_Data!F101)</f>
        <v/>
      </c>
      <c r="G102" s="23" t="str">
        <f aca="false">IF(A102="","",Daily_Data!G101)</f>
        <v/>
      </c>
      <c r="H102" s="25" t="str">
        <f aca="false">IF(A102="","",IFERROR(INDEX(SCD_Data!$C$3:$C$502,SUMPRODUCT((SCD_Data!$A$3:$A$502=B102)*(IFERROR(DATEVALUE(SCD_Data!$H$3:$H$502&amp;""),SCD_Data!$H$3:$H$502)&lt;=IFERROR(DATEVALUE(A102&amp;""),A102))*(IFERROR(DATEVALUE(SCD_Data!$I$3:$I$502&amp;""),SCD_Data!$I$3:$I$502)&gt;=IFERROR(DATEVALUE(A102&amp;""),A102))*(ROW(SCD_Data!$A$3:$A$502)-2))),"—"))</f>
        <v/>
      </c>
      <c r="I102" s="25" t="str">
        <f aca="false">IF(A102="","",IFERROR(INDEX(SCD_Data!$D$3:$D$502,SUMPRODUCT((SCD_Data!$A$3:$A$502=B102)*(IFERROR(DATEVALUE(SCD_Data!$H$3:$H$502&amp;""),SCD_Data!$H$3:$H$502)&lt;=IFERROR(DATEVALUE(A102&amp;""),A102))*(IFERROR(DATEVALUE(SCD_Data!$I$3:$I$502&amp;""),SCD_Data!$I$3:$I$502)&gt;=IFERROR(DATEVALUE(A102&amp;""),A102))*(ROW(SCD_Data!$A$3:$A$502)-2))),"—"))</f>
        <v/>
      </c>
      <c r="J102" s="26" t="str">
        <f aca="false">IF(A102="","",IFERROR(INDEX(SCD_Data!$E$3:$E$502,SUMPRODUCT((SCD_Data!$A$3:$A$502=B102)*(IFERROR(DATEVALUE(SCD_Data!$H$3:$H$502&amp;""),SCD_Data!$H$3:$H$502)&lt;=IFERROR(DATEVALUE(A102&amp;""),A102))*(IFERROR(DATEVALUE(SCD_Data!$I$3:$I$502&amp;""),SCD_Data!$I$3:$I$502)&gt;=IFERROR(DATEVALUE(A102&amp;""),A102))*(ROW(SCD_Data!$A$3:$A$502)-2))),"—"))</f>
        <v/>
      </c>
      <c r="K102" s="25" t="str">
        <f aca="false">IF(A102="","",IFERROR(INDEX(SCD_Data!$F$3:$F$502,SUMPRODUCT((SCD_Data!$A$3:$A$502=B102)*(IFERROR(DATEVALUE(SCD_Data!$H$3:$H$502&amp;""),SCD_Data!$H$3:$H$502)&lt;=IFERROR(DATEVALUE(A102&amp;""),A102))*(IFERROR(DATEVALUE(SCD_Data!$I$3:$I$502&amp;""),SCD_Data!$I$3:$I$502)&gt;=IFERROR(DATEVALUE(A102&amp;""),A102))*(ROW(SCD_Data!$A$3:$A$502)-2))),"—"))</f>
        <v/>
      </c>
      <c r="L102" s="25" t="str">
        <f aca="false">IF(A102="","",IFERROR(INDEX(SCD_Data!$G$3:$G$502,SUMPRODUCT((SCD_Data!$A$3:$A$502=B102)*(IFERROR(DATEVALUE(SCD_Data!$H$3:$H$502&amp;""),SCD_Data!$H$3:$H$502)&lt;=IFERROR(DATEVALUE(A102&amp;""),A102))*(IFERROR(DATEVALUE(SCD_Data!$I$3:$I$502&amp;""),SCD_Data!$I$3:$I$502)&gt;=IFERROR(DATEVALUE(A102&amp;""),A102))*(ROW(SCD_Data!$A$3:$A$502)-2))),"—"))</f>
        <v/>
      </c>
      <c r="M102" s="27" t="str">
        <f aca="false">IF(A102="","",IF(H102="—","—",IF(C102&amp;""=H102&amp;"","✓","✗")))</f>
        <v/>
      </c>
      <c r="N102" s="27" t="str">
        <f aca="false">IF(A102="","",IF(H102="—","—",IF(D102&amp;""=I102&amp;"","✓","✗")))</f>
        <v/>
      </c>
      <c r="O102" s="27" t="str">
        <f aca="false">IF(A102="","",IF(H102="—","—",IF(ABS(E102-J102)&lt;0.01,"✓","✗")))</f>
        <v/>
      </c>
      <c r="P102" s="27" t="str">
        <f aca="false">IF(A102="","",IF(H102="—","—",IF(F102&amp;""=K102&amp;"","✓","✗")))</f>
        <v/>
      </c>
      <c r="Q102" s="27" t="str">
        <f aca="false">IF(A102="","",IF(H102="—","—",IF(G102&amp;""=L102&amp;"","✓","✗")))</f>
        <v/>
      </c>
      <c r="R102" s="27" t="str">
        <f aca="false">IF(A102="","",IF(COUNTIF(M102:Q102,"—")=5,"⚠ NO SCD ROW",IF(COUNTIF(M102:Q102,"✗")&gt;0,"❌ MISMATCH","✅ MATCH")))</f>
        <v/>
      </c>
    </row>
    <row r="103" customFormat="false" ht="15" hidden="false" customHeight="true" outlineLevel="0" collapsed="false">
      <c r="A103" s="22" t="str">
        <f aca="false">IF(Daily_Data!A102="","",Daily_Data!A102)</f>
        <v/>
      </c>
      <c r="B103" s="23" t="str">
        <f aca="false">IF(Daily_Data!B102="","",Daily_Data!B102)</f>
        <v/>
      </c>
      <c r="C103" s="23" t="str">
        <f aca="false">IF(A103="","",Daily_Data!C102)</f>
        <v/>
      </c>
      <c r="D103" s="23" t="str">
        <f aca="false">IF(A103="","",Daily_Data!D102)</f>
        <v/>
      </c>
      <c r="E103" s="24" t="str">
        <f aca="false">IF(A103="","",Daily_Data!E102)</f>
        <v/>
      </c>
      <c r="F103" s="23" t="str">
        <f aca="false">IF(A103="","",Daily_Data!F102)</f>
        <v/>
      </c>
      <c r="G103" s="23" t="str">
        <f aca="false">IF(A103="","",Daily_Data!G102)</f>
        <v/>
      </c>
      <c r="H103" s="25" t="str">
        <f aca="false">IF(A103="","",IFERROR(INDEX(SCD_Data!$C$3:$C$502,SUMPRODUCT((SCD_Data!$A$3:$A$502=B103)*(IFERROR(DATEVALUE(SCD_Data!$H$3:$H$502&amp;""),SCD_Data!$H$3:$H$502)&lt;=IFERROR(DATEVALUE(A103&amp;""),A103))*(IFERROR(DATEVALUE(SCD_Data!$I$3:$I$502&amp;""),SCD_Data!$I$3:$I$502)&gt;=IFERROR(DATEVALUE(A103&amp;""),A103))*(ROW(SCD_Data!$A$3:$A$502)-2))),"—"))</f>
        <v/>
      </c>
      <c r="I103" s="25" t="str">
        <f aca="false">IF(A103="","",IFERROR(INDEX(SCD_Data!$D$3:$D$502,SUMPRODUCT((SCD_Data!$A$3:$A$502=B103)*(IFERROR(DATEVALUE(SCD_Data!$H$3:$H$502&amp;""),SCD_Data!$H$3:$H$502)&lt;=IFERROR(DATEVALUE(A103&amp;""),A103))*(IFERROR(DATEVALUE(SCD_Data!$I$3:$I$502&amp;""),SCD_Data!$I$3:$I$502)&gt;=IFERROR(DATEVALUE(A103&amp;""),A103))*(ROW(SCD_Data!$A$3:$A$502)-2))),"—"))</f>
        <v/>
      </c>
      <c r="J103" s="26" t="str">
        <f aca="false">IF(A103="","",IFERROR(INDEX(SCD_Data!$E$3:$E$502,SUMPRODUCT((SCD_Data!$A$3:$A$502=B103)*(IFERROR(DATEVALUE(SCD_Data!$H$3:$H$502&amp;""),SCD_Data!$H$3:$H$502)&lt;=IFERROR(DATEVALUE(A103&amp;""),A103))*(IFERROR(DATEVALUE(SCD_Data!$I$3:$I$502&amp;""),SCD_Data!$I$3:$I$502)&gt;=IFERROR(DATEVALUE(A103&amp;""),A103))*(ROW(SCD_Data!$A$3:$A$502)-2))),"—"))</f>
        <v/>
      </c>
      <c r="K103" s="25" t="str">
        <f aca="false">IF(A103="","",IFERROR(INDEX(SCD_Data!$F$3:$F$502,SUMPRODUCT((SCD_Data!$A$3:$A$502=B103)*(IFERROR(DATEVALUE(SCD_Data!$H$3:$H$502&amp;""),SCD_Data!$H$3:$H$502)&lt;=IFERROR(DATEVALUE(A103&amp;""),A103))*(IFERROR(DATEVALUE(SCD_Data!$I$3:$I$502&amp;""),SCD_Data!$I$3:$I$502)&gt;=IFERROR(DATEVALUE(A103&amp;""),A103))*(ROW(SCD_Data!$A$3:$A$502)-2))),"—"))</f>
        <v/>
      </c>
      <c r="L103" s="25" t="str">
        <f aca="false">IF(A103="","",IFERROR(INDEX(SCD_Data!$G$3:$G$502,SUMPRODUCT((SCD_Data!$A$3:$A$502=B103)*(IFERROR(DATEVALUE(SCD_Data!$H$3:$H$502&amp;""),SCD_Data!$H$3:$H$502)&lt;=IFERROR(DATEVALUE(A103&amp;""),A103))*(IFERROR(DATEVALUE(SCD_Data!$I$3:$I$502&amp;""),SCD_Data!$I$3:$I$502)&gt;=IFERROR(DATEVALUE(A103&amp;""),A103))*(ROW(SCD_Data!$A$3:$A$502)-2))),"—"))</f>
        <v/>
      </c>
      <c r="M103" s="27" t="str">
        <f aca="false">IF(A103="","",IF(H103="—","—",IF(C103&amp;""=H103&amp;"","✓","✗")))</f>
        <v/>
      </c>
      <c r="N103" s="27" t="str">
        <f aca="false">IF(A103="","",IF(H103="—","—",IF(D103&amp;""=I103&amp;"","✓","✗")))</f>
        <v/>
      </c>
      <c r="O103" s="27" t="str">
        <f aca="false">IF(A103="","",IF(H103="—","—",IF(ABS(E103-J103)&lt;0.01,"✓","✗")))</f>
        <v/>
      </c>
      <c r="P103" s="27" t="str">
        <f aca="false">IF(A103="","",IF(H103="—","—",IF(F103&amp;""=K103&amp;"","✓","✗")))</f>
        <v/>
      </c>
      <c r="Q103" s="27" t="str">
        <f aca="false">IF(A103="","",IF(H103="—","—",IF(G103&amp;""=L103&amp;"","✓","✗")))</f>
        <v/>
      </c>
      <c r="R103" s="27" t="str">
        <f aca="false">IF(A103="","",IF(COUNTIF(M103:Q103,"—")=5,"⚠ NO SCD ROW",IF(COUNTIF(M103:Q103,"✗")&gt;0,"❌ MISMATCH","✅ MATCH")))</f>
        <v/>
      </c>
    </row>
    <row r="104" customFormat="false" ht="15" hidden="false" customHeight="true" outlineLevel="0" collapsed="false">
      <c r="A104" s="22" t="str">
        <f aca="false">IF(Daily_Data!A103="","",Daily_Data!A103)</f>
        <v/>
      </c>
      <c r="B104" s="23" t="str">
        <f aca="false">IF(Daily_Data!B103="","",Daily_Data!B103)</f>
        <v/>
      </c>
      <c r="C104" s="23" t="str">
        <f aca="false">IF(A104="","",Daily_Data!C103)</f>
        <v/>
      </c>
      <c r="D104" s="23" t="str">
        <f aca="false">IF(A104="","",Daily_Data!D103)</f>
        <v/>
      </c>
      <c r="E104" s="24" t="str">
        <f aca="false">IF(A104="","",Daily_Data!E103)</f>
        <v/>
      </c>
      <c r="F104" s="23" t="str">
        <f aca="false">IF(A104="","",Daily_Data!F103)</f>
        <v/>
      </c>
      <c r="G104" s="23" t="str">
        <f aca="false">IF(A104="","",Daily_Data!G103)</f>
        <v/>
      </c>
      <c r="H104" s="25" t="str">
        <f aca="false">IF(A104="","",IFERROR(INDEX(SCD_Data!$C$3:$C$502,SUMPRODUCT((SCD_Data!$A$3:$A$502=B104)*(IFERROR(DATEVALUE(SCD_Data!$H$3:$H$502&amp;""),SCD_Data!$H$3:$H$502)&lt;=IFERROR(DATEVALUE(A104&amp;""),A104))*(IFERROR(DATEVALUE(SCD_Data!$I$3:$I$502&amp;""),SCD_Data!$I$3:$I$502)&gt;=IFERROR(DATEVALUE(A104&amp;""),A104))*(ROW(SCD_Data!$A$3:$A$502)-2))),"—"))</f>
        <v/>
      </c>
      <c r="I104" s="25" t="str">
        <f aca="false">IF(A104="","",IFERROR(INDEX(SCD_Data!$D$3:$D$502,SUMPRODUCT((SCD_Data!$A$3:$A$502=B104)*(IFERROR(DATEVALUE(SCD_Data!$H$3:$H$502&amp;""),SCD_Data!$H$3:$H$502)&lt;=IFERROR(DATEVALUE(A104&amp;""),A104))*(IFERROR(DATEVALUE(SCD_Data!$I$3:$I$502&amp;""),SCD_Data!$I$3:$I$502)&gt;=IFERROR(DATEVALUE(A104&amp;""),A104))*(ROW(SCD_Data!$A$3:$A$502)-2))),"—"))</f>
        <v/>
      </c>
      <c r="J104" s="26" t="str">
        <f aca="false">IF(A104="","",IFERROR(INDEX(SCD_Data!$E$3:$E$502,SUMPRODUCT((SCD_Data!$A$3:$A$502=B104)*(IFERROR(DATEVALUE(SCD_Data!$H$3:$H$502&amp;""),SCD_Data!$H$3:$H$502)&lt;=IFERROR(DATEVALUE(A104&amp;""),A104))*(IFERROR(DATEVALUE(SCD_Data!$I$3:$I$502&amp;""),SCD_Data!$I$3:$I$502)&gt;=IFERROR(DATEVALUE(A104&amp;""),A104))*(ROW(SCD_Data!$A$3:$A$502)-2))),"—"))</f>
        <v/>
      </c>
      <c r="K104" s="25" t="str">
        <f aca="false">IF(A104="","",IFERROR(INDEX(SCD_Data!$F$3:$F$502,SUMPRODUCT((SCD_Data!$A$3:$A$502=B104)*(IFERROR(DATEVALUE(SCD_Data!$H$3:$H$502&amp;""),SCD_Data!$H$3:$H$502)&lt;=IFERROR(DATEVALUE(A104&amp;""),A104))*(IFERROR(DATEVALUE(SCD_Data!$I$3:$I$502&amp;""),SCD_Data!$I$3:$I$502)&gt;=IFERROR(DATEVALUE(A104&amp;""),A104))*(ROW(SCD_Data!$A$3:$A$502)-2))),"—"))</f>
        <v/>
      </c>
      <c r="L104" s="25" t="str">
        <f aca="false">IF(A104="","",IFERROR(INDEX(SCD_Data!$G$3:$G$502,SUMPRODUCT((SCD_Data!$A$3:$A$502=B104)*(IFERROR(DATEVALUE(SCD_Data!$H$3:$H$502&amp;""),SCD_Data!$H$3:$H$502)&lt;=IFERROR(DATEVALUE(A104&amp;""),A104))*(IFERROR(DATEVALUE(SCD_Data!$I$3:$I$502&amp;""),SCD_Data!$I$3:$I$502)&gt;=IFERROR(DATEVALUE(A104&amp;""),A104))*(ROW(SCD_Data!$A$3:$A$502)-2))),"—"))</f>
        <v/>
      </c>
      <c r="M104" s="27" t="str">
        <f aca="false">IF(A104="","",IF(H104="—","—",IF(C104&amp;""=H104&amp;"","✓","✗")))</f>
        <v/>
      </c>
      <c r="N104" s="27" t="str">
        <f aca="false">IF(A104="","",IF(H104="—","—",IF(D104&amp;""=I104&amp;"","✓","✗")))</f>
        <v/>
      </c>
      <c r="O104" s="27" t="str">
        <f aca="false">IF(A104="","",IF(H104="—","—",IF(ABS(E104-J104)&lt;0.01,"✓","✗")))</f>
        <v/>
      </c>
      <c r="P104" s="27" t="str">
        <f aca="false">IF(A104="","",IF(H104="—","—",IF(F104&amp;""=K104&amp;"","✓","✗")))</f>
        <v/>
      </c>
      <c r="Q104" s="27" t="str">
        <f aca="false">IF(A104="","",IF(H104="—","—",IF(G104&amp;""=L104&amp;"","✓","✗")))</f>
        <v/>
      </c>
      <c r="R104" s="27" t="str">
        <f aca="false">IF(A104="","",IF(COUNTIF(M104:Q104,"—")=5,"⚠ NO SCD ROW",IF(COUNTIF(M104:Q104,"✗")&gt;0,"❌ MISMATCH","✅ MATCH")))</f>
        <v/>
      </c>
    </row>
    <row r="105" customFormat="false" ht="15" hidden="false" customHeight="true" outlineLevel="0" collapsed="false">
      <c r="A105" s="22" t="str">
        <f aca="false">IF(Daily_Data!A104="","",Daily_Data!A104)</f>
        <v/>
      </c>
      <c r="B105" s="23" t="str">
        <f aca="false">IF(Daily_Data!B104="","",Daily_Data!B104)</f>
        <v/>
      </c>
      <c r="C105" s="23" t="str">
        <f aca="false">IF(A105="","",Daily_Data!C104)</f>
        <v/>
      </c>
      <c r="D105" s="23" t="str">
        <f aca="false">IF(A105="","",Daily_Data!D104)</f>
        <v/>
      </c>
      <c r="E105" s="24" t="str">
        <f aca="false">IF(A105="","",Daily_Data!E104)</f>
        <v/>
      </c>
      <c r="F105" s="23" t="str">
        <f aca="false">IF(A105="","",Daily_Data!F104)</f>
        <v/>
      </c>
      <c r="G105" s="23" t="str">
        <f aca="false">IF(A105="","",Daily_Data!G104)</f>
        <v/>
      </c>
      <c r="H105" s="25" t="str">
        <f aca="false">IF(A105="","",IFERROR(INDEX(SCD_Data!$C$3:$C$502,SUMPRODUCT((SCD_Data!$A$3:$A$502=B105)*(IFERROR(DATEVALUE(SCD_Data!$H$3:$H$502&amp;""),SCD_Data!$H$3:$H$502)&lt;=IFERROR(DATEVALUE(A105&amp;""),A105))*(IFERROR(DATEVALUE(SCD_Data!$I$3:$I$502&amp;""),SCD_Data!$I$3:$I$502)&gt;=IFERROR(DATEVALUE(A105&amp;""),A105))*(ROW(SCD_Data!$A$3:$A$502)-2))),"—"))</f>
        <v/>
      </c>
      <c r="I105" s="25" t="str">
        <f aca="false">IF(A105="","",IFERROR(INDEX(SCD_Data!$D$3:$D$502,SUMPRODUCT((SCD_Data!$A$3:$A$502=B105)*(IFERROR(DATEVALUE(SCD_Data!$H$3:$H$502&amp;""),SCD_Data!$H$3:$H$502)&lt;=IFERROR(DATEVALUE(A105&amp;""),A105))*(IFERROR(DATEVALUE(SCD_Data!$I$3:$I$502&amp;""),SCD_Data!$I$3:$I$502)&gt;=IFERROR(DATEVALUE(A105&amp;""),A105))*(ROW(SCD_Data!$A$3:$A$502)-2))),"—"))</f>
        <v/>
      </c>
      <c r="J105" s="26" t="str">
        <f aca="false">IF(A105="","",IFERROR(INDEX(SCD_Data!$E$3:$E$502,SUMPRODUCT((SCD_Data!$A$3:$A$502=B105)*(IFERROR(DATEVALUE(SCD_Data!$H$3:$H$502&amp;""),SCD_Data!$H$3:$H$502)&lt;=IFERROR(DATEVALUE(A105&amp;""),A105))*(IFERROR(DATEVALUE(SCD_Data!$I$3:$I$502&amp;""),SCD_Data!$I$3:$I$502)&gt;=IFERROR(DATEVALUE(A105&amp;""),A105))*(ROW(SCD_Data!$A$3:$A$502)-2))),"—"))</f>
        <v/>
      </c>
      <c r="K105" s="25" t="str">
        <f aca="false">IF(A105="","",IFERROR(INDEX(SCD_Data!$F$3:$F$502,SUMPRODUCT((SCD_Data!$A$3:$A$502=B105)*(IFERROR(DATEVALUE(SCD_Data!$H$3:$H$502&amp;""),SCD_Data!$H$3:$H$502)&lt;=IFERROR(DATEVALUE(A105&amp;""),A105))*(IFERROR(DATEVALUE(SCD_Data!$I$3:$I$502&amp;""),SCD_Data!$I$3:$I$502)&gt;=IFERROR(DATEVALUE(A105&amp;""),A105))*(ROW(SCD_Data!$A$3:$A$502)-2))),"—"))</f>
        <v/>
      </c>
      <c r="L105" s="25" t="str">
        <f aca="false">IF(A105="","",IFERROR(INDEX(SCD_Data!$G$3:$G$502,SUMPRODUCT((SCD_Data!$A$3:$A$502=B105)*(IFERROR(DATEVALUE(SCD_Data!$H$3:$H$502&amp;""),SCD_Data!$H$3:$H$502)&lt;=IFERROR(DATEVALUE(A105&amp;""),A105))*(IFERROR(DATEVALUE(SCD_Data!$I$3:$I$502&amp;""),SCD_Data!$I$3:$I$502)&gt;=IFERROR(DATEVALUE(A105&amp;""),A105))*(ROW(SCD_Data!$A$3:$A$502)-2))),"—"))</f>
        <v/>
      </c>
      <c r="M105" s="27" t="str">
        <f aca="false">IF(A105="","",IF(H105="—","—",IF(C105&amp;""=H105&amp;"","✓","✗")))</f>
        <v/>
      </c>
      <c r="N105" s="27" t="str">
        <f aca="false">IF(A105="","",IF(H105="—","—",IF(D105&amp;""=I105&amp;"","✓","✗")))</f>
        <v/>
      </c>
      <c r="O105" s="27" t="str">
        <f aca="false">IF(A105="","",IF(H105="—","—",IF(ABS(E105-J105)&lt;0.01,"✓","✗")))</f>
        <v/>
      </c>
      <c r="P105" s="27" t="str">
        <f aca="false">IF(A105="","",IF(H105="—","—",IF(F105&amp;""=K105&amp;"","✓","✗")))</f>
        <v/>
      </c>
      <c r="Q105" s="27" t="str">
        <f aca="false">IF(A105="","",IF(H105="—","—",IF(G105&amp;""=L105&amp;"","✓","✗")))</f>
        <v/>
      </c>
      <c r="R105" s="27" t="str">
        <f aca="false">IF(A105="","",IF(COUNTIF(M105:Q105,"—")=5,"⚠ NO SCD ROW",IF(COUNTIF(M105:Q105,"✗")&gt;0,"❌ MISMATCH","✅ MATCH")))</f>
        <v/>
      </c>
    </row>
    <row r="106" customFormat="false" ht="15" hidden="false" customHeight="true" outlineLevel="0" collapsed="false">
      <c r="A106" s="22" t="str">
        <f aca="false">IF(Daily_Data!A105="","",Daily_Data!A105)</f>
        <v/>
      </c>
      <c r="B106" s="23" t="str">
        <f aca="false">IF(Daily_Data!B105="","",Daily_Data!B105)</f>
        <v/>
      </c>
      <c r="C106" s="23" t="str">
        <f aca="false">IF(A106="","",Daily_Data!C105)</f>
        <v/>
      </c>
      <c r="D106" s="23" t="str">
        <f aca="false">IF(A106="","",Daily_Data!D105)</f>
        <v/>
      </c>
      <c r="E106" s="24" t="str">
        <f aca="false">IF(A106="","",Daily_Data!E105)</f>
        <v/>
      </c>
      <c r="F106" s="23" t="str">
        <f aca="false">IF(A106="","",Daily_Data!F105)</f>
        <v/>
      </c>
      <c r="G106" s="23" t="str">
        <f aca="false">IF(A106="","",Daily_Data!G105)</f>
        <v/>
      </c>
      <c r="H106" s="25" t="str">
        <f aca="false">IF(A106="","",IFERROR(INDEX(SCD_Data!$C$3:$C$502,SUMPRODUCT((SCD_Data!$A$3:$A$502=B106)*(IFERROR(DATEVALUE(SCD_Data!$H$3:$H$502&amp;""),SCD_Data!$H$3:$H$502)&lt;=IFERROR(DATEVALUE(A106&amp;""),A106))*(IFERROR(DATEVALUE(SCD_Data!$I$3:$I$502&amp;""),SCD_Data!$I$3:$I$502)&gt;=IFERROR(DATEVALUE(A106&amp;""),A106))*(ROW(SCD_Data!$A$3:$A$502)-2))),"—"))</f>
        <v/>
      </c>
      <c r="I106" s="25" t="str">
        <f aca="false">IF(A106="","",IFERROR(INDEX(SCD_Data!$D$3:$D$502,SUMPRODUCT((SCD_Data!$A$3:$A$502=B106)*(IFERROR(DATEVALUE(SCD_Data!$H$3:$H$502&amp;""),SCD_Data!$H$3:$H$502)&lt;=IFERROR(DATEVALUE(A106&amp;""),A106))*(IFERROR(DATEVALUE(SCD_Data!$I$3:$I$502&amp;""),SCD_Data!$I$3:$I$502)&gt;=IFERROR(DATEVALUE(A106&amp;""),A106))*(ROW(SCD_Data!$A$3:$A$502)-2))),"—"))</f>
        <v/>
      </c>
      <c r="J106" s="26" t="str">
        <f aca="false">IF(A106="","",IFERROR(INDEX(SCD_Data!$E$3:$E$502,SUMPRODUCT((SCD_Data!$A$3:$A$502=B106)*(IFERROR(DATEVALUE(SCD_Data!$H$3:$H$502&amp;""),SCD_Data!$H$3:$H$502)&lt;=IFERROR(DATEVALUE(A106&amp;""),A106))*(IFERROR(DATEVALUE(SCD_Data!$I$3:$I$502&amp;""),SCD_Data!$I$3:$I$502)&gt;=IFERROR(DATEVALUE(A106&amp;""),A106))*(ROW(SCD_Data!$A$3:$A$502)-2))),"—"))</f>
        <v/>
      </c>
      <c r="K106" s="25" t="str">
        <f aca="false">IF(A106="","",IFERROR(INDEX(SCD_Data!$F$3:$F$502,SUMPRODUCT((SCD_Data!$A$3:$A$502=B106)*(IFERROR(DATEVALUE(SCD_Data!$H$3:$H$502&amp;""),SCD_Data!$H$3:$H$502)&lt;=IFERROR(DATEVALUE(A106&amp;""),A106))*(IFERROR(DATEVALUE(SCD_Data!$I$3:$I$502&amp;""),SCD_Data!$I$3:$I$502)&gt;=IFERROR(DATEVALUE(A106&amp;""),A106))*(ROW(SCD_Data!$A$3:$A$502)-2))),"—"))</f>
        <v/>
      </c>
      <c r="L106" s="25" t="str">
        <f aca="false">IF(A106="","",IFERROR(INDEX(SCD_Data!$G$3:$G$502,SUMPRODUCT((SCD_Data!$A$3:$A$502=B106)*(IFERROR(DATEVALUE(SCD_Data!$H$3:$H$502&amp;""),SCD_Data!$H$3:$H$502)&lt;=IFERROR(DATEVALUE(A106&amp;""),A106))*(IFERROR(DATEVALUE(SCD_Data!$I$3:$I$502&amp;""),SCD_Data!$I$3:$I$502)&gt;=IFERROR(DATEVALUE(A106&amp;""),A106))*(ROW(SCD_Data!$A$3:$A$502)-2))),"—"))</f>
        <v/>
      </c>
      <c r="M106" s="27" t="str">
        <f aca="false">IF(A106="","",IF(H106="—","—",IF(C106&amp;""=H106&amp;"","✓","✗")))</f>
        <v/>
      </c>
      <c r="N106" s="27" t="str">
        <f aca="false">IF(A106="","",IF(H106="—","—",IF(D106&amp;""=I106&amp;"","✓","✗")))</f>
        <v/>
      </c>
      <c r="O106" s="27" t="str">
        <f aca="false">IF(A106="","",IF(H106="—","—",IF(ABS(E106-J106)&lt;0.01,"✓","✗")))</f>
        <v/>
      </c>
      <c r="P106" s="27" t="str">
        <f aca="false">IF(A106="","",IF(H106="—","—",IF(F106&amp;""=K106&amp;"","✓","✗")))</f>
        <v/>
      </c>
      <c r="Q106" s="27" t="str">
        <f aca="false">IF(A106="","",IF(H106="—","—",IF(G106&amp;""=L106&amp;"","✓","✗")))</f>
        <v/>
      </c>
      <c r="R106" s="27" t="str">
        <f aca="false">IF(A106="","",IF(COUNTIF(M106:Q106,"—")=5,"⚠ NO SCD ROW",IF(COUNTIF(M106:Q106,"✗")&gt;0,"❌ MISMATCH","✅ MATCH")))</f>
        <v/>
      </c>
    </row>
    <row r="107" customFormat="false" ht="15" hidden="false" customHeight="true" outlineLevel="0" collapsed="false">
      <c r="A107" s="22" t="str">
        <f aca="false">IF(Daily_Data!A106="","",Daily_Data!A106)</f>
        <v/>
      </c>
      <c r="B107" s="23" t="str">
        <f aca="false">IF(Daily_Data!B106="","",Daily_Data!B106)</f>
        <v/>
      </c>
      <c r="C107" s="23" t="str">
        <f aca="false">IF(A107="","",Daily_Data!C106)</f>
        <v/>
      </c>
      <c r="D107" s="23" t="str">
        <f aca="false">IF(A107="","",Daily_Data!D106)</f>
        <v/>
      </c>
      <c r="E107" s="24" t="str">
        <f aca="false">IF(A107="","",Daily_Data!E106)</f>
        <v/>
      </c>
      <c r="F107" s="23" t="str">
        <f aca="false">IF(A107="","",Daily_Data!F106)</f>
        <v/>
      </c>
      <c r="G107" s="23" t="str">
        <f aca="false">IF(A107="","",Daily_Data!G106)</f>
        <v/>
      </c>
      <c r="H107" s="25" t="str">
        <f aca="false">IF(A107="","",IFERROR(INDEX(SCD_Data!$C$3:$C$502,SUMPRODUCT((SCD_Data!$A$3:$A$502=B107)*(IFERROR(DATEVALUE(SCD_Data!$H$3:$H$502&amp;""),SCD_Data!$H$3:$H$502)&lt;=IFERROR(DATEVALUE(A107&amp;""),A107))*(IFERROR(DATEVALUE(SCD_Data!$I$3:$I$502&amp;""),SCD_Data!$I$3:$I$502)&gt;=IFERROR(DATEVALUE(A107&amp;""),A107))*(ROW(SCD_Data!$A$3:$A$502)-2))),"—"))</f>
        <v/>
      </c>
      <c r="I107" s="25" t="str">
        <f aca="false">IF(A107="","",IFERROR(INDEX(SCD_Data!$D$3:$D$502,SUMPRODUCT((SCD_Data!$A$3:$A$502=B107)*(IFERROR(DATEVALUE(SCD_Data!$H$3:$H$502&amp;""),SCD_Data!$H$3:$H$502)&lt;=IFERROR(DATEVALUE(A107&amp;""),A107))*(IFERROR(DATEVALUE(SCD_Data!$I$3:$I$502&amp;""),SCD_Data!$I$3:$I$502)&gt;=IFERROR(DATEVALUE(A107&amp;""),A107))*(ROW(SCD_Data!$A$3:$A$502)-2))),"—"))</f>
        <v/>
      </c>
      <c r="J107" s="26" t="str">
        <f aca="false">IF(A107="","",IFERROR(INDEX(SCD_Data!$E$3:$E$502,SUMPRODUCT((SCD_Data!$A$3:$A$502=B107)*(IFERROR(DATEVALUE(SCD_Data!$H$3:$H$502&amp;""),SCD_Data!$H$3:$H$502)&lt;=IFERROR(DATEVALUE(A107&amp;""),A107))*(IFERROR(DATEVALUE(SCD_Data!$I$3:$I$502&amp;""),SCD_Data!$I$3:$I$502)&gt;=IFERROR(DATEVALUE(A107&amp;""),A107))*(ROW(SCD_Data!$A$3:$A$502)-2))),"—"))</f>
        <v/>
      </c>
      <c r="K107" s="25" t="str">
        <f aca="false">IF(A107="","",IFERROR(INDEX(SCD_Data!$F$3:$F$502,SUMPRODUCT((SCD_Data!$A$3:$A$502=B107)*(IFERROR(DATEVALUE(SCD_Data!$H$3:$H$502&amp;""),SCD_Data!$H$3:$H$502)&lt;=IFERROR(DATEVALUE(A107&amp;""),A107))*(IFERROR(DATEVALUE(SCD_Data!$I$3:$I$502&amp;""),SCD_Data!$I$3:$I$502)&gt;=IFERROR(DATEVALUE(A107&amp;""),A107))*(ROW(SCD_Data!$A$3:$A$502)-2))),"—"))</f>
        <v/>
      </c>
      <c r="L107" s="25" t="str">
        <f aca="false">IF(A107="","",IFERROR(INDEX(SCD_Data!$G$3:$G$502,SUMPRODUCT((SCD_Data!$A$3:$A$502=B107)*(IFERROR(DATEVALUE(SCD_Data!$H$3:$H$502&amp;""),SCD_Data!$H$3:$H$502)&lt;=IFERROR(DATEVALUE(A107&amp;""),A107))*(IFERROR(DATEVALUE(SCD_Data!$I$3:$I$502&amp;""),SCD_Data!$I$3:$I$502)&gt;=IFERROR(DATEVALUE(A107&amp;""),A107))*(ROW(SCD_Data!$A$3:$A$502)-2))),"—"))</f>
        <v/>
      </c>
      <c r="M107" s="27" t="str">
        <f aca="false">IF(A107="","",IF(H107="—","—",IF(C107&amp;""=H107&amp;"","✓","✗")))</f>
        <v/>
      </c>
      <c r="N107" s="27" t="str">
        <f aca="false">IF(A107="","",IF(H107="—","—",IF(D107&amp;""=I107&amp;"","✓","✗")))</f>
        <v/>
      </c>
      <c r="O107" s="27" t="str">
        <f aca="false">IF(A107="","",IF(H107="—","—",IF(ABS(E107-J107)&lt;0.01,"✓","✗")))</f>
        <v/>
      </c>
      <c r="P107" s="27" t="str">
        <f aca="false">IF(A107="","",IF(H107="—","—",IF(F107&amp;""=K107&amp;"","✓","✗")))</f>
        <v/>
      </c>
      <c r="Q107" s="27" t="str">
        <f aca="false">IF(A107="","",IF(H107="—","—",IF(G107&amp;""=L107&amp;"","✓","✗")))</f>
        <v/>
      </c>
      <c r="R107" s="27" t="str">
        <f aca="false">IF(A107="","",IF(COUNTIF(M107:Q107,"—")=5,"⚠ NO SCD ROW",IF(COUNTIF(M107:Q107,"✗")&gt;0,"❌ MISMATCH","✅ MATCH")))</f>
        <v/>
      </c>
    </row>
    <row r="108" customFormat="false" ht="15" hidden="false" customHeight="true" outlineLevel="0" collapsed="false">
      <c r="A108" s="22" t="str">
        <f aca="false">IF(Daily_Data!A107="","",Daily_Data!A107)</f>
        <v/>
      </c>
      <c r="B108" s="23" t="str">
        <f aca="false">IF(Daily_Data!B107="","",Daily_Data!B107)</f>
        <v/>
      </c>
      <c r="C108" s="23" t="str">
        <f aca="false">IF(A108="","",Daily_Data!C107)</f>
        <v/>
      </c>
      <c r="D108" s="23" t="str">
        <f aca="false">IF(A108="","",Daily_Data!D107)</f>
        <v/>
      </c>
      <c r="E108" s="24" t="str">
        <f aca="false">IF(A108="","",Daily_Data!E107)</f>
        <v/>
      </c>
      <c r="F108" s="23" t="str">
        <f aca="false">IF(A108="","",Daily_Data!F107)</f>
        <v/>
      </c>
      <c r="G108" s="23" t="str">
        <f aca="false">IF(A108="","",Daily_Data!G107)</f>
        <v/>
      </c>
      <c r="H108" s="25" t="str">
        <f aca="false">IF(A108="","",IFERROR(INDEX(SCD_Data!$C$3:$C$502,SUMPRODUCT((SCD_Data!$A$3:$A$502=B108)*(IFERROR(DATEVALUE(SCD_Data!$H$3:$H$502&amp;""),SCD_Data!$H$3:$H$502)&lt;=IFERROR(DATEVALUE(A108&amp;""),A108))*(IFERROR(DATEVALUE(SCD_Data!$I$3:$I$502&amp;""),SCD_Data!$I$3:$I$502)&gt;=IFERROR(DATEVALUE(A108&amp;""),A108))*(ROW(SCD_Data!$A$3:$A$502)-2))),"—"))</f>
        <v/>
      </c>
      <c r="I108" s="25" t="str">
        <f aca="false">IF(A108="","",IFERROR(INDEX(SCD_Data!$D$3:$D$502,SUMPRODUCT((SCD_Data!$A$3:$A$502=B108)*(IFERROR(DATEVALUE(SCD_Data!$H$3:$H$502&amp;""),SCD_Data!$H$3:$H$502)&lt;=IFERROR(DATEVALUE(A108&amp;""),A108))*(IFERROR(DATEVALUE(SCD_Data!$I$3:$I$502&amp;""),SCD_Data!$I$3:$I$502)&gt;=IFERROR(DATEVALUE(A108&amp;""),A108))*(ROW(SCD_Data!$A$3:$A$502)-2))),"—"))</f>
        <v/>
      </c>
      <c r="J108" s="26" t="str">
        <f aca="false">IF(A108="","",IFERROR(INDEX(SCD_Data!$E$3:$E$502,SUMPRODUCT((SCD_Data!$A$3:$A$502=B108)*(IFERROR(DATEVALUE(SCD_Data!$H$3:$H$502&amp;""),SCD_Data!$H$3:$H$502)&lt;=IFERROR(DATEVALUE(A108&amp;""),A108))*(IFERROR(DATEVALUE(SCD_Data!$I$3:$I$502&amp;""),SCD_Data!$I$3:$I$502)&gt;=IFERROR(DATEVALUE(A108&amp;""),A108))*(ROW(SCD_Data!$A$3:$A$502)-2))),"—"))</f>
        <v/>
      </c>
      <c r="K108" s="25" t="str">
        <f aca="false">IF(A108="","",IFERROR(INDEX(SCD_Data!$F$3:$F$502,SUMPRODUCT((SCD_Data!$A$3:$A$502=B108)*(IFERROR(DATEVALUE(SCD_Data!$H$3:$H$502&amp;""),SCD_Data!$H$3:$H$502)&lt;=IFERROR(DATEVALUE(A108&amp;""),A108))*(IFERROR(DATEVALUE(SCD_Data!$I$3:$I$502&amp;""),SCD_Data!$I$3:$I$502)&gt;=IFERROR(DATEVALUE(A108&amp;""),A108))*(ROW(SCD_Data!$A$3:$A$502)-2))),"—"))</f>
        <v/>
      </c>
      <c r="L108" s="25" t="str">
        <f aca="false">IF(A108="","",IFERROR(INDEX(SCD_Data!$G$3:$G$502,SUMPRODUCT((SCD_Data!$A$3:$A$502=B108)*(IFERROR(DATEVALUE(SCD_Data!$H$3:$H$502&amp;""),SCD_Data!$H$3:$H$502)&lt;=IFERROR(DATEVALUE(A108&amp;""),A108))*(IFERROR(DATEVALUE(SCD_Data!$I$3:$I$502&amp;""),SCD_Data!$I$3:$I$502)&gt;=IFERROR(DATEVALUE(A108&amp;""),A108))*(ROW(SCD_Data!$A$3:$A$502)-2))),"—"))</f>
        <v/>
      </c>
      <c r="M108" s="27" t="str">
        <f aca="false">IF(A108="","",IF(H108="—","—",IF(C108&amp;""=H108&amp;"","✓","✗")))</f>
        <v/>
      </c>
      <c r="N108" s="27" t="str">
        <f aca="false">IF(A108="","",IF(H108="—","—",IF(D108&amp;""=I108&amp;"","✓","✗")))</f>
        <v/>
      </c>
      <c r="O108" s="27" t="str">
        <f aca="false">IF(A108="","",IF(H108="—","—",IF(ABS(E108-J108)&lt;0.01,"✓","✗")))</f>
        <v/>
      </c>
      <c r="P108" s="27" t="str">
        <f aca="false">IF(A108="","",IF(H108="—","—",IF(F108&amp;""=K108&amp;"","✓","✗")))</f>
        <v/>
      </c>
      <c r="Q108" s="27" t="str">
        <f aca="false">IF(A108="","",IF(H108="—","—",IF(G108&amp;""=L108&amp;"","✓","✗")))</f>
        <v/>
      </c>
      <c r="R108" s="27" t="str">
        <f aca="false">IF(A108="","",IF(COUNTIF(M108:Q108,"—")=5,"⚠ NO SCD ROW",IF(COUNTIF(M108:Q108,"✗")&gt;0,"❌ MISMATCH","✅ MATCH")))</f>
        <v/>
      </c>
    </row>
    <row r="109" customFormat="false" ht="15" hidden="false" customHeight="true" outlineLevel="0" collapsed="false">
      <c r="A109" s="22" t="str">
        <f aca="false">IF(Daily_Data!A108="","",Daily_Data!A108)</f>
        <v/>
      </c>
      <c r="B109" s="23" t="str">
        <f aca="false">IF(Daily_Data!B108="","",Daily_Data!B108)</f>
        <v/>
      </c>
      <c r="C109" s="23" t="str">
        <f aca="false">IF(A109="","",Daily_Data!C108)</f>
        <v/>
      </c>
      <c r="D109" s="23" t="str">
        <f aca="false">IF(A109="","",Daily_Data!D108)</f>
        <v/>
      </c>
      <c r="E109" s="24" t="str">
        <f aca="false">IF(A109="","",Daily_Data!E108)</f>
        <v/>
      </c>
      <c r="F109" s="23" t="str">
        <f aca="false">IF(A109="","",Daily_Data!F108)</f>
        <v/>
      </c>
      <c r="G109" s="23" t="str">
        <f aca="false">IF(A109="","",Daily_Data!G108)</f>
        <v/>
      </c>
      <c r="H109" s="25" t="str">
        <f aca="false">IF(A109="","",IFERROR(INDEX(SCD_Data!$C$3:$C$502,SUMPRODUCT((SCD_Data!$A$3:$A$502=B109)*(IFERROR(DATEVALUE(SCD_Data!$H$3:$H$502&amp;""),SCD_Data!$H$3:$H$502)&lt;=IFERROR(DATEVALUE(A109&amp;""),A109))*(IFERROR(DATEVALUE(SCD_Data!$I$3:$I$502&amp;""),SCD_Data!$I$3:$I$502)&gt;=IFERROR(DATEVALUE(A109&amp;""),A109))*(ROW(SCD_Data!$A$3:$A$502)-2))),"—"))</f>
        <v/>
      </c>
      <c r="I109" s="25" t="str">
        <f aca="false">IF(A109="","",IFERROR(INDEX(SCD_Data!$D$3:$D$502,SUMPRODUCT((SCD_Data!$A$3:$A$502=B109)*(IFERROR(DATEVALUE(SCD_Data!$H$3:$H$502&amp;""),SCD_Data!$H$3:$H$502)&lt;=IFERROR(DATEVALUE(A109&amp;""),A109))*(IFERROR(DATEVALUE(SCD_Data!$I$3:$I$502&amp;""),SCD_Data!$I$3:$I$502)&gt;=IFERROR(DATEVALUE(A109&amp;""),A109))*(ROW(SCD_Data!$A$3:$A$502)-2))),"—"))</f>
        <v/>
      </c>
      <c r="J109" s="26" t="str">
        <f aca="false">IF(A109="","",IFERROR(INDEX(SCD_Data!$E$3:$E$502,SUMPRODUCT((SCD_Data!$A$3:$A$502=B109)*(IFERROR(DATEVALUE(SCD_Data!$H$3:$H$502&amp;""),SCD_Data!$H$3:$H$502)&lt;=IFERROR(DATEVALUE(A109&amp;""),A109))*(IFERROR(DATEVALUE(SCD_Data!$I$3:$I$502&amp;""),SCD_Data!$I$3:$I$502)&gt;=IFERROR(DATEVALUE(A109&amp;""),A109))*(ROW(SCD_Data!$A$3:$A$502)-2))),"—"))</f>
        <v/>
      </c>
      <c r="K109" s="25" t="str">
        <f aca="false">IF(A109="","",IFERROR(INDEX(SCD_Data!$F$3:$F$502,SUMPRODUCT((SCD_Data!$A$3:$A$502=B109)*(IFERROR(DATEVALUE(SCD_Data!$H$3:$H$502&amp;""),SCD_Data!$H$3:$H$502)&lt;=IFERROR(DATEVALUE(A109&amp;""),A109))*(IFERROR(DATEVALUE(SCD_Data!$I$3:$I$502&amp;""),SCD_Data!$I$3:$I$502)&gt;=IFERROR(DATEVALUE(A109&amp;""),A109))*(ROW(SCD_Data!$A$3:$A$502)-2))),"—"))</f>
        <v/>
      </c>
      <c r="L109" s="25" t="str">
        <f aca="false">IF(A109="","",IFERROR(INDEX(SCD_Data!$G$3:$G$502,SUMPRODUCT((SCD_Data!$A$3:$A$502=B109)*(IFERROR(DATEVALUE(SCD_Data!$H$3:$H$502&amp;""),SCD_Data!$H$3:$H$502)&lt;=IFERROR(DATEVALUE(A109&amp;""),A109))*(IFERROR(DATEVALUE(SCD_Data!$I$3:$I$502&amp;""),SCD_Data!$I$3:$I$502)&gt;=IFERROR(DATEVALUE(A109&amp;""),A109))*(ROW(SCD_Data!$A$3:$A$502)-2))),"—"))</f>
        <v/>
      </c>
      <c r="M109" s="27" t="str">
        <f aca="false">IF(A109="","",IF(H109="—","—",IF(C109&amp;""=H109&amp;"","✓","✗")))</f>
        <v/>
      </c>
      <c r="N109" s="27" t="str">
        <f aca="false">IF(A109="","",IF(H109="—","—",IF(D109&amp;""=I109&amp;"","✓","✗")))</f>
        <v/>
      </c>
      <c r="O109" s="27" t="str">
        <f aca="false">IF(A109="","",IF(H109="—","—",IF(ABS(E109-J109)&lt;0.01,"✓","✗")))</f>
        <v/>
      </c>
      <c r="P109" s="27" t="str">
        <f aca="false">IF(A109="","",IF(H109="—","—",IF(F109&amp;""=K109&amp;"","✓","✗")))</f>
        <v/>
      </c>
      <c r="Q109" s="27" t="str">
        <f aca="false">IF(A109="","",IF(H109="—","—",IF(G109&amp;""=L109&amp;"","✓","✗")))</f>
        <v/>
      </c>
      <c r="R109" s="27" t="str">
        <f aca="false">IF(A109="","",IF(COUNTIF(M109:Q109,"—")=5,"⚠ NO SCD ROW",IF(COUNTIF(M109:Q109,"✗")&gt;0,"❌ MISMATCH","✅ MATCH")))</f>
        <v/>
      </c>
    </row>
    <row r="110" customFormat="false" ht="15" hidden="false" customHeight="true" outlineLevel="0" collapsed="false">
      <c r="A110" s="22" t="str">
        <f aca="false">IF(Daily_Data!A109="","",Daily_Data!A109)</f>
        <v/>
      </c>
      <c r="B110" s="23" t="str">
        <f aca="false">IF(Daily_Data!B109="","",Daily_Data!B109)</f>
        <v/>
      </c>
      <c r="C110" s="23" t="str">
        <f aca="false">IF(A110="","",Daily_Data!C109)</f>
        <v/>
      </c>
      <c r="D110" s="23" t="str">
        <f aca="false">IF(A110="","",Daily_Data!D109)</f>
        <v/>
      </c>
      <c r="E110" s="24" t="str">
        <f aca="false">IF(A110="","",Daily_Data!E109)</f>
        <v/>
      </c>
      <c r="F110" s="23" t="str">
        <f aca="false">IF(A110="","",Daily_Data!F109)</f>
        <v/>
      </c>
      <c r="G110" s="23" t="str">
        <f aca="false">IF(A110="","",Daily_Data!G109)</f>
        <v/>
      </c>
      <c r="H110" s="25" t="str">
        <f aca="false">IF(A110="","",IFERROR(INDEX(SCD_Data!$C$3:$C$502,SUMPRODUCT((SCD_Data!$A$3:$A$502=B110)*(IFERROR(DATEVALUE(SCD_Data!$H$3:$H$502&amp;""),SCD_Data!$H$3:$H$502)&lt;=IFERROR(DATEVALUE(A110&amp;""),A110))*(IFERROR(DATEVALUE(SCD_Data!$I$3:$I$502&amp;""),SCD_Data!$I$3:$I$502)&gt;=IFERROR(DATEVALUE(A110&amp;""),A110))*(ROW(SCD_Data!$A$3:$A$502)-2))),"—"))</f>
        <v/>
      </c>
      <c r="I110" s="25" t="str">
        <f aca="false">IF(A110="","",IFERROR(INDEX(SCD_Data!$D$3:$D$502,SUMPRODUCT((SCD_Data!$A$3:$A$502=B110)*(IFERROR(DATEVALUE(SCD_Data!$H$3:$H$502&amp;""),SCD_Data!$H$3:$H$502)&lt;=IFERROR(DATEVALUE(A110&amp;""),A110))*(IFERROR(DATEVALUE(SCD_Data!$I$3:$I$502&amp;""),SCD_Data!$I$3:$I$502)&gt;=IFERROR(DATEVALUE(A110&amp;""),A110))*(ROW(SCD_Data!$A$3:$A$502)-2))),"—"))</f>
        <v/>
      </c>
      <c r="J110" s="26" t="str">
        <f aca="false">IF(A110="","",IFERROR(INDEX(SCD_Data!$E$3:$E$502,SUMPRODUCT((SCD_Data!$A$3:$A$502=B110)*(IFERROR(DATEVALUE(SCD_Data!$H$3:$H$502&amp;""),SCD_Data!$H$3:$H$502)&lt;=IFERROR(DATEVALUE(A110&amp;""),A110))*(IFERROR(DATEVALUE(SCD_Data!$I$3:$I$502&amp;""),SCD_Data!$I$3:$I$502)&gt;=IFERROR(DATEVALUE(A110&amp;""),A110))*(ROW(SCD_Data!$A$3:$A$502)-2))),"—"))</f>
        <v/>
      </c>
      <c r="K110" s="25" t="str">
        <f aca="false">IF(A110="","",IFERROR(INDEX(SCD_Data!$F$3:$F$502,SUMPRODUCT((SCD_Data!$A$3:$A$502=B110)*(IFERROR(DATEVALUE(SCD_Data!$H$3:$H$502&amp;""),SCD_Data!$H$3:$H$502)&lt;=IFERROR(DATEVALUE(A110&amp;""),A110))*(IFERROR(DATEVALUE(SCD_Data!$I$3:$I$502&amp;""),SCD_Data!$I$3:$I$502)&gt;=IFERROR(DATEVALUE(A110&amp;""),A110))*(ROW(SCD_Data!$A$3:$A$502)-2))),"—"))</f>
        <v/>
      </c>
      <c r="L110" s="25" t="str">
        <f aca="false">IF(A110="","",IFERROR(INDEX(SCD_Data!$G$3:$G$502,SUMPRODUCT((SCD_Data!$A$3:$A$502=B110)*(IFERROR(DATEVALUE(SCD_Data!$H$3:$H$502&amp;""),SCD_Data!$H$3:$H$502)&lt;=IFERROR(DATEVALUE(A110&amp;""),A110))*(IFERROR(DATEVALUE(SCD_Data!$I$3:$I$502&amp;""),SCD_Data!$I$3:$I$502)&gt;=IFERROR(DATEVALUE(A110&amp;""),A110))*(ROW(SCD_Data!$A$3:$A$502)-2))),"—"))</f>
        <v/>
      </c>
      <c r="M110" s="27" t="str">
        <f aca="false">IF(A110="","",IF(H110="—","—",IF(C110&amp;""=H110&amp;"","✓","✗")))</f>
        <v/>
      </c>
      <c r="N110" s="27" t="str">
        <f aca="false">IF(A110="","",IF(H110="—","—",IF(D110&amp;""=I110&amp;"","✓","✗")))</f>
        <v/>
      </c>
      <c r="O110" s="27" t="str">
        <f aca="false">IF(A110="","",IF(H110="—","—",IF(ABS(E110-J110)&lt;0.01,"✓","✗")))</f>
        <v/>
      </c>
      <c r="P110" s="27" t="str">
        <f aca="false">IF(A110="","",IF(H110="—","—",IF(F110&amp;""=K110&amp;"","✓","✗")))</f>
        <v/>
      </c>
      <c r="Q110" s="27" t="str">
        <f aca="false">IF(A110="","",IF(H110="—","—",IF(G110&amp;""=L110&amp;"","✓","✗")))</f>
        <v/>
      </c>
      <c r="R110" s="27" t="str">
        <f aca="false">IF(A110="","",IF(COUNTIF(M110:Q110,"—")=5,"⚠ NO SCD ROW",IF(COUNTIF(M110:Q110,"✗")&gt;0,"❌ MISMATCH","✅ MATCH")))</f>
        <v/>
      </c>
    </row>
    <row r="111" customFormat="false" ht="15" hidden="false" customHeight="true" outlineLevel="0" collapsed="false">
      <c r="A111" s="22" t="str">
        <f aca="false">IF(Daily_Data!A110="","",Daily_Data!A110)</f>
        <v/>
      </c>
      <c r="B111" s="23" t="str">
        <f aca="false">IF(Daily_Data!B110="","",Daily_Data!B110)</f>
        <v/>
      </c>
      <c r="C111" s="23" t="str">
        <f aca="false">IF(A111="","",Daily_Data!C110)</f>
        <v/>
      </c>
      <c r="D111" s="23" t="str">
        <f aca="false">IF(A111="","",Daily_Data!D110)</f>
        <v/>
      </c>
      <c r="E111" s="24" t="str">
        <f aca="false">IF(A111="","",Daily_Data!E110)</f>
        <v/>
      </c>
      <c r="F111" s="23" t="str">
        <f aca="false">IF(A111="","",Daily_Data!F110)</f>
        <v/>
      </c>
      <c r="G111" s="23" t="str">
        <f aca="false">IF(A111="","",Daily_Data!G110)</f>
        <v/>
      </c>
      <c r="H111" s="25" t="str">
        <f aca="false">IF(A111="","",IFERROR(INDEX(SCD_Data!$C$3:$C$502,SUMPRODUCT((SCD_Data!$A$3:$A$502=B111)*(IFERROR(DATEVALUE(SCD_Data!$H$3:$H$502&amp;""),SCD_Data!$H$3:$H$502)&lt;=IFERROR(DATEVALUE(A111&amp;""),A111))*(IFERROR(DATEVALUE(SCD_Data!$I$3:$I$502&amp;""),SCD_Data!$I$3:$I$502)&gt;=IFERROR(DATEVALUE(A111&amp;""),A111))*(ROW(SCD_Data!$A$3:$A$502)-2))),"—"))</f>
        <v/>
      </c>
      <c r="I111" s="25" t="str">
        <f aca="false">IF(A111="","",IFERROR(INDEX(SCD_Data!$D$3:$D$502,SUMPRODUCT((SCD_Data!$A$3:$A$502=B111)*(IFERROR(DATEVALUE(SCD_Data!$H$3:$H$502&amp;""),SCD_Data!$H$3:$H$502)&lt;=IFERROR(DATEVALUE(A111&amp;""),A111))*(IFERROR(DATEVALUE(SCD_Data!$I$3:$I$502&amp;""),SCD_Data!$I$3:$I$502)&gt;=IFERROR(DATEVALUE(A111&amp;""),A111))*(ROW(SCD_Data!$A$3:$A$502)-2))),"—"))</f>
        <v/>
      </c>
      <c r="J111" s="26" t="str">
        <f aca="false">IF(A111="","",IFERROR(INDEX(SCD_Data!$E$3:$E$502,SUMPRODUCT((SCD_Data!$A$3:$A$502=B111)*(IFERROR(DATEVALUE(SCD_Data!$H$3:$H$502&amp;""),SCD_Data!$H$3:$H$502)&lt;=IFERROR(DATEVALUE(A111&amp;""),A111))*(IFERROR(DATEVALUE(SCD_Data!$I$3:$I$502&amp;""),SCD_Data!$I$3:$I$502)&gt;=IFERROR(DATEVALUE(A111&amp;""),A111))*(ROW(SCD_Data!$A$3:$A$502)-2))),"—"))</f>
        <v/>
      </c>
      <c r="K111" s="25" t="str">
        <f aca="false">IF(A111="","",IFERROR(INDEX(SCD_Data!$F$3:$F$502,SUMPRODUCT((SCD_Data!$A$3:$A$502=B111)*(IFERROR(DATEVALUE(SCD_Data!$H$3:$H$502&amp;""),SCD_Data!$H$3:$H$502)&lt;=IFERROR(DATEVALUE(A111&amp;""),A111))*(IFERROR(DATEVALUE(SCD_Data!$I$3:$I$502&amp;""),SCD_Data!$I$3:$I$502)&gt;=IFERROR(DATEVALUE(A111&amp;""),A111))*(ROW(SCD_Data!$A$3:$A$502)-2))),"—"))</f>
        <v/>
      </c>
      <c r="L111" s="25" t="str">
        <f aca="false">IF(A111="","",IFERROR(INDEX(SCD_Data!$G$3:$G$502,SUMPRODUCT((SCD_Data!$A$3:$A$502=B111)*(IFERROR(DATEVALUE(SCD_Data!$H$3:$H$502&amp;""),SCD_Data!$H$3:$H$502)&lt;=IFERROR(DATEVALUE(A111&amp;""),A111))*(IFERROR(DATEVALUE(SCD_Data!$I$3:$I$502&amp;""),SCD_Data!$I$3:$I$502)&gt;=IFERROR(DATEVALUE(A111&amp;""),A111))*(ROW(SCD_Data!$A$3:$A$502)-2))),"—"))</f>
        <v/>
      </c>
      <c r="M111" s="27" t="str">
        <f aca="false">IF(A111="","",IF(H111="—","—",IF(C111&amp;""=H111&amp;"","✓","✗")))</f>
        <v/>
      </c>
      <c r="N111" s="27" t="str">
        <f aca="false">IF(A111="","",IF(H111="—","—",IF(D111&amp;""=I111&amp;"","✓","✗")))</f>
        <v/>
      </c>
      <c r="O111" s="27" t="str">
        <f aca="false">IF(A111="","",IF(H111="—","—",IF(ABS(E111-J111)&lt;0.01,"✓","✗")))</f>
        <v/>
      </c>
      <c r="P111" s="27" t="str">
        <f aca="false">IF(A111="","",IF(H111="—","—",IF(F111&amp;""=K111&amp;"","✓","✗")))</f>
        <v/>
      </c>
      <c r="Q111" s="27" t="str">
        <f aca="false">IF(A111="","",IF(H111="—","—",IF(G111&amp;""=L111&amp;"","✓","✗")))</f>
        <v/>
      </c>
      <c r="R111" s="27" t="str">
        <f aca="false">IF(A111="","",IF(COUNTIF(M111:Q111,"—")=5,"⚠ NO SCD ROW",IF(COUNTIF(M111:Q111,"✗")&gt;0,"❌ MISMATCH","✅ MATCH")))</f>
        <v/>
      </c>
    </row>
    <row r="112" customFormat="false" ht="15" hidden="false" customHeight="true" outlineLevel="0" collapsed="false">
      <c r="A112" s="22" t="str">
        <f aca="false">IF(Daily_Data!A111="","",Daily_Data!A111)</f>
        <v/>
      </c>
      <c r="B112" s="23" t="str">
        <f aca="false">IF(Daily_Data!B111="","",Daily_Data!B111)</f>
        <v/>
      </c>
      <c r="C112" s="23" t="str">
        <f aca="false">IF(A112="","",Daily_Data!C111)</f>
        <v/>
      </c>
      <c r="D112" s="23" t="str">
        <f aca="false">IF(A112="","",Daily_Data!D111)</f>
        <v/>
      </c>
      <c r="E112" s="24" t="str">
        <f aca="false">IF(A112="","",Daily_Data!E111)</f>
        <v/>
      </c>
      <c r="F112" s="23" t="str">
        <f aca="false">IF(A112="","",Daily_Data!F111)</f>
        <v/>
      </c>
      <c r="G112" s="23" t="str">
        <f aca="false">IF(A112="","",Daily_Data!G111)</f>
        <v/>
      </c>
      <c r="H112" s="25" t="str">
        <f aca="false">IF(A112="","",IFERROR(INDEX(SCD_Data!$C$3:$C$502,SUMPRODUCT((SCD_Data!$A$3:$A$502=B112)*(IFERROR(DATEVALUE(SCD_Data!$H$3:$H$502&amp;""),SCD_Data!$H$3:$H$502)&lt;=IFERROR(DATEVALUE(A112&amp;""),A112))*(IFERROR(DATEVALUE(SCD_Data!$I$3:$I$502&amp;""),SCD_Data!$I$3:$I$502)&gt;=IFERROR(DATEVALUE(A112&amp;""),A112))*(ROW(SCD_Data!$A$3:$A$502)-2))),"—"))</f>
        <v/>
      </c>
      <c r="I112" s="25" t="str">
        <f aca="false">IF(A112="","",IFERROR(INDEX(SCD_Data!$D$3:$D$502,SUMPRODUCT((SCD_Data!$A$3:$A$502=B112)*(IFERROR(DATEVALUE(SCD_Data!$H$3:$H$502&amp;""),SCD_Data!$H$3:$H$502)&lt;=IFERROR(DATEVALUE(A112&amp;""),A112))*(IFERROR(DATEVALUE(SCD_Data!$I$3:$I$502&amp;""),SCD_Data!$I$3:$I$502)&gt;=IFERROR(DATEVALUE(A112&amp;""),A112))*(ROW(SCD_Data!$A$3:$A$502)-2))),"—"))</f>
        <v/>
      </c>
      <c r="J112" s="26" t="str">
        <f aca="false">IF(A112="","",IFERROR(INDEX(SCD_Data!$E$3:$E$502,SUMPRODUCT((SCD_Data!$A$3:$A$502=B112)*(IFERROR(DATEVALUE(SCD_Data!$H$3:$H$502&amp;""),SCD_Data!$H$3:$H$502)&lt;=IFERROR(DATEVALUE(A112&amp;""),A112))*(IFERROR(DATEVALUE(SCD_Data!$I$3:$I$502&amp;""),SCD_Data!$I$3:$I$502)&gt;=IFERROR(DATEVALUE(A112&amp;""),A112))*(ROW(SCD_Data!$A$3:$A$502)-2))),"—"))</f>
        <v/>
      </c>
      <c r="K112" s="25" t="str">
        <f aca="false">IF(A112="","",IFERROR(INDEX(SCD_Data!$F$3:$F$502,SUMPRODUCT((SCD_Data!$A$3:$A$502=B112)*(IFERROR(DATEVALUE(SCD_Data!$H$3:$H$502&amp;""),SCD_Data!$H$3:$H$502)&lt;=IFERROR(DATEVALUE(A112&amp;""),A112))*(IFERROR(DATEVALUE(SCD_Data!$I$3:$I$502&amp;""),SCD_Data!$I$3:$I$502)&gt;=IFERROR(DATEVALUE(A112&amp;""),A112))*(ROW(SCD_Data!$A$3:$A$502)-2))),"—"))</f>
        <v/>
      </c>
      <c r="L112" s="25" t="str">
        <f aca="false">IF(A112="","",IFERROR(INDEX(SCD_Data!$G$3:$G$502,SUMPRODUCT((SCD_Data!$A$3:$A$502=B112)*(IFERROR(DATEVALUE(SCD_Data!$H$3:$H$502&amp;""),SCD_Data!$H$3:$H$502)&lt;=IFERROR(DATEVALUE(A112&amp;""),A112))*(IFERROR(DATEVALUE(SCD_Data!$I$3:$I$502&amp;""),SCD_Data!$I$3:$I$502)&gt;=IFERROR(DATEVALUE(A112&amp;""),A112))*(ROW(SCD_Data!$A$3:$A$502)-2))),"—"))</f>
        <v/>
      </c>
      <c r="M112" s="27" t="str">
        <f aca="false">IF(A112="","",IF(H112="—","—",IF(C112&amp;""=H112&amp;"","✓","✗")))</f>
        <v/>
      </c>
      <c r="N112" s="27" t="str">
        <f aca="false">IF(A112="","",IF(H112="—","—",IF(D112&amp;""=I112&amp;"","✓","✗")))</f>
        <v/>
      </c>
      <c r="O112" s="27" t="str">
        <f aca="false">IF(A112="","",IF(H112="—","—",IF(ABS(E112-J112)&lt;0.01,"✓","✗")))</f>
        <v/>
      </c>
      <c r="P112" s="27" t="str">
        <f aca="false">IF(A112="","",IF(H112="—","—",IF(F112&amp;""=K112&amp;"","✓","✗")))</f>
        <v/>
      </c>
      <c r="Q112" s="27" t="str">
        <f aca="false">IF(A112="","",IF(H112="—","—",IF(G112&amp;""=L112&amp;"","✓","✗")))</f>
        <v/>
      </c>
      <c r="R112" s="27" t="str">
        <f aca="false">IF(A112="","",IF(COUNTIF(M112:Q112,"—")=5,"⚠ NO SCD ROW",IF(COUNTIF(M112:Q112,"✗")&gt;0,"❌ MISMATCH","✅ MATCH")))</f>
        <v/>
      </c>
    </row>
    <row r="113" customFormat="false" ht="15" hidden="false" customHeight="true" outlineLevel="0" collapsed="false">
      <c r="A113" s="22" t="str">
        <f aca="false">IF(Daily_Data!A112="","",Daily_Data!A112)</f>
        <v/>
      </c>
      <c r="B113" s="23" t="str">
        <f aca="false">IF(Daily_Data!B112="","",Daily_Data!B112)</f>
        <v/>
      </c>
      <c r="C113" s="23" t="str">
        <f aca="false">IF(A113="","",Daily_Data!C112)</f>
        <v/>
      </c>
      <c r="D113" s="23" t="str">
        <f aca="false">IF(A113="","",Daily_Data!D112)</f>
        <v/>
      </c>
      <c r="E113" s="24" t="str">
        <f aca="false">IF(A113="","",Daily_Data!E112)</f>
        <v/>
      </c>
      <c r="F113" s="23" t="str">
        <f aca="false">IF(A113="","",Daily_Data!F112)</f>
        <v/>
      </c>
      <c r="G113" s="23" t="str">
        <f aca="false">IF(A113="","",Daily_Data!G112)</f>
        <v/>
      </c>
      <c r="H113" s="25" t="str">
        <f aca="false">IF(A113="","",IFERROR(INDEX(SCD_Data!$C$3:$C$502,SUMPRODUCT((SCD_Data!$A$3:$A$502=B113)*(IFERROR(DATEVALUE(SCD_Data!$H$3:$H$502&amp;""),SCD_Data!$H$3:$H$502)&lt;=IFERROR(DATEVALUE(A113&amp;""),A113))*(IFERROR(DATEVALUE(SCD_Data!$I$3:$I$502&amp;""),SCD_Data!$I$3:$I$502)&gt;=IFERROR(DATEVALUE(A113&amp;""),A113))*(ROW(SCD_Data!$A$3:$A$502)-2))),"—"))</f>
        <v/>
      </c>
      <c r="I113" s="25" t="str">
        <f aca="false">IF(A113="","",IFERROR(INDEX(SCD_Data!$D$3:$D$502,SUMPRODUCT((SCD_Data!$A$3:$A$502=B113)*(IFERROR(DATEVALUE(SCD_Data!$H$3:$H$502&amp;""),SCD_Data!$H$3:$H$502)&lt;=IFERROR(DATEVALUE(A113&amp;""),A113))*(IFERROR(DATEVALUE(SCD_Data!$I$3:$I$502&amp;""),SCD_Data!$I$3:$I$502)&gt;=IFERROR(DATEVALUE(A113&amp;""),A113))*(ROW(SCD_Data!$A$3:$A$502)-2))),"—"))</f>
        <v/>
      </c>
      <c r="J113" s="26" t="str">
        <f aca="false">IF(A113="","",IFERROR(INDEX(SCD_Data!$E$3:$E$502,SUMPRODUCT((SCD_Data!$A$3:$A$502=B113)*(IFERROR(DATEVALUE(SCD_Data!$H$3:$H$502&amp;""),SCD_Data!$H$3:$H$502)&lt;=IFERROR(DATEVALUE(A113&amp;""),A113))*(IFERROR(DATEVALUE(SCD_Data!$I$3:$I$502&amp;""),SCD_Data!$I$3:$I$502)&gt;=IFERROR(DATEVALUE(A113&amp;""),A113))*(ROW(SCD_Data!$A$3:$A$502)-2))),"—"))</f>
        <v/>
      </c>
      <c r="K113" s="25" t="str">
        <f aca="false">IF(A113="","",IFERROR(INDEX(SCD_Data!$F$3:$F$502,SUMPRODUCT((SCD_Data!$A$3:$A$502=B113)*(IFERROR(DATEVALUE(SCD_Data!$H$3:$H$502&amp;""),SCD_Data!$H$3:$H$502)&lt;=IFERROR(DATEVALUE(A113&amp;""),A113))*(IFERROR(DATEVALUE(SCD_Data!$I$3:$I$502&amp;""),SCD_Data!$I$3:$I$502)&gt;=IFERROR(DATEVALUE(A113&amp;""),A113))*(ROW(SCD_Data!$A$3:$A$502)-2))),"—"))</f>
        <v/>
      </c>
      <c r="L113" s="25" t="str">
        <f aca="false">IF(A113="","",IFERROR(INDEX(SCD_Data!$G$3:$G$502,SUMPRODUCT((SCD_Data!$A$3:$A$502=B113)*(IFERROR(DATEVALUE(SCD_Data!$H$3:$H$502&amp;""),SCD_Data!$H$3:$H$502)&lt;=IFERROR(DATEVALUE(A113&amp;""),A113))*(IFERROR(DATEVALUE(SCD_Data!$I$3:$I$502&amp;""),SCD_Data!$I$3:$I$502)&gt;=IFERROR(DATEVALUE(A113&amp;""),A113))*(ROW(SCD_Data!$A$3:$A$502)-2))),"—"))</f>
        <v/>
      </c>
      <c r="M113" s="27" t="str">
        <f aca="false">IF(A113="","",IF(H113="—","—",IF(C113&amp;""=H113&amp;"","✓","✗")))</f>
        <v/>
      </c>
      <c r="N113" s="27" t="str">
        <f aca="false">IF(A113="","",IF(H113="—","—",IF(D113&amp;""=I113&amp;"","✓","✗")))</f>
        <v/>
      </c>
      <c r="O113" s="27" t="str">
        <f aca="false">IF(A113="","",IF(H113="—","—",IF(ABS(E113-J113)&lt;0.01,"✓","✗")))</f>
        <v/>
      </c>
      <c r="P113" s="27" t="str">
        <f aca="false">IF(A113="","",IF(H113="—","—",IF(F113&amp;""=K113&amp;"","✓","✗")))</f>
        <v/>
      </c>
      <c r="Q113" s="27" t="str">
        <f aca="false">IF(A113="","",IF(H113="—","—",IF(G113&amp;""=L113&amp;"","✓","✗")))</f>
        <v/>
      </c>
      <c r="R113" s="27" t="str">
        <f aca="false">IF(A113="","",IF(COUNTIF(M113:Q113,"—")=5,"⚠ NO SCD ROW",IF(COUNTIF(M113:Q113,"✗")&gt;0,"❌ MISMATCH","✅ MATCH")))</f>
        <v/>
      </c>
    </row>
    <row r="114" customFormat="false" ht="15" hidden="false" customHeight="true" outlineLevel="0" collapsed="false">
      <c r="A114" s="22" t="str">
        <f aca="false">IF(Daily_Data!A113="","",Daily_Data!A113)</f>
        <v/>
      </c>
      <c r="B114" s="23" t="str">
        <f aca="false">IF(Daily_Data!B113="","",Daily_Data!B113)</f>
        <v/>
      </c>
      <c r="C114" s="23" t="str">
        <f aca="false">IF(A114="","",Daily_Data!C113)</f>
        <v/>
      </c>
      <c r="D114" s="23" t="str">
        <f aca="false">IF(A114="","",Daily_Data!D113)</f>
        <v/>
      </c>
      <c r="E114" s="24" t="str">
        <f aca="false">IF(A114="","",Daily_Data!E113)</f>
        <v/>
      </c>
      <c r="F114" s="23" t="str">
        <f aca="false">IF(A114="","",Daily_Data!F113)</f>
        <v/>
      </c>
      <c r="G114" s="23" t="str">
        <f aca="false">IF(A114="","",Daily_Data!G113)</f>
        <v/>
      </c>
      <c r="H114" s="25" t="str">
        <f aca="false">IF(A114="","",IFERROR(INDEX(SCD_Data!$C$3:$C$502,SUMPRODUCT((SCD_Data!$A$3:$A$502=B114)*(IFERROR(DATEVALUE(SCD_Data!$H$3:$H$502&amp;""),SCD_Data!$H$3:$H$502)&lt;=IFERROR(DATEVALUE(A114&amp;""),A114))*(IFERROR(DATEVALUE(SCD_Data!$I$3:$I$502&amp;""),SCD_Data!$I$3:$I$502)&gt;=IFERROR(DATEVALUE(A114&amp;""),A114))*(ROW(SCD_Data!$A$3:$A$502)-2))),"—"))</f>
        <v/>
      </c>
      <c r="I114" s="25" t="str">
        <f aca="false">IF(A114="","",IFERROR(INDEX(SCD_Data!$D$3:$D$502,SUMPRODUCT((SCD_Data!$A$3:$A$502=B114)*(IFERROR(DATEVALUE(SCD_Data!$H$3:$H$502&amp;""),SCD_Data!$H$3:$H$502)&lt;=IFERROR(DATEVALUE(A114&amp;""),A114))*(IFERROR(DATEVALUE(SCD_Data!$I$3:$I$502&amp;""),SCD_Data!$I$3:$I$502)&gt;=IFERROR(DATEVALUE(A114&amp;""),A114))*(ROW(SCD_Data!$A$3:$A$502)-2))),"—"))</f>
        <v/>
      </c>
      <c r="J114" s="26" t="str">
        <f aca="false">IF(A114="","",IFERROR(INDEX(SCD_Data!$E$3:$E$502,SUMPRODUCT((SCD_Data!$A$3:$A$502=B114)*(IFERROR(DATEVALUE(SCD_Data!$H$3:$H$502&amp;""),SCD_Data!$H$3:$H$502)&lt;=IFERROR(DATEVALUE(A114&amp;""),A114))*(IFERROR(DATEVALUE(SCD_Data!$I$3:$I$502&amp;""),SCD_Data!$I$3:$I$502)&gt;=IFERROR(DATEVALUE(A114&amp;""),A114))*(ROW(SCD_Data!$A$3:$A$502)-2))),"—"))</f>
        <v/>
      </c>
      <c r="K114" s="25" t="str">
        <f aca="false">IF(A114="","",IFERROR(INDEX(SCD_Data!$F$3:$F$502,SUMPRODUCT((SCD_Data!$A$3:$A$502=B114)*(IFERROR(DATEVALUE(SCD_Data!$H$3:$H$502&amp;""),SCD_Data!$H$3:$H$502)&lt;=IFERROR(DATEVALUE(A114&amp;""),A114))*(IFERROR(DATEVALUE(SCD_Data!$I$3:$I$502&amp;""),SCD_Data!$I$3:$I$502)&gt;=IFERROR(DATEVALUE(A114&amp;""),A114))*(ROW(SCD_Data!$A$3:$A$502)-2))),"—"))</f>
        <v/>
      </c>
      <c r="L114" s="25" t="str">
        <f aca="false">IF(A114="","",IFERROR(INDEX(SCD_Data!$G$3:$G$502,SUMPRODUCT((SCD_Data!$A$3:$A$502=B114)*(IFERROR(DATEVALUE(SCD_Data!$H$3:$H$502&amp;""),SCD_Data!$H$3:$H$502)&lt;=IFERROR(DATEVALUE(A114&amp;""),A114))*(IFERROR(DATEVALUE(SCD_Data!$I$3:$I$502&amp;""),SCD_Data!$I$3:$I$502)&gt;=IFERROR(DATEVALUE(A114&amp;""),A114))*(ROW(SCD_Data!$A$3:$A$502)-2))),"—"))</f>
        <v/>
      </c>
      <c r="M114" s="27" t="str">
        <f aca="false">IF(A114="","",IF(H114="—","—",IF(C114&amp;""=H114&amp;"","✓","✗")))</f>
        <v/>
      </c>
      <c r="N114" s="27" t="str">
        <f aca="false">IF(A114="","",IF(H114="—","—",IF(D114&amp;""=I114&amp;"","✓","✗")))</f>
        <v/>
      </c>
      <c r="O114" s="27" t="str">
        <f aca="false">IF(A114="","",IF(H114="—","—",IF(ABS(E114-J114)&lt;0.01,"✓","✗")))</f>
        <v/>
      </c>
      <c r="P114" s="27" t="str">
        <f aca="false">IF(A114="","",IF(H114="—","—",IF(F114&amp;""=K114&amp;"","✓","✗")))</f>
        <v/>
      </c>
      <c r="Q114" s="27" t="str">
        <f aca="false">IF(A114="","",IF(H114="—","—",IF(G114&amp;""=L114&amp;"","✓","✗")))</f>
        <v/>
      </c>
      <c r="R114" s="27" t="str">
        <f aca="false">IF(A114="","",IF(COUNTIF(M114:Q114,"—")=5,"⚠ NO SCD ROW",IF(COUNTIF(M114:Q114,"✗")&gt;0,"❌ MISMATCH","✅ MATCH")))</f>
        <v/>
      </c>
    </row>
    <row r="115" customFormat="false" ht="15" hidden="false" customHeight="true" outlineLevel="0" collapsed="false">
      <c r="A115" s="22" t="str">
        <f aca="false">IF(Daily_Data!A114="","",Daily_Data!A114)</f>
        <v/>
      </c>
      <c r="B115" s="23" t="str">
        <f aca="false">IF(Daily_Data!B114="","",Daily_Data!B114)</f>
        <v/>
      </c>
      <c r="C115" s="23" t="str">
        <f aca="false">IF(A115="","",Daily_Data!C114)</f>
        <v/>
      </c>
      <c r="D115" s="23" t="str">
        <f aca="false">IF(A115="","",Daily_Data!D114)</f>
        <v/>
      </c>
      <c r="E115" s="24" t="str">
        <f aca="false">IF(A115="","",Daily_Data!E114)</f>
        <v/>
      </c>
      <c r="F115" s="23" t="str">
        <f aca="false">IF(A115="","",Daily_Data!F114)</f>
        <v/>
      </c>
      <c r="G115" s="23" t="str">
        <f aca="false">IF(A115="","",Daily_Data!G114)</f>
        <v/>
      </c>
      <c r="H115" s="25" t="str">
        <f aca="false">IF(A115="","",IFERROR(INDEX(SCD_Data!$C$3:$C$502,SUMPRODUCT((SCD_Data!$A$3:$A$502=B115)*(IFERROR(DATEVALUE(SCD_Data!$H$3:$H$502&amp;""),SCD_Data!$H$3:$H$502)&lt;=IFERROR(DATEVALUE(A115&amp;""),A115))*(IFERROR(DATEVALUE(SCD_Data!$I$3:$I$502&amp;""),SCD_Data!$I$3:$I$502)&gt;=IFERROR(DATEVALUE(A115&amp;""),A115))*(ROW(SCD_Data!$A$3:$A$502)-2))),"—"))</f>
        <v/>
      </c>
      <c r="I115" s="25" t="str">
        <f aca="false">IF(A115="","",IFERROR(INDEX(SCD_Data!$D$3:$D$502,SUMPRODUCT((SCD_Data!$A$3:$A$502=B115)*(IFERROR(DATEVALUE(SCD_Data!$H$3:$H$502&amp;""),SCD_Data!$H$3:$H$502)&lt;=IFERROR(DATEVALUE(A115&amp;""),A115))*(IFERROR(DATEVALUE(SCD_Data!$I$3:$I$502&amp;""),SCD_Data!$I$3:$I$502)&gt;=IFERROR(DATEVALUE(A115&amp;""),A115))*(ROW(SCD_Data!$A$3:$A$502)-2))),"—"))</f>
        <v/>
      </c>
      <c r="J115" s="26" t="str">
        <f aca="false">IF(A115="","",IFERROR(INDEX(SCD_Data!$E$3:$E$502,SUMPRODUCT((SCD_Data!$A$3:$A$502=B115)*(IFERROR(DATEVALUE(SCD_Data!$H$3:$H$502&amp;""),SCD_Data!$H$3:$H$502)&lt;=IFERROR(DATEVALUE(A115&amp;""),A115))*(IFERROR(DATEVALUE(SCD_Data!$I$3:$I$502&amp;""),SCD_Data!$I$3:$I$502)&gt;=IFERROR(DATEVALUE(A115&amp;""),A115))*(ROW(SCD_Data!$A$3:$A$502)-2))),"—"))</f>
        <v/>
      </c>
      <c r="K115" s="25" t="str">
        <f aca="false">IF(A115="","",IFERROR(INDEX(SCD_Data!$F$3:$F$502,SUMPRODUCT((SCD_Data!$A$3:$A$502=B115)*(IFERROR(DATEVALUE(SCD_Data!$H$3:$H$502&amp;""),SCD_Data!$H$3:$H$502)&lt;=IFERROR(DATEVALUE(A115&amp;""),A115))*(IFERROR(DATEVALUE(SCD_Data!$I$3:$I$502&amp;""),SCD_Data!$I$3:$I$502)&gt;=IFERROR(DATEVALUE(A115&amp;""),A115))*(ROW(SCD_Data!$A$3:$A$502)-2))),"—"))</f>
        <v/>
      </c>
      <c r="L115" s="25" t="str">
        <f aca="false">IF(A115="","",IFERROR(INDEX(SCD_Data!$G$3:$G$502,SUMPRODUCT((SCD_Data!$A$3:$A$502=B115)*(IFERROR(DATEVALUE(SCD_Data!$H$3:$H$502&amp;""),SCD_Data!$H$3:$H$502)&lt;=IFERROR(DATEVALUE(A115&amp;""),A115))*(IFERROR(DATEVALUE(SCD_Data!$I$3:$I$502&amp;""),SCD_Data!$I$3:$I$502)&gt;=IFERROR(DATEVALUE(A115&amp;""),A115))*(ROW(SCD_Data!$A$3:$A$502)-2))),"—"))</f>
        <v/>
      </c>
      <c r="M115" s="27" t="str">
        <f aca="false">IF(A115="","",IF(H115="—","—",IF(C115&amp;""=H115&amp;"","✓","✗")))</f>
        <v/>
      </c>
      <c r="N115" s="27" t="str">
        <f aca="false">IF(A115="","",IF(H115="—","—",IF(D115&amp;""=I115&amp;"","✓","✗")))</f>
        <v/>
      </c>
      <c r="O115" s="27" t="str">
        <f aca="false">IF(A115="","",IF(H115="—","—",IF(ABS(E115-J115)&lt;0.01,"✓","✗")))</f>
        <v/>
      </c>
      <c r="P115" s="27" t="str">
        <f aca="false">IF(A115="","",IF(H115="—","—",IF(F115&amp;""=K115&amp;"","✓","✗")))</f>
        <v/>
      </c>
      <c r="Q115" s="27" t="str">
        <f aca="false">IF(A115="","",IF(H115="—","—",IF(G115&amp;""=L115&amp;"","✓","✗")))</f>
        <v/>
      </c>
      <c r="R115" s="27" t="str">
        <f aca="false">IF(A115="","",IF(COUNTIF(M115:Q115,"—")=5,"⚠ NO SCD ROW",IF(COUNTIF(M115:Q115,"✗")&gt;0,"❌ MISMATCH","✅ MATCH")))</f>
        <v/>
      </c>
    </row>
    <row r="116" customFormat="false" ht="15" hidden="false" customHeight="true" outlineLevel="0" collapsed="false">
      <c r="A116" s="22" t="str">
        <f aca="false">IF(Daily_Data!A115="","",Daily_Data!A115)</f>
        <v/>
      </c>
      <c r="B116" s="23" t="str">
        <f aca="false">IF(Daily_Data!B115="","",Daily_Data!B115)</f>
        <v/>
      </c>
      <c r="C116" s="23" t="str">
        <f aca="false">IF(A116="","",Daily_Data!C115)</f>
        <v/>
      </c>
      <c r="D116" s="23" t="str">
        <f aca="false">IF(A116="","",Daily_Data!D115)</f>
        <v/>
      </c>
      <c r="E116" s="24" t="str">
        <f aca="false">IF(A116="","",Daily_Data!E115)</f>
        <v/>
      </c>
      <c r="F116" s="23" t="str">
        <f aca="false">IF(A116="","",Daily_Data!F115)</f>
        <v/>
      </c>
      <c r="G116" s="23" t="str">
        <f aca="false">IF(A116="","",Daily_Data!G115)</f>
        <v/>
      </c>
      <c r="H116" s="25" t="str">
        <f aca="false">IF(A116="","",IFERROR(INDEX(SCD_Data!$C$3:$C$502,SUMPRODUCT((SCD_Data!$A$3:$A$502=B116)*(IFERROR(DATEVALUE(SCD_Data!$H$3:$H$502&amp;""),SCD_Data!$H$3:$H$502)&lt;=IFERROR(DATEVALUE(A116&amp;""),A116))*(IFERROR(DATEVALUE(SCD_Data!$I$3:$I$502&amp;""),SCD_Data!$I$3:$I$502)&gt;=IFERROR(DATEVALUE(A116&amp;""),A116))*(ROW(SCD_Data!$A$3:$A$502)-2))),"—"))</f>
        <v/>
      </c>
      <c r="I116" s="25" t="str">
        <f aca="false">IF(A116="","",IFERROR(INDEX(SCD_Data!$D$3:$D$502,SUMPRODUCT((SCD_Data!$A$3:$A$502=B116)*(IFERROR(DATEVALUE(SCD_Data!$H$3:$H$502&amp;""),SCD_Data!$H$3:$H$502)&lt;=IFERROR(DATEVALUE(A116&amp;""),A116))*(IFERROR(DATEVALUE(SCD_Data!$I$3:$I$502&amp;""),SCD_Data!$I$3:$I$502)&gt;=IFERROR(DATEVALUE(A116&amp;""),A116))*(ROW(SCD_Data!$A$3:$A$502)-2))),"—"))</f>
        <v/>
      </c>
      <c r="J116" s="26" t="str">
        <f aca="false">IF(A116="","",IFERROR(INDEX(SCD_Data!$E$3:$E$502,SUMPRODUCT((SCD_Data!$A$3:$A$502=B116)*(IFERROR(DATEVALUE(SCD_Data!$H$3:$H$502&amp;""),SCD_Data!$H$3:$H$502)&lt;=IFERROR(DATEVALUE(A116&amp;""),A116))*(IFERROR(DATEVALUE(SCD_Data!$I$3:$I$502&amp;""),SCD_Data!$I$3:$I$502)&gt;=IFERROR(DATEVALUE(A116&amp;""),A116))*(ROW(SCD_Data!$A$3:$A$502)-2))),"—"))</f>
        <v/>
      </c>
      <c r="K116" s="25" t="str">
        <f aca="false">IF(A116="","",IFERROR(INDEX(SCD_Data!$F$3:$F$502,SUMPRODUCT((SCD_Data!$A$3:$A$502=B116)*(IFERROR(DATEVALUE(SCD_Data!$H$3:$H$502&amp;""),SCD_Data!$H$3:$H$502)&lt;=IFERROR(DATEVALUE(A116&amp;""),A116))*(IFERROR(DATEVALUE(SCD_Data!$I$3:$I$502&amp;""),SCD_Data!$I$3:$I$502)&gt;=IFERROR(DATEVALUE(A116&amp;""),A116))*(ROW(SCD_Data!$A$3:$A$502)-2))),"—"))</f>
        <v/>
      </c>
      <c r="L116" s="25" t="str">
        <f aca="false">IF(A116="","",IFERROR(INDEX(SCD_Data!$G$3:$G$502,SUMPRODUCT((SCD_Data!$A$3:$A$502=B116)*(IFERROR(DATEVALUE(SCD_Data!$H$3:$H$502&amp;""),SCD_Data!$H$3:$H$502)&lt;=IFERROR(DATEVALUE(A116&amp;""),A116))*(IFERROR(DATEVALUE(SCD_Data!$I$3:$I$502&amp;""),SCD_Data!$I$3:$I$502)&gt;=IFERROR(DATEVALUE(A116&amp;""),A116))*(ROW(SCD_Data!$A$3:$A$502)-2))),"—"))</f>
        <v/>
      </c>
      <c r="M116" s="27" t="str">
        <f aca="false">IF(A116="","",IF(H116="—","—",IF(C116&amp;""=H116&amp;"","✓","✗")))</f>
        <v/>
      </c>
      <c r="N116" s="27" t="str">
        <f aca="false">IF(A116="","",IF(H116="—","—",IF(D116&amp;""=I116&amp;"","✓","✗")))</f>
        <v/>
      </c>
      <c r="O116" s="27" t="str">
        <f aca="false">IF(A116="","",IF(H116="—","—",IF(ABS(E116-J116)&lt;0.01,"✓","✗")))</f>
        <v/>
      </c>
      <c r="P116" s="27" t="str">
        <f aca="false">IF(A116="","",IF(H116="—","—",IF(F116&amp;""=K116&amp;"","✓","✗")))</f>
        <v/>
      </c>
      <c r="Q116" s="27" t="str">
        <f aca="false">IF(A116="","",IF(H116="—","—",IF(G116&amp;""=L116&amp;"","✓","✗")))</f>
        <v/>
      </c>
      <c r="R116" s="27" t="str">
        <f aca="false">IF(A116="","",IF(COUNTIF(M116:Q116,"—")=5,"⚠ NO SCD ROW",IF(COUNTIF(M116:Q116,"✗")&gt;0,"❌ MISMATCH","✅ MATCH")))</f>
        <v/>
      </c>
    </row>
    <row r="117" customFormat="false" ht="15" hidden="false" customHeight="true" outlineLevel="0" collapsed="false">
      <c r="A117" s="22" t="str">
        <f aca="false">IF(Daily_Data!A116="","",Daily_Data!A116)</f>
        <v/>
      </c>
      <c r="B117" s="23" t="str">
        <f aca="false">IF(Daily_Data!B116="","",Daily_Data!B116)</f>
        <v/>
      </c>
      <c r="C117" s="23" t="str">
        <f aca="false">IF(A117="","",Daily_Data!C116)</f>
        <v/>
      </c>
      <c r="D117" s="23" t="str">
        <f aca="false">IF(A117="","",Daily_Data!D116)</f>
        <v/>
      </c>
      <c r="E117" s="24" t="str">
        <f aca="false">IF(A117="","",Daily_Data!E116)</f>
        <v/>
      </c>
      <c r="F117" s="23" t="str">
        <f aca="false">IF(A117="","",Daily_Data!F116)</f>
        <v/>
      </c>
      <c r="G117" s="23" t="str">
        <f aca="false">IF(A117="","",Daily_Data!G116)</f>
        <v/>
      </c>
      <c r="H117" s="25" t="str">
        <f aca="false">IF(A117="","",IFERROR(INDEX(SCD_Data!$C$3:$C$502,SUMPRODUCT((SCD_Data!$A$3:$A$502=B117)*(IFERROR(DATEVALUE(SCD_Data!$H$3:$H$502&amp;""),SCD_Data!$H$3:$H$502)&lt;=IFERROR(DATEVALUE(A117&amp;""),A117))*(IFERROR(DATEVALUE(SCD_Data!$I$3:$I$502&amp;""),SCD_Data!$I$3:$I$502)&gt;=IFERROR(DATEVALUE(A117&amp;""),A117))*(ROW(SCD_Data!$A$3:$A$502)-2))),"—"))</f>
        <v/>
      </c>
      <c r="I117" s="25" t="str">
        <f aca="false">IF(A117="","",IFERROR(INDEX(SCD_Data!$D$3:$D$502,SUMPRODUCT((SCD_Data!$A$3:$A$502=B117)*(IFERROR(DATEVALUE(SCD_Data!$H$3:$H$502&amp;""),SCD_Data!$H$3:$H$502)&lt;=IFERROR(DATEVALUE(A117&amp;""),A117))*(IFERROR(DATEVALUE(SCD_Data!$I$3:$I$502&amp;""),SCD_Data!$I$3:$I$502)&gt;=IFERROR(DATEVALUE(A117&amp;""),A117))*(ROW(SCD_Data!$A$3:$A$502)-2))),"—"))</f>
        <v/>
      </c>
      <c r="J117" s="26" t="str">
        <f aca="false">IF(A117="","",IFERROR(INDEX(SCD_Data!$E$3:$E$502,SUMPRODUCT((SCD_Data!$A$3:$A$502=B117)*(IFERROR(DATEVALUE(SCD_Data!$H$3:$H$502&amp;""),SCD_Data!$H$3:$H$502)&lt;=IFERROR(DATEVALUE(A117&amp;""),A117))*(IFERROR(DATEVALUE(SCD_Data!$I$3:$I$502&amp;""),SCD_Data!$I$3:$I$502)&gt;=IFERROR(DATEVALUE(A117&amp;""),A117))*(ROW(SCD_Data!$A$3:$A$502)-2))),"—"))</f>
        <v/>
      </c>
      <c r="K117" s="25" t="str">
        <f aca="false">IF(A117="","",IFERROR(INDEX(SCD_Data!$F$3:$F$502,SUMPRODUCT((SCD_Data!$A$3:$A$502=B117)*(IFERROR(DATEVALUE(SCD_Data!$H$3:$H$502&amp;""),SCD_Data!$H$3:$H$502)&lt;=IFERROR(DATEVALUE(A117&amp;""),A117))*(IFERROR(DATEVALUE(SCD_Data!$I$3:$I$502&amp;""),SCD_Data!$I$3:$I$502)&gt;=IFERROR(DATEVALUE(A117&amp;""),A117))*(ROW(SCD_Data!$A$3:$A$502)-2))),"—"))</f>
        <v/>
      </c>
      <c r="L117" s="25" t="str">
        <f aca="false">IF(A117="","",IFERROR(INDEX(SCD_Data!$G$3:$G$502,SUMPRODUCT((SCD_Data!$A$3:$A$502=B117)*(IFERROR(DATEVALUE(SCD_Data!$H$3:$H$502&amp;""),SCD_Data!$H$3:$H$502)&lt;=IFERROR(DATEVALUE(A117&amp;""),A117))*(IFERROR(DATEVALUE(SCD_Data!$I$3:$I$502&amp;""),SCD_Data!$I$3:$I$502)&gt;=IFERROR(DATEVALUE(A117&amp;""),A117))*(ROW(SCD_Data!$A$3:$A$502)-2))),"—"))</f>
        <v/>
      </c>
      <c r="M117" s="27" t="str">
        <f aca="false">IF(A117="","",IF(H117="—","—",IF(C117&amp;""=H117&amp;"","✓","✗")))</f>
        <v/>
      </c>
      <c r="N117" s="27" t="str">
        <f aca="false">IF(A117="","",IF(H117="—","—",IF(D117&amp;""=I117&amp;"","✓","✗")))</f>
        <v/>
      </c>
      <c r="O117" s="27" t="str">
        <f aca="false">IF(A117="","",IF(H117="—","—",IF(ABS(E117-J117)&lt;0.01,"✓","✗")))</f>
        <v/>
      </c>
      <c r="P117" s="27" t="str">
        <f aca="false">IF(A117="","",IF(H117="—","—",IF(F117&amp;""=K117&amp;"","✓","✗")))</f>
        <v/>
      </c>
      <c r="Q117" s="27" t="str">
        <f aca="false">IF(A117="","",IF(H117="—","—",IF(G117&amp;""=L117&amp;"","✓","✗")))</f>
        <v/>
      </c>
      <c r="R117" s="27" t="str">
        <f aca="false">IF(A117="","",IF(COUNTIF(M117:Q117,"—")=5,"⚠ NO SCD ROW",IF(COUNTIF(M117:Q117,"✗")&gt;0,"❌ MISMATCH","✅ MATCH")))</f>
        <v/>
      </c>
    </row>
    <row r="118" customFormat="false" ht="15" hidden="false" customHeight="true" outlineLevel="0" collapsed="false">
      <c r="A118" s="22" t="str">
        <f aca="false">IF(Daily_Data!A117="","",Daily_Data!A117)</f>
        <v/>
      </c>
      <c r="B118" s="23" t="str">
        <f aca="false">IF(Daily_Data!B117="","",Daily_Data!B117)</f>
        <v/>
      </c>
      <c r="C118" s="23" t="str">
        <f aca="false">IF(A118="","",Daily_Data!C117)</f>
        <v/>
      </c>
      <c r="D118" s="23" t="str">
        <f aca="false">IF(A118="","",Daily_Data!D117)</f>
        <v/>
      </c>
      <c r="E118" s="24" t="str">
        <f aca="false">IF(A118="","",Daily_Data!E117)</f>
        <v/>
      </c>
      <c r="F118" s="23" t="str">
        <f aca="false">IF(A118="","",Daily_Data!F117)</f>
        <v/>
      </c>
      <c r="G118" s="23" t="str">
        <f aca="false">IF(A118="","",Daily_Data!G117)</f>
        <v/>
      </c>
      <c r="H118" s="25" t="str">
        <f aca="false">IF(A118="","",IFERROR(INDEX(SCD_Data!$C$3:$C$502,SUMPRODUCT((SCD_Data!$A$3:$A$502=B118)*(IFERROR(DATEVALUE(SCD_Data!$H$3:$H$502&amp;""),SCD_Data!$H$3:$H$502)&lt;=IFERROR(DATEVALUE(A118&amp;""),A118))*(IFERROR(DATEVALUE(SCD_Data!$I$3:$I$502&amp;""),SCD_Data!$I$3:$I$502)&gt;=IFERROR(DATEVALUE(A118&amp;""),A118))*(ROW(SCD_Data!$A$3:$A$502)-2))),"—"))</f>
        <v/>
      </c>
      <c r="I118" s="25" t="str">
        <f aca="false">IF(A118="","",IFERROR(INDEX(SCD_Data!$D$3:$D$502,SUMPRODUCT((SCD_Data!$A$3:$A$502=B118)*(IFERROR(DATEVALUE(SCD_Data!$H$3:$H$502&amp;""),SCD_Data!$H$3:$H$502)&lt;=IFERROR(DATEVALUE(A118&amp;""),A118))*(IFERROR(DATEVALUE(SCD_Data!$I$3:$I$502&amp;""),SCD_Data!$I$3:$I$502)&gt;=IFERROR(DATEVALUE(A118&amp;""),A118))*(ROW(SCD_Data!$A$3:$A$502)-2))),"—"))</f>
        <v/>
      </c>
      <c r="J118" s="26" t="str">
        <f aca="false">IF(A118="","",IFERROR(INDEX(SCD_Data!$E$3:$E$502,SUMPRODUCT((SCD_Data!$A$3:$A$502=B118)*(IFERROR(DATEVALUE(SCD_Data!$H$3:$H$502&amp;""),SCD_Data!$H$3:$H$502)&lt;=IFERROR(DATEVALUE(A118&amp;""),A118))*(IFERROR(DATEVALUE(SCD_Data!$I$3:$I$502&amp;""),SCD_Data!$I$3:$I$502)&gt;=IFERROR(DATEVALUE(A118&amp;""),A118))*(ROW(SCD_Data!$A$3:$A$502)-2))),"—"))</f>
        <v/>
      </c>
      <c r="K118" s="25" t="str">
        <f aca="false">IF(A118="","",IFERROR(INDEX(SCD_Data!$F$3:$F$502,SUMPRODUCT((SCD_Data!$A$3:$A$502=B118)*(IFERROR(DATEVALUE(SCD_Data!$H$3:$H$502&amp;""),SCD_Data!$H$3:$H$502)&lt;=IFERROR(DATEVALUE(A118&amp;""),A118))*(IFERROR(DATEVALUE(SCD_Data!$I$3:$I$502&amp;""),SCD_Data!$I$3:$I$502)&gt;=IFERROR(DATEVALUE(A118&amp;""),A118))*(ROW(SCD_Data!$A$3:$A$502)-2))),"—"))</f>
        <v/>
      </c>
      <c r="L118" s="25" t="str">
        <f aca="false">IF(A118="","",IFERROR(INDEX(SCD_Data!$G$3:$G$502,SUMPRODUCT((SCD_Data!$A$3:$A$502=B118)*(IFERROR(DATEVALUE(SCD_Data!$H$3:$H$502&amp;""),SCD_Data!$H$3:$H$502)&lt;=IFERROR(DATEVALUE(A118&amp;""),A118))*(IFERROR(DATEVALUE(SCD_Data!$I$3:$I$502&amp;""),SCD_Data!$I$3:$I$502)&gt;=IFERROR(DATEVALUE(A118&amp;""),A118))*(ROW(SCD_Data!$A$3:$A$502)-2))),"—"))</f>
        <v/>
      </c>
      <c r="M118" s="27" t="str">
        <f aca="false">IF(A118="","",IF(H118="—","—",IF(C118&amp;""=H118&amp;"","✓","✗")))</f>
        <v/>
      </c>
      <c r="N118" s="27" t="str">
        <f aca="false">IF(A118="","",IF(H118="—","—",IF(D118&amp;""=I118&amp;"","✓","✗")))</f>
        <v/>
      </c>
      <c r="O118" s="27" t="str">
        <f aca="false">IF(A118="","",IF(H118="—","—",IF(ABS(E118-J118)&lt;0.01,"✓","✗")))</f>
        <v/>
      </c>
      <c r="P118" s="27" t="str">
        <f aca="false">IF(A118="","",IF(H118="—","—",IF(F118&amp;""=K118&amp;"","✓","✗")))</f>
        <v/>
      </c>
      <c r="Q118" s="27" t="str">
        <f aca="false">IF(A118="","",IF(H118="—","—",IF(G118&amp;""=L118&amp;"","✓","✗")))</f>
        <v/>
      </c>
      <c r="R118" s="27" t="str">
        <f aca="false">IF(A118="","",IF(COUNTIF(M118:Q118,"—")=5,"⚠ NO SCD ROW",IF(COUNTIF(M118:Q118,"✗")&gt;0,"❌ MISMATCH","✅ MATCH")))</f>
        <v/>
      </c>
    </row>
    <row r="119" customFormat="false" ht="15" hidden="false" customHeight="true" outlineLevel="0" collapsed="false">
      <c r="A119" s="22" t="str">
        <f aca="false">IF(Daily_Data!A118="","",Daily_Data!A118)</f>
        <v/>
      </c>
      <c r="B119" s="23" t="str">
        <f aca="false">IF(Daily_Data!B118="","",Daily_Data!B118)</f>
        <v/>
      </c>
      <c r="C119" s="23" t="str">
        <f aca="false">IF(A119="","",Daily_Data!C118)</f>
        <v/>
      </c>
      <c r="D119" s="23" t="str">
        <f aca="false">IF(A119="","",Daily_Data!D118)</f>
        <v/>
      </c>
      <c r="E119" s="24" t="str">
        <f aca="false">IF(A119="","",Daily_Data!E118)</f>
        <v/>
      </c>
      <c r="F119" s="23" t="str">
        <f aca="false">IF(A119="","",Daily_Data!F118)</f>
        <v/>
      </c>
      <c r="G119" s="23" t="str">
        <f aca="false">IF(A119="","",Daily_Data!G118)</f>
        <v/>
      </c>
      <c r="H119" s="25" t="str">
        <f aca="false">IF(A119="","",IFERROR(INDEX(SCD_Data!$C$3:$C$502,SUMPRODUCT((SCD_Data!$A$3:$A$502=B119)*(IFERROR(DATEVALUE(SCD_Data!$H$3:$H$502&amp;""),SCD_Data!$H$3:$H$502)&lt;=IFERROR(DATEVALUE(A119&amp;""),A119))*(IFERROR(DATEVALUE(SCD_Data!$I$3:$I$502&amp;""),SCD_Data!$I$3:$I$502)&gt;=IFERROR(DATEVALUE(A119&amp;""),A119))*(ROW(SCD_Data!$A$3:$A$502)-2))),"—"))</f>
        <v/>
      </c>
      <c r="I119" s="25" t="str">
        <f aca="false">IF(A119="","",IFERROR(INDEX(SCD_Data!$D$3:$D$502,SUMPRODUCT((SCD_Data!$A$3:$A$502=B119)*(IFERROR(DATEVALUE(SCD_Data!$H$3:$H$502&amp;""),SCD_Data!$H$3:$H$502)&lt;=IFERROR(DATEVALUE(A119&amp;""),A119))*(IFERROR(DATEVALUE(SCD_Data!$I$3:$I$502&amp;""),SCD_Data!$I$3:$I$502)&gt;=IFERROR(DATEVALUE(A119&amp;""),A119))*(ROW(SCD_Data!$A$3:$A$502)-2))),"—"))</f>
        <v/>
      </c>
      <c r="J119" s="26" t="str">
        <f aca="false">IF(A119="","",IFERROR(INDEX(SCD_Data!$E$3:$E$502,SUMPRODUCT((SCD_Data!$A$3:$A$502=B119)*(IFERROR(DATEVALUE(SCD_Data!$H$3:$H$502&amp;""),SCD_Data!$H$3:$H$502)&lt;=IFERROR(DATEVALUE(A119&amp;""),A119))*(IFERROR(DATEVALUE(SCD_Data!$I$3:$I$502&amp;""),SCD_Data!$I$3:$I$502)&gt;=IFERROR(DATEVALUE(A119&amp;""),A119))*(ROW(SCD_Data!$A$3:$A$502)-2))),"—"))</f>
        <v/>
      </c>
      <c r="K119" s="25" t="str">
        <f aca="false">IF(A119="","",IFERROR(INDEX(SCD_Data!$F$3:$F$502,SUMPRODUCT((SCD_Data!$A$3:$A$502=B119)*(IFERROR(DATEVALUE(SCD_Data!$H$3:$H$502&amp;""),SCD_Data!$H$3:$H$502)&lt;=IFERROR(DATEVALUE(A119&amp;""),A119))*(IFERROR(DATEVALUE(SCD_Data!$I$3:$I$502&amp;""),SCD_Data!$I$3:$I$502)&gt;=IFERROR(DATEVALUE(A119&amp;""),A119))*(ROW(SCD_Data!$A$3:$A$502)-2))),"—"))</f>
        <v/>
      </c>
      <c r="L119" s="25" t="str">
        <f aca="false">IF(A119="","",IFERROR(INDEX(SCD_Data!$G$3:$G$502,SUMPRODUCT((SCD_Data!$A$3:$A$502=B119)*(IFERROR(DATEVALUE(SCD_Data!$H$3:$H$502&amp;""),SCD_Data!$H$3:$H$502)&lt;=IFERROR(DATEVALUE(A119&amp;""),A119))*(IFERROR(DATEVALUE(SCD_Data!$I$3:$I$502&amp;""),SCD_Data!$I$3:$I$502)&gt;=IFERROR(DATEVALUE(A119&amp;""),A119))*(ROW(SCD_Data!$A$3:$A$502)-2))),"—"))</f>
        <v/>
      </c>
      <c r="M119" s="27" t="str">
        <f aca="false">IF(A119="","",IF(H119="—","—",IF(C119&amp;""=H119&amp;"","✓","✗")))</f>
        <v/>
      </c>
      <c r="N119" s="27" t="str">
        <f aca="false">IF(A119="","",IF(H119="—","—",IF(D119&amp;""=I119&amp;"","✓","✗")))</f>
        <v/>
      </c>
      <c r="O119" s="27" t="str">
        <f aca="false">IF(A119="","",IF(H119="—","—",IF(ABS(E119-J119)&lt;0.01,"✓","✗")))</f>
        <v/>
      </c>
      <c r="P119" s="27" t="str">
        <f aca="false">IF(A119="","",IF(H119="—","—",IF(F119&amp;""=K119&amp;"","✓","✗")))</f>
        <v/>
      </c>
      <c r="Q119" s="27" t="str">
        <f aca="false">IF(A119="","",IF(H119="—","—",IF(G119&amp;""=L119&amp;"","✓","✗")))</f>
        <v/>
      </c>
      <c r="R119" s="27" t="str">
        <f aca="false">IF(A119="","",IF(COUNTIF(M119:Q119,"—")=5,"⚠ NO SCD ROW",IF(COUNTIF(M119:Q119,"✗")&gt;0,"❌ MISMATCH","✅ MATCH")))</f>
        <v/>
      </c>
    </row>
    <row r="120" customFormat="false" ht="15" hidden="false" customHeight="true" outlineLevel="0" collapsed="false">
      <c r="A120" s="22" t="str">
        <f aca="false">IF(Daily_Data!A119="","",Daily_Data!A119)</f>
        <v/>
      </c>
      <c r="B120" s="23" t="str">
        <f aca="false">IF(Daily_Data!B119="","",Daily_Data!B119)</f>
        <v/>
      </c>
      <c r="C120" s="23" t="str">
        <f aca="false">IF(A120="","",Daily_Data!C119)</f>
        <v/>
      </c>
      <c r="D120" s="23" t="str">
        <f aca="false">IF(A120="","",Daily_Data!D119)</f>
        <v/>
      </c>
      <c r="E120" s="24" t="str">
        <f aca="false">IF(A120="","",Daily_Data!E119)</f>
        <v/>
      </c>
      <c r="F120" s="23" t="str">
        <f aca="false">IF(A120="","",Daily_Data!F119)</f>
        <v/>
      </c>
      <c r="G120" s="23" t="str">
        <f aca="false">IF(A120="","",Daily_Data!G119)</f>
        <v/>
      </c>
      <c r="H120" s="25" t="str">
        <f aca="false">IF(A120="","",IFERROR(INDEX(SCD_Data!$C$3:$C$502,SUMPRODUCT((SCD_Data!$A$3:$A$502=B120)*(IFERROR(DATEVALUE(SCD_Data!$H$3:$H$502&amp;""),SCD_Data!$H$3:$H$502)&lt;=IFERROR(DATEVALUE(A120&amp;""),A120))*(IFERROR(DATEVALUE(SCD_Data!$I$3:$I$502&amp;""),SCD_Data!$I$3:$I$502)&gt;=IFERROR(DATEVALUE(A120&amp;""),A120))*(ROW(SCD_Data!$A$3:$A$502)-2))),"—"))</f>
        <v/>
      </c>
      <c r="I120" s="25" t="str">
        <f aca="false">IF(A120="","",IFERROR(INDEX(SCD_Data!$D$3:$D$502,SUMPRODUCT((SCD_Data!$A$3:$A$502=B120)*(IFERROR(DATEVALUE(SCD_Data!$H$3:$H$502&amp;""),SCD_Data!$H$3:$H$502)&lt;=IFERROR(DATEVALUE(A120&amp;""),A120))*(IFERROR(DATEVALUE(SCD_Data!$I$3:$I$502&amp;""),SCD_Data!$I$3:$I$502)&gt;=IFERROR(DATEVALUE(A120&amp;""),A120))*(ROW(SCD_Data!$A$3:$A$502)-2))),"—"))</f>
        <v/>
      </c>
      <c r="J120" s="26" t="str">
        <f aca="false">IF(A120="","",IFERROR(INDEX(SCD_Data!$E$3:$E$502,SUMPRODUCT((SCD_Data!$A$3:$A$502=B120)*(IFERROR(DATEVALUE(SCD_Data!$H$3:$H$502&amp;""),SCD_Data!$H$3:$H$502)&lt;=IFERROR(DATEVALUE(A120&amp;""),A120))*(IFERROR(DATEVALUE(SCD_Data!$I$3:$I$502&amp;""),SCD_Data!$I$3:$I$502)&gt;=IFERROR(DATEVALUE(A120&amp;""),A120))*(ROW(SCD_Data!$A$3:$A$502)-2))),"—"))</f>
        <v/>
      </c>
      <c r="K120" s="25" t="str">
        <f aca="false">IF(A120="","",IFERROR(INDEX(SCD_Data!$F$3:$F$502,SUMPRODUCT((SCD_Data!$A$3:$A$502=B120)*(IFERROR(DATEVALUE(SCD_Data!$H$3:$H$502&amp;""),SCD_Data!$H$3:$H$502)&lt;=IFERROR(DATEVALUE(A120&amp;""),A120))*(IFERROR(DATEVALUE(SCD_Data!$I$3:$I$502&amp;""),SCD_Data!$I$3:$I$502)&gt;=IFERROR(DATEVALUE(A120&amp;""),A120))*(ROW(SCD_Data!$A$3:$A$502)-2))),"—"))</f>
        <v/>
      </c>
      <c r="L120" s="25" t="str">
        <f aca="false">IF(A120="","",IFERROR(INDEX(SCD_Data!$G$3:$G$502,SUMPRODUCT((SCD_Data!$A$3:$A$502=B120)*(IFERROR(DATEVALUE(SCD_Data!$H$3:$H$502&amp;""),SCD_Data!$H$3:$H$502)&lt;=IFERROR(DATEVALUE(A120&amp;""),A120))*(IFERROR(DATEVALUE(SCD_Data!$I$3:$I$502&amp;""),SCD_Data!$I$3:$I$502)&gt;=IFERROR(DATEVALUE(A120&amp;""),A120))*(ROW(SCD_Data!$A$3:$A$502)-2))),"—"))</f>
        <v/>
      </c>
      <c r="M120" s="27" t="str">
        <f aca="false">IF(A120="","",IF(H120="—","—",IF(C120&amp;""=H120&amp;"","✓","✗")))</f>
        <v/>
      </c>
      <c r="N120" s="27" t="str">
        <f aca="false">IF(A120="","",IF(H120="—","—",IF(D120&amp;""=I120&amp;"","✓","✗")))</f>
        <v/>
      </c>
      <c r="O120" s="27" t="str">
        <f aca="false">IF(A120="","",IF(H120="—","—",IF(ABS(E120-J120)&lt;0.01,"✓","✗")))</f>
        <v/>
      </c>
      <c r="P120" s="27" t="str">
        <f aca="false">IF(A120="","",IF(H120="—","—",IF(F120&amp;""=K120&amp;"","✓","✗")))</f>
        <v/>
      </c>
      <c r="Q120" s="27" t="str">
        <f aca="false">IF(A120="","",IF(H120="—","—",IF(G120&amp;""=L120&amp;"","✓","✗")))</f>
        <v/>
      </c>
      <c r="R120" s="27" t="str">
        <f aca="false">IF(A120="","",IF(COUNTIF(M120:Q120,"—")=5,"⚠ NO SCD ROW",IF(COUNTIF(M120:Q120,"✗")&gt;0,"❌ MISMATCH","✅ MATCH")))</f>
        <v/>
      </c>
    </row>
    <row r="121" customFormat="false" ht="15" hidden="false" customHeight="true" outlineLevel="0" collapsed="false">
      <c r="A121" s="22" t="str">
        <f aca="false">IF(Daily_Data!A120="","",Daily_Data!A120)</f>
        <v/>
      </c>
      <c r="B121" s="23" t="str">
        <f aca="false">IF(Daily_Data!B120="","",Daily_Data!B120)</f>
        <v/>
      </c>
      <c r="C121" s="23" t="str">
        <f aca="false">IF(A121="","",Daily_Data!C120)</f>
        <v/>
      </c>
      <c r="D121" s="23" t="str">
        <f aca="false">IF(A121="","",Daily_Data!D120)</f>
        <v/>
      </c>
      <c r="E121" s="24" t="str">
        <f aca="false">IF(A121="","",Daily_Data!E120)</f>
        <v/>
      </c>
      <c r="F121" s="23" t="str">
        <f aca="false">IF(A121="","",Daily_Data!F120)</f>
        <v/>
      </c>
      <c r="G121" s="23" t="str">
        <f aca="false">IF(A121="","",Daily_Data!G120)</f>
        <v/>
      </c>
      <c r="H121" s="25" t="str">
        <f aca="false">IF(A121="","",IFERROR(INDEX(SCD_Data!$C$3:$C$502,SUMPRODUCT((SCD_Data!$A$3:$A$502=B121)*(IFERROR(DATEVALUE(SCD_Data!$H$3:$H$502&amp;""),SCD_Data!$H$3:$H$502)&lt;=IFERROR(DATEVALUE(A121&amp;""),A121))*(IFERROR(DATEVALUE(SCD_Data!$I$3:$I$502&amp;""),SCD_Data!$I$3:$I$502)&gt;=IFERROR(DATEVALUE(A121&amp;""),A121))*(ROW(SCD_Data!$A$3:$A$502)-2))),"—"))</f>
        <v/>
      </c>
      <c r="I121" s="25" t="str">
        <f aca="false">IF(A121="","",IFERROR(INDEX(SCD_Data!$D$3:$D$502,SUMPRODUCT((SCD_Data!$A$3:$A$502=B121)*(IFERROR(DATEVALUE(SCD_Data!$H$3:$H$502&amp;""),SCD_Data!$H$3:$H$502)&lt;=IFERROR(DATEVALUE(A121&amp;""),A121))*(IFERROR(DATEVALUE(SCD_Data!$I$3:$I$502&amp;""),SCD_Data!$I$3:$I$502)&gt;=IFERROR(DATEVALUE(A121&amp;""),A121))*(ROW(SCD_Data!$A$3:$A$502)-2))),"—"))</f>
        <v/>
      </c>
      <c r="J121" s="26" t="str">
        <f aca="false">IF(A121="","",IFERROR(INDEX(SCD_Data!$E$3:$E$502,SUMPRODUCT((SCD_Data!$A$3:$A$502=B121)*(IFERROR(DATEVALUE(SCD_Data!$H$3:$H$502&amp;""),SCD_Data!$H$3:$H$502)&lt;=IFERROR(DATEVALUE(A121&amp;""),A121))*(IFERROR(DATEVALUE(SCD_Data!$I$3:$I$502&amp;""),SCD_Data!$I$3:$I$502)&gt;=IFERROR(DATEVALUE(A121&amp;""),A121))*(ROW(SCD_Data!$A$3:$A$502)-2))),"—"))</f>
        <v/>
      </c>
      <c r="K121" s="25" t="str">
        <f aca="false">IF(A121="","",IFERROR(INDEX(SCD_Data!$F$3:$F$502,SUMPRODUCT((SCD_Data!$A$3:$A$502=B121)*(IFERROR(DATEVALUE(SCD_Data!$H$3:$H$502&amp;""),SCD_Data!$H$3:$H$502)&lt;=IFERROR(DATEVALUE(A121&amp;""),A121))*(IFERROR(DATEVALUE(SCD_Data!$I$3:$I$502&amp;""),SCD_Data!$I$3:$I$502)&gt;=IFERROR(DATEVALUE(A121&amp;""),A121))*(ROW(SCD_Data!$A$3:$A$502)-2))),"—"))</f>
        <v/>
      </c>
      <c r="L121" s="25" t="str">
        <f aca="false">IF(A121="","",IFERROR(INDEX(SCD_Data!$G$3:$G$502,SUMPRODUCT((SCD_Data!$A$3:$A$502=B121)*(IFERROR(DATEVALUE(SCD_Data!$H$3:$H$502&amp;""),SCD_Data!$H$3:$H$502)&lt;=IFERROR(DATEVALUE(A121&amp;""),A121))*(IFERROR(DATEVALUE(SCD_Data!$I$3:$I$502&amp;""),SCD_Data!$I$3:$I$502)&gt;=IFERROR(DATEVALUE(A121&amp;""),A121))*(ROW(SCD_Data!$A$3:$A$502)-2))),"—"))</f>
        <v/>
      </c>
      <c r="M121" s="27" t="str">
        <f aca="false">IF(A121="","",IF(H121="—","—",IF(C121&amp;""=H121&amp;"","✓","✗")))</f>
        <v/>
      </c>
      <c r="N121" s="27" t="str">
        <f aca="false">IF(A121="","",IF(H121="—","—",IF(D121&amp;""=I121&amp;"","✓","✗")))</f>
        <v/>
      </c>
      <c r="O121" s="27" t="str">
        <f aca="false">IF(A121="","",IF(H121="—","—",IF(ABS(E121-J121)&lt;0.01,"✓","✗")))</f>
        <v/>
      </c>
      <c r="P121" s="27" t="str">
        <f aca="false">IF(A121="","",IF(H121="—","—",IF(F121&amp;""=K121&amp;"","✓","✗")))</f>
        <v/>
      </c>
      <c r="Q121" s="27" t="str">
        <f aca="false">IF(A121="","",IF(H121="—","—",IF(G121&amp;""=L121&amp;"","✓","✗")))</f>
        <v/>
      </c>
      <c r="R121" s="27" t="str">
        <f aca="false">IF(A121="","",IF(COUNTIF(M121:Q121,"—")=5,"⚠ NO SCD ROW",IF(COUNTIF(M121:Q121,"✗")&gt;0,"❌ MISMATCH","✅ MATCH")))</f>
        <v/>
      </c>
    </row>
    <row r="122" customFormat="false" ht="15" hidden="false" customHeight="true" outlineLevel="0" collapsed="false">
      <c r="A122" s="22" t="str">
        <f aca="false">IF(Daily_Data!A121="","",Daily_Data!A121)</f>
        <v/>
      </c>
      <c r="B122" s="23" t="str">
        <f aca="false">IF(Daily_Data!B121="","",Daily_Data!B121)</f>
        <v/>
      </c>
      <c r="C122" s="23" t="str">
        <f aca="false">IF(A122="","",Daily_Data!C121)</f>
        <v/>
      </c>
      <c r="D122" s="23" t="str">
        <f aca="false">IF(A122="","",Daily_Data!D121)</f>
        <v/>
      </c>
      <c r="E122" s="24" t="str">
        <f aca="false">IF(A122="","",Daily_Data!E121)</f>
        <v/>
      </c>
      <c r="F122" s="23" t="str">
        <f aca="false">IF(A122="","",Daily_Data!F121)</f>
        <v/>
      </c>
      <c r="G122" s="23" t="str">
        <f aca="false">IF(A122="","",Daily_Data!G121)</f>
        <v/>
      </c>
      <c r="H122" s="25" t="str">
        <f aca="false">IF(A122="","",IFERROR(INDEX(SCD_Data!$C$3:$C$502,SUMPRODUCT((SCD_Data!$A$3:$A$502=B122)*(IFERROR(DATEVALUE(SCD_Data!$H$3:$H$502&amp;""),SCD_Data!$H$3:$H$502)&lt;=IFERROR(DATEVALUE(A122&amp;""),A122))*(IFERROR(DATEVALUE(SCD_Data!$I$3:$I$502&amp;""),SCD_Data!$I$3:$I$502)&gt;=IFERROR(DATEVALUE(A122&amp;""),A122))*(ROW(SCD_Data!$A$3:$A$502)-2))),"—"))</f>
        <v/>
      </c>
      <c r="I122" s="25" t="str">
        <f aca="false">IF(A122="","",IFERROR(INDEX(SCD_Data!$D$3:$D$502,SUMPRODUCT((SCD_Data!$A$3:$A$502=B122)*(IFERROR(DATEVALUE(SCD_Data!$H$3:$H$502&amp;""),SCD_Data!$H$3:$H$502)&lt;=IFERROR(DATEVALUE(A122&amp;""),A122))*(IFERROR(DATEVALUE(SCD_Data!$I$3:$I$502&amp;""),SCD_Data!$I$3:$I$502)&gt;=IFERROR(DATEVALUE(A122&amp;""),A122))*(ROW(SCD_Data!$A$3:$A$502)-2))),"—"))</f>
        <v/>
      </c>
      <c r="J122" s="26" t="str">
        <f aca="false">IF(A122="","",IFERROR(INDEX(SCD_Data!$E$3:$E$502,SUMPRODUCT((SCD_Data!$A$3:$A$502=B122)*(IFERROR(DATEVALUE(SCD_Data!$H$3:$H$502&amp;""),SCD_Data!$H$3:$H$502)&lt;=IFERROR(DATEVALUE(A122&amp;""),A122))*(IFERROR(DATEVALUE(SCD_Data!$I$3:$I$502&amp;""),SCD_Data!$I$3:$I$502)&gt;=IFERROR(DATEVALUE(A122&amp;""),A122))*(ROW(SCD_Data!$A$3:$A$502)-2))),"—"))</f>
        <v/>
      </c>
      <c r="K122" s="25" t="str">
        <f aca="false">IF(A122="","",IFERROR(INDEX(SCD_Data!$F$3:$F$502,SUMPRODUCT((SCD_Data!$A$3:$A$502=B122)*(IFERROR(DATEVALUE(SCD_Data!$H$3:$H$502&amp;""),SCD_Data!$H$3:$H$502)&lt;=IFERROR(DATEVALUE(A122&amp;""),A122))*(IFERROR(DATEVALUE(SCD_Data!$I$3:$I$502&amp;""),SCD_Data!$I$3:$I$502)&gt;=IFERROR(DATEVALUE(A122&amp;""),A122))*(ROW(SCD_Data!$A$3:$A$502)-2))),"—"))</f>
        <v/>
      </c>
      <c r="L122" s="25" t="str">
        <f aca="false">IF(A122="","",IFERROR(INDEX(SCD_Data!$G$3:$G$502,SUMPRODUCT((SCD_Data!$A$3:$A$502=B122)*(IFERROR(DATEVALUE(SCD_Data!$H$3:$H$502&amp;""),SCD_Data!$H$3:$H$502)&lt;=IFERROR(DATEVALUE(A122&amp;""),A122))*(IFERROR(DATEVALUE(SCD_Data!$I$3:$I$502&amp;""),SCD_Data!$I$3:$I$502)&gt;=IFERROR(DATEVALUE(A122&amp;""),A122))*(ROW(SCD_Data!$A$3:$A$502)-2))),"—"))</f>
        <v/>
      </c>
      <c r="M122" s="27" t="str">
        <f aca="false">IF(A122="","",IF(H122="—","—",IF(C122&amp;""=H122&amp;"","✓","✗")))</f>
        <v/>
      </c>
      <c r="N122" s="27" t="str">
        <f aca="false">IF(A122="","",IF(H122="—","—",IF(D122&amp;""=I122&amp;"","✓","✗")))</f>
        <v/>
      </c>
      <c r="O122" s="27" t="str">
        <f aca="false">IF(A122="","",IF(H122="—","—",IF(ABS(E122-J122)&lt;0.01,"✓","✗")))</f>
        <v/>
      </c>
      <c r="P122" s="27" t="str">
        <f aca="false">IF(A122="","",IF(H122="—","—",IF(F122&amp;""=K122&amp;"","✓","✗")))</f>
        <v/>
      </c>
      <c r="Q122" s="27" t="str">
        <f aca="false">IF(A122="","",IF(H122="—","—",IF(G122&amp;""=L122&amp;"","✓","✗")))</f>
        <v/>
      </c>
      <c r="R122" s="27" t="str">
        <f aca="false">IF(A122="","",IF(COUNTIF(M122:Q122,"—")=5,"⚠ NO SCD ROW",IF(COUNTIF(M122:Q122,"✗")&gt;0,"❌ MISMATCH","✅ MATCH")))</f>
        <v/>
      </c>
    </row>
    <row r="123" customFormat="false" ht="15" hidden="false" customHeight="true" outlineLevel="0" collapsed="false">
      <c r="A123" s="22" t="str">
        <f aca="false">IF(Daily_Data!A122="","",Daily_Data!A122)</f>
        <v/>
      </c>
      <c r="B123" s="23" t="str">
        <f aca="false">IF(Daily_Data!B122="","",Daily_Data!B122)</f>
        <v/>
      </c>
      <c r="C123" s="23" t="str">
        <f aca="false">IF(A123="","",Daily_Data!C122)</f>
        <v/>
      </c>
      <c r="D123" s="23" t="str">
        <f aca="false">IF(A123="","",Daily_Data!D122)</f>
        <v/>
      </c>
      <c r="E123" s="24" t="str">
        <f aca="false">IF(A123="","",Daily_Data!E122)</f>
        <v/>
      </c>
      <c r="F123" s="23" t="str">
        <f aca="false">IF(A123="","",Daily_Data!F122)</f>
        <v/>
      </c>
      <c r="G123" s="23" t="str">
        <f aca="false">IF(A123="","",Daily_Data!G122)</f>
        <v/>
      </c>
      <c r="H123" s="25" t="str">
        <f aca="false">IF(A123="","",IFERROR(INDEX(SCD_Data!$C$3:$C$502,SUMPRODUCT((SCD_Data!$A$3:$A$502=B123)*(IFERROR(DATEVALUE(SCD_Data!$H$3:$H$502&amp;""),SCD_Data!$H$3:$H$502)&lt;=IFERROR(DATEVALUE(A123&amp;""),A123))*(IFERROR(DATEVALUE(SCD_Data!$I$3:$I$502&amp;""),SCD_Data!$I$3:$I$502)&gt;=IFERROR(DATEVALUE(A123&amp;""),A123))*(ROW(SCD_Data!$A$3:$A$502)-2))),"—"))</f>
        <v/>
      </c>
      <c r="I123" s="25" t="str">
        <f aca="false">IF(A123="","",IFERROR(INDEX(SCD_Data!$D$3:$D$502,SUMPRODUCT((SCD_Data!$A$3:$A$502=B123)*(IFERROR(DATEVALUE(SCD_Data!$H$3:$H$502&amp;""),SCD_Data!$H$3:$H$502)&lt;=IFERROR(DATEVALUE(A123&amp;""),A123))*(IFERROR(DATEVALUE(SCD_Data!$I$3:$I$502&amp;""),SCD_Data!$I$3:$I$502)&gt;=IFERROR(DATEVALUE(A123&amp;""),A123))*(ROW(SCD_Data!$A$3:$A$502)-2))),"—"))</f>
        <v/>
      </c>
      <c r="J123" s="26" t="str">
        <f aca="false">IF(A123="","",IFERROR(INDEX(SCD_Data!$E$3:$E$502,SUMPRODUCT((SCD_Data!$A$3:$A$502=B123)*(IFERROR(DATEVALUE(SCD_Data!$H$3:$H$502&amp;""),SCD_Data!$H$3:$H$502)&lt;=IFERROR(DATEVALUE(A123&amp;""),A123))*(IFERROR(DATEVALUE(SCD_Data!$I$3:$I$502&amp;""),SCD_Data!$I$3:$I$502)&gt;=IFERROR(DATEVALUE(A123&amp;""),A123))*(ROW(SCD_Data!$A$3:$A$502)-2))),"—"))</f>
        <v/>
      </c>
      <c r="K123" s="25" t="str">
        <f aca="false">IF(A123="","",IFERROR(INDEX(SCD_Data!$F$3:$F$502,SUMPRODUCT((SCD_Data!$A$3:$A$502=B123)*(IFERROR(DATEVALUE(SCD_Data!$H$3:$H$502&amp;""),SCD_Data!$H$3:$H$502)&lt;=IFERROR(DATEVALUE(A123&amp;""),A123))*(IFERROR(DATEVALUE(SCD_Data!$I$3:$I$502&amp;""),SCD_Data!$I$3:$I$502)&gt;=IFERROR(DATEVALUE(A123&amp;""),A123))*(ROW(SCD_Data!$A$3:$A$502)-2))),"—"))</f>
        <v/>
      </c>
      <c r="L123" s="25" t="str">
        <f aca="false">IF(A123="","",IFERROR(INDEX(SCD_Data!$G$3:$G$502,SUMPRODUCT((SCD_Data!$A$3:$A$502=B123)*(IFERROR(DATEVALUE(SCD_Data!$H$3:$H$502&amp;""),SCD_Data!$H$3:$H$502)&lt;=IFERROR(DATEVALUE(A123&amp;""),A123))*(IFERROR(DATEVALUE(SCD_Data!$I$3:$I$502&amp;""),SCD_Data!$I$3:$I$502)&gt;=IFERROR(DATEVALUE(A123&amp;""),A123))*(ROW(SCD_Data!$A$3:$A$502)-2))),"—"))</f>
        <v/>
      </c>
      <c r="M123" s="27" t="str">
        <f aca="false">IF(A123="","",IF(H123="—","—",IF(C123&amp;""=H123&amp;"","✓","✗")))</f>
        <v/>
      </c>
      <c r="N123" s="27" t="str">
        <f aca="false">IF(A123="","",IF(H123="—","—",IF(D123&amp;""=I123&amp;"","✓","✗")))</f>
        <v/>
      </c>
      <c r="O123" s="27" t="str">
        <f aca="false">IF(A123="","",IF(H123="—","—",IF(ABS(E123-J123)&lt;0.01,"✓","✗")))</f>
        <v/>
      </c>
      <c r="P123" s="27" t="str">
        <f aca="false">IF(A123="","",IF(H123="—","—",IF(F123&amp;""=K123&amp;"","✓","✗")))</f>
        <v/>
      </c>
      <c r="Q123" s="27" t="str">
        <f aca="false">IF(A123="","",IF(H123="—","—",IF(G123&amp;""=L123&amp;"","✓","✗")))</f>
        <v/>
      </c>
      <c r="R123" s="27" t="str">
        <f aca="false">IF(A123="","",IF(COUNTIF(M123:Q123,"—")=5,"⚠ NO SCD ROW",IF(COUNTIF(M123:Q123,"✗")&gt;0,"❌ MISMATCH","✅ MATCH")))</f>
        <v/>
      </c>
    </row>
    <row r="124" customFormat="false" ht="15" hidden="false" customHeight="true" outlineLevel="0" collapsed="false">
      <c r="A124" s="22" t="str">
        <f aca="false">IF(Daily_Data!A123="","",Daily_Data!A123)</f>
        <v/>
      </c>
      <c r="B124" s="23" t="str">
        <f aca="false">IF(Daily_Data!B123="","",Daily_Data!B123)</f>
        <v/>
      </c>
      <c r="C124" s="23" t="str">
        <f aca="false">IF(A124="","",Daily_Data!C123)</f>
        <v/>
      </c>
      <c r="D124" s="23" t="str">
        <f aca="false">IF(A124="","",Daily_Data!D123)</f>
        <v/>
      </c>
      <c r="E124" s="24" t="str">
        <f aca="false">IF(A124="","",Daily_Data!E123)</f>
        <v/>
      </c>
      <c r="F124" s="23" t="str">
        <f aca="false">IF(A124="","",Daily_Data!F123)</f>
        <v/>
      </c>
      <c r="G124" s="23" t="str">
        <f aca="false">IF(A124="","",Daily_Data!G123)</f>
        <v/>
      </c>
      <c r="H124" s="25" t="str">
        <f aca="false">IF(A124="","",IFERROR(INDEX(SCD_Data!$C$3:$C$502,SUMPRODUCT((SCD_Data!$A$3:$A$502=B124)*(IFERROR(DATEVALUE(SCD_Data!$H$3:$H$502&amp;""),SCD_Data!$H$3:$H$502)&lt;=IFERROR(DATEVALUE(A124&amp;""),A124))*(IFERROR(DATEVALUE(SCD_Data!$I$3:$I$502&amp;""),SCD_Data!$I$3:$I$502)&gt;=IFERROR(DATEVALUE(A124&amp;""),A124))*(ROW(SCD_Data!$A$3:$A$502)-2))),"—"))</f>
        <v/>
      </c>
      <c r="I124" s="25" t="str">
        <f aca="false">IF(A124="","",IFERROR(INDEX(SCD_Data!$D$3:$D$502,SUMPRODUCT((SCD_Data!$A$3:$A$502=B124)*(IFERROR(DATEVALUE(SCD_Data!$H$3:$H$502&amp;""),SCD_Data!$H$3:$H$502)&lt;=IFERROR(DATEVALUE(A124&amp;""),A124))*(IFERROR(DATEVALUE(SCD_Data!$I$3:$I$502&amp;""),SCD_Data!$I$3:$I$502)&gt;=IFERROR(DATEVALUE(A124&amp;""),A124))*(ROW(SCD_Data!$A$3:$A$502)-2))),"—"))</f>
        <v/>
      </c>
      <c r="J124" s="26" t="str">
        <f aca="false">IF(A124="","",IFERROR(INDEX(SCD_Data!$E$3:$E$502,SUMPRODUCT((SCD_Data!$A$3:$A$502=B124)*(IFERROR(DATEVALUE(SCD_Data!$H$3:$H$502&amp;""),SCD_Data!$H$3:$H$502)&lt;=IFERROR(DATEVALUE(A124&amp;""),A124))*(IFERROR(DATEVALUE(SCD_Data!$I$3:$I$502&amp;""),SCD_Data!$I$3:$I$502)&gt;=IFERROR(DATEVALUE(A124&amp;""),A124))*(ROW(SCD_Data!$A$3:$A$502)-2))),"—"))</f>
        <v/>
      </c>
      <c r="K124" s="25" t="str">
        <f aca="false">IF(A124="","",IFERROR(INDEX(SCD_Data!$F$3:$F$502,SUMPRODUCT((SCD_Data!$A$3:$A$502=B124)*(IFERROR(DATEVALUE(SCD_Data!$H$3:$H$502&amp;""),SCD_Data!$H$3:$H$502)&lt;=IFERROR(DATEVALUE(A124&amp;""),A124))*(IFERROR(DATEVALUE(SCD_Data!$I$3:$I$502&amp;""),SCD_Data!$I$3:$I$502)&gt;=IFERROR(DATEVALUE(A124&amp;""),A124))*(ROW(SCD_Data!$A$3:$A$502)-2))),"—"))</f>
        <v/>
      </c>
      <c r="L124" s="25" t="str">
        <f aca="false">IF(A124="","",IFERROR(INDEX(SCD_Data!$G$3:$G$502,SUMPRODUCT((SCD_Data!$A$3:$A$502=B124)*(IFERROR(DATEVALUE(SCD_Data!$H$3:$H$502&amp;""),SCD_Data!$H$3:$H$502)&lt;=IFERROR(DATEVALUE(A124&amp;""),A124))*(IFERROR(DATEVALUE(SCD_Data!$I$3:$I$502&amp;""),SCD_Data!$I$3:$I$502)&gt;=IFERROR(DATEVALUE(A124&amp;""),A124))*(ROW(SCD_Data!$A$3:$A$502)-2))),"—"))</f>
        <v/>
      </c>
      <c r="M124" s="27" t="str">
        <f aca="false">IF(A124="","",IF(H124="—","—",IF(C124&amp;""=H124&amp;"","✓","✗")))</f>
        <v/>
      </c>
      <c r="N124" s="27" t="str">
        <f aca="false">IF(A124="","",IF(H124="—","—",IF(D124&amp;""=I124&amp;"","✓","✗")))</f>
        <v/>
      </c>
      <c r="O124" s="27" t="str">
        <f aca="false">IF(A124="","",IF(H124="—","—",IF(ABS(E124-J124)&lt;0.01,"✓","✗")))</f>
        <v/>
      </c>
      <c r="P124" s="27" t="str">
        <f aca="false">IF(A124="","",IF(H124="—","—",IF(F124&amp;""=K124&amp;"","✓","✗")))</f>
        <v/>
      </c>
      <c r="Q124" s="27" t="str">
        <f aca="false">IF(A124="","",IF(H124="—","—",IF(G124&amp;""=L124&amp;"","✓","✗")))</f>
        <v/>
      </c>
      <c r="R124" s="27" t="str">
        <f aca="false">IF(A124="","",IF(COUNTIF(M124:Q124,"—")=5,"⚠ NO SCD ROW",IF(COUNTIF(M124:Q124,"✗")&gt;0,"❌ MISMATCH","✅ MATCH")))</f>
        <v/>
      </c>
    </row>
    <row r="125" customFormat="false" ht="15" hidden="false" customHeight="true" outlineLevel="0" collapsed="false">
      <c r="A125" s="22" t="str">
        <f aca="false">IF(Daily_Data!A124="","",Daily_Data!A124)</f>
        <v/>
      </c>
      <c r="B125" s="23" t="str">
        <f aca="false">IF(Daily_Data!B124="","",Daily_Data!B124)</f>
        <v/>
      </c>
      <c r="C125" s="23" t="str">
        <f aca="false">IF(A125="","",Daily_Data!C124)</f>
        <v/>
      </c>
      <c r="D125" s="23" t="str">
        <f aca="false">IF(A125="","",Daily_Data!D124)</f>
        <v/>
      </c>
      <c r="E125" s="24" t="str">
        <f aca="false">IF(A125="","",Daily_Data!E124)</f>
        <v/>
      </c>
      <c r="F125" s="23" t="str">
        <f aca="false">IF(A125="","",Daily_Data!F124)</f>
        <v/>
      </c>
      <c r="G125" s="23" t="str">
        <f aca="false">IF(A125="","",Daily_Data!G124)</f>
        <v/>
      </c>
      <c r="H125" s="25" t="str">
        <f aca="false">IF(A125="","",IFERROR(INDEX(SCD_Data!$C$3:$C$502,SUMPRODUCT((SCD_Data!$A$3:$A$502=B125)*(IFERROR(DATEVALUE(SCD_Data!$H$3:$H$502&amp;""),SCD_Data!$H$3:$H$502)&lt;=IFERROR(DATEVALUE(A125&amp;""),A125))*(IFERROR(DATEVALUE(SCD_Data!$I$3:$I$502&amp;""),SCD_Data!$I$3:$I$502)&gt;=IFERROR(DATEVALUE(A125&amp;""),A125))*(ROW(SCD_Data!$A$3:$A$502)-2))),"—"))</f>
        <v/>
      </c>
      <c r="I125" s="25" t="str">
        <f aca="false">IF(A125="","",IFERROR(INDEX(SCD_Data!$D$3:$D$502,SUMPRODUCT((SCD_Data!$A$3:$A$502=B125)*(IFERROR(DATEVALUE(SCD_Data!$H$3:$H$502&amp;""),SCD_Data!$H$3:$H$502)&lt;=IFERROR(DATEVALUE(A125&amp;""),A125))*(IFERROR(DATEVALUE(SCD_Data!$I$3:$I$502&amp;""),SCD_Data!$I$3:$I$502)&gt;=IFERROR(DATEVALUE(A125&amp;""),A125))*(ROW(SCD_Data!$A$3:$A$502)-2))),"—"))</f>
        <v/>
      </c>
      <c r="J125" s="26" t="str">
        <f aca="false">IF(A125="","",IFERROR(INDEX(SCD_Data!$E$3:$E$502,SUMPRODUCT((SCD_Data!$A$3:$A$502=B125)*(IFERROR(DATEVALUE(SCD_Data!$H$3:$H$502&amp;""),SCD_Data!$H$3:$H$502)&lt;=IFERROR(DATEVALUE(A125&amp;""),A125))*(IFERROR(DATEVALUE(SCD_Data!$I$3:$I$502&amp;""),SCD_Data!$I$3:$I$502)&gt;=IFERROR(DATEVALUE(A125&amp;""),A125))*(ROW(SCD_Data!$A$3:$A$502)-2))),"—"))</f>
        <v/>
      </c>
      <c r="K125" s="25" t="str">
        <f aca="false">IF(A125="","",IFERROR(INDEX(SCD_Data!$F$3:$F$502,SUMPRODUCT((SCD_Data!$A$3:$A$502=B125)*(IFERROR(DATEVALUE(SCD_Data!$H$3:$H$502&amp;""),SCD_Data!$H$3:$H$502)&lt;=IFERROR(DATEVALUE(A125&amp;""),A125))*(IFERROR(DATEVALUE(SCD_Data!$I$3:$I$502&amp;""),SCD_Data!$I$3:$I$502)&gt;=IFERROR(DATEVALUE(A125&amp;""),A125))*(ROW(SCD_Data!$A$3:$A$502)-2))),"—"))</f>
        <v/>
      </c>
      <c r="L125" s="25" t="str">
        <f aca="false">IF(A125="","",IFERROR(INDEX(SCD_Data!$G$3:$G$502,SUMPRODUCT((SCD_Data!$A$3:$A$502=B125)*(IFERROR(DATEVALUE(SCD_Data!$H$3:$H$502&amp;""),SCD_Data!$H$3:$H$502)&lt;=IFERROR(DATEVALUE(A125&amp;""),A125))*(IFERROR(DATEVALUE(SCD_Data!$I$3:$I$502&amp;""),SCD_Data!$I$3:$I$502)&gt;=IFERROR(DATEVALUE(A125&amp;""),A125))*(ROW(SCD_Data!$A$3:$A$502)-2))),"—"))</f>
        <v/>
      </c>
      <c r="M125" s="27" t="str">
        <f aca="false">IF(A125="","",IF(H125="—","—",IF(C125&amp;""=H125&amp;"","✓","✗")))</f>
        <v/>
      </c>
      <c r="N125" s="27" t="str">
        <f aca="false">IF(A125="","",IF(H125="—","—",IF(D125&amp;""=I125&amp;"","✓","✗")))</f>
        <v/>
      </c>
      <c r="O125" s="27" t="str">
        <f aca="false">IF(A125="","",IF(H125="—","—",IF(ABS(E125-J125)&lt;0.01,"✓","✗")))</f>
        <v/>
      </c>
      <c r="P125" s="27" t="str">
        <f aca="false">IF(A125="","",IF(H125="—","—",IF(F125&amp;""=K125&amp;"","✓","✗")))</f>
        <v/>
      </c>
      <c r="Q125" s="27" t="str">
        <f aca="false">IF(A125="","",IF(H125="—","—",IF(G125&amp;""=L125&amp;"","✓","✗")))</f>
        <v/>
      </c>
      <c r="R125" s="27" t="str">
        <f aca="false">IF(A125="","",IF(COUNTIF(M125:Q125,"—")=5,"⚠ NO SCD ROW",IF(COUNTIF(M125:Q125,"✗")&gt;0,"❌ MISMATCH","✅ MATCH")))</f>
        <v/>
      </c>
    </row>
    <row r="126" customFormat="false" ht="15" hidden="false" customHeight="true" outlineLevel="0" collapsed="false">
      <c r="A126" s="22" t="str">
        <f aca="false">IF(Daily_Data!A125="","",Daily_Data!A125)</f>
        <v/>
      </c>
      <c r="B126" s="23" t="str">
        <f aca="false">IF(Daily_Data!B125="","",Daily_Data!B125)</f>
        <v/>
      </c>
      <c r="C126" s="23" t="str">
        <f aca="false">IF(A126="","",Daily_Data!C125)</f>
        <v/>
      </c>
      <c r="D126" s="23" t="str">
        <f aca="false">IF(A126="","",Daily_Data!D125)</f>
        <v/>
      </c>
      <c r="E126" s="24" t="str">
        <f aca="false">IF(A126="","",Daily_Data!E125)</f>
        <v/>
      </c>
      <c r="F126" s="23" t="str">
        <f aca="false">IF(A126="","",Daily_Data!F125)</f>
        <v/>
      </c>
      <c r="G126" s="23" t="str">
        <f aca="false">IF(A126="","",Daily_Data!G125)</f>
        <v/>
      </c>
      <c r="H126" s="25" t="str">
        <f aca="false">IF(A126="","",IFERROR(INDEX(SCD_Data!$C$3:$C$502,SUMPRODUCT((SCD_Data!$A$3:$A$502=B126)*(IFERROR(DATEVALUE(SCD_Data!$H$3:$H$502&amp;""),SCD_Data!$H$3:$H$502)&lt;=IFERROR(DATEVALUE(A126&amp;""),A126))*(IFERROR(DATEVALUE(SCD_Data!$I$3:$I$502&amp;""),SCD_Data!$I$3:$I$502)&gt;=IFERROR(DATEVALUE(A126&amp;""),A126))*(ROW(SCD_Data!$A$3:$A$502)-2))),"—"))</f>
        <v/>
      </c>
      <c r="I126" s="25" t="str">
        <f aca="false">IF(A126="","",IFERROR(INDEX(SCD_Data!$D$3:$D$502,SUMPRODUCT((SCD_Data!$A$3:$A$502=B126)*(IFERROR(DATEVALUE(SCD_Data!$H$3:$H$502&amp;""),SCD_Data!$H$3:$H$502)&lt;=IFERROR(DATEVALUE(A126&amp;""),A126))*(IFERROR(DATEVALUE(SCD_Data!$I$3:$I$502&amp;""),SCD_Data!$I$3:$I$502)&gt;=IFERROR(DATEVALUE(A126&amp;""),A126))*(ROW(SCD_Data!$A$3:$A$502)-2))),"—"))</f>
        <v/>
      </c>
      <c r="J126" s="26" t="str">
        <f aca="false">IF(A126="","",IFERROR(INDEX(SCD_Data!$E$3:$E$502,SUMPRODUCT((SCD_Data!$A$3:$A$502=B126)*(IFERROR(DATEVALUE(SCD_Data!$H$3:$H$502&amp;""),SCD_Data!$H$3:$H$502)&lt;=IFERROR(DATEVALUE(A126&amp;""),A126))*(IFERROR(DATEVALUE(SCD_Data!$I$3:$I$502&amp;""),SCD_Data!$I$3:$I$502)&gt;=IFERROR(DATEVALUE(A126&amp;""),A126))*(ROW(SCD_Data!$A$3:$A$502)-2))),"—"))</f>
        <v/>
      </c>
      <c r="K126" s="25" t="str">
        <f aca="false">IF(A126="","",IFERROR(INDEX(SCD_Data!$F$3:$F$502,SUMPRODUCT((SCD_Data!$A$3:$A$502=B126)*(IFERROR(DATEVALUE(SCD_Data!$H$3:$H$502&amp;""),SCD_Data!$H$3:$H$502)&lt;=IFERROR(DATEVALUE(A126&amp;""),A126))*(IFERROR(DATEVALUE(SCD_Data!$I$3:$I$502&amp;""),SCD_Data!$I$3:$I$502)&gt;=IFERROR(DATEVALUE(A126&amp;""),A126))*(ROW(SCD_Data!$A$3:$A$502)-2))),"—"))</f>
        <v/>
      </c>
      <c r="L126" s="25" t="str">
        <f aca="false">IF(A126="","",IFERROR(INDEX(SCD_Data!$G$3:$G$502,SUMPRODUCT((SCD_Data!$A$3:$A$502=B126)*(IFERROR(DATEVALUE(SCD_Data!$H$3:$H$502&amp;""),SCD_Data!$H$3:$H$502)&lt;=IFERROR(DATEVALUE(A126&amp;""),A126))*(IFERROR(DATEVALUE(SCD_Data!$I$3:$I$502&amp;""),SCD_Data!$I$3:$I$502)&gt;=IFERROR(DATEVALUE(A126&amp;""),A126))*(ROW(SCD_Data!$A$3:$A$502)-2))),"—"))</f>
        <v/>
      </c>
      <c r="M126" s="27" t="str">
        <f aca="false">IF(A126="","",IF(H126="—","—",IF(C126&amp;""=H126&amp;"","✓","✗")))</f>
        <v/>
      </c>
      <c r="N126" s="27" t="str">
        <f aca="false">IF(A126="","",IF(H126="—","—",IF(D126&amp;""=I126&amp;"","✓","✗")))</f>
        <v/>
      </c>
      <c r="O126" s="27" t="str">
        <f aca="false">IF(A126="","",IF(H126="—","—",IF(ABS(E126-J126)&lt;0.01,"✓","✗")))</f>
        <v/>
      </c>
      <c r="P126" s="27" t="str">
        <f aca="false">IF(A126="","",IF(H126="—","—",IF(F126&amp;""=K126&amp;"","✓","✗")))</f>
        <v/>
      </c>
      <c r="Q126" s="27" t="str">
        <f aca="false">IF(A126="","",IF(H126="—","—",IF(G126&amp;""=L126&amp;"","✓","✗")))</f>
        <v/>
      </c>
      <c r="R126" s="27" t="str">
        <f aca="false">IF(A126="","",IF(COUNTIF(M126:Q126,"—")=5,"⚠ NO SCD ROW",IF(COUNTIF(M126:Q126,"✗")&gt;0,"❌ MISMATCH","✅ MATCH")))</f>
        <v/>
      </c>
    </row>
    <row r="127" customFormat="false" ht="15" hidden="false" customHeight="true" outlineLevel="0" collapsed="false">
      <c r="A127" s="22" t="str">
        <f aca="false">IF(Daily_Data!A126="","",Daily_Data!A126)</f>
        <v/>
      </c>
      <c r="B127" s="23" t="str">
        <f aca="false">IF(Daily_Data!B126="","",Daily_Data!B126)</f>
        <v/>
      </c>
      <c r="C127" s="23" t="str">
        <f aca="false">IF(A127="","",Daily_Data!C126)</f>
        <v/>
      </c>
      <c r="D127" s="23" t="str">
        <f aca="false">IF(A127="","",Daily_Data!D126)</f>
        <v/>
      </c>
      <c r="E127" s="24" t="str">
        <f aca="false">IF(A127="","",Daily_Data!E126)</f>
        <v/>
      </c>
      <c r="F127" s="23" t="str">
        <f aca="false">IF(A127="","",Daily_Data!F126)</f>
        <v/>
      </c>
      <c r="G127" s="23" t="str">
        <f aca="false">IF(A127="","",Daily_Data!G126)</f>
        <v/>
      </c>
      <c r="H127" s="25" t="str">
        <f aca="false">IF(A127="","",IFERROR(INDEX(SCD_Data!$C$3:$C$502,SUMPRODUCT((SCD_Data!$A$3:$A$502=B127)*(IFERROR(DATEVALUE(SCD_Data!$H$3:$H$502&amp;""),SCD_Data!$H$3:$H$502)&lt;=IFERROR(DATEVALUE(A127&amp;""),A127))*(IFERROR(DATEVALUE(SCD_Data!$I$3:$I$502&amp;""),SCD_Data!$I$3:$I$502)&gt;=IFERROR(DATEVALUE(A127&amp;""),A127))*(ROW(SCD_Data!$A$3:$A$502)-2))),"—"))</f>
        <v/>
      </c>
      <c r="I127" s="25" t="str">
        <f aca="false">IF(A127="","",IFERROR(INDEX(SCD_Data!$D$3:$D$502,SUMPRODUCT((SCD_Data!$A$3:$A$502=B127)*(IFERROR(DATEVALUE(SCD_Data!$H$3:$H$502&amp;""),SCD_Data!$H$3:$H$502)&lt;=IFERROR(DATEVALUE(A127&amp;""),A127))*(IFERROR(DATEVALUE(SCD_Data!$I$3:$I$502&amp;""),SCD_Data!$I$3:$I$502)&gt;=IFERROR(DATEVALUE(A127&amp;""),A127))*(ROW(SCD_Data!$A$3:$A$502)-2))),"—"))</f>
        <v/>
      </c>
      <c r="J127" s="26" t="str">
        <f aca="false">IF(A127="","",IFERROR(INDEX(SCD_Data!$E$3:$E$502,SUMPRODUCT((SCD_Data!$A$3:$A$502=B127)*(IFERROR(DATEVALUE(SCD_Data!$H$3:$H$502&amp;""),SCD_Data!$H$3:$H$502)&lt;=IFERROR(DATEVALUE(A127&amp;""),A127))*(IFERROR(DATEVALUE(SCD_Data!$I$3:$I$502&amp;""),SCD_Data!$I$3:$I$502)&gt;=IFERROR(DATEVALUE(A127&amp;""),A127))*(ROW(SCD_Data!$A$3:$A$502)-2))),"—"))</f>
        <v/>
      </c>
      <c r="K127" s="25" t="str">
        <f aca="false">IF(A127="","",IFERROR(INDEX(SCD_Data!$F$3:$F$502,SUMPRODUCT((SCD_Data!$A$3:$A$502=B127)*(IFERROR(DATEVALUE(SCD_Data!$H$3:$H$502&amp;""),SCD_Data!$H$3:$H$502)&lt;=IFERROR(DATEVALUE(A127&amp;""),A127))*(IFERROR(DATEVALUE(SCD_Data!$I$3:$I$502&amp;""),SCD_Data!$I$3:$I$502)&gt;=IFERROR(DATEVALUE(A127&amp;""),A127))*(ROW(SCD_Data!$A$3:$A$502)-2))),"—"))</f>
        <v/>
      </c>
      <c r="L127" s="25" t="str">
        <f aca="false">IF(A127="","",IFERROR(INDEX(SCD_Data!$G$3:$G$502,SUMPRODUCT((SCD_Data!$A$3:$A$502=B127)*(IFERROR(DATEVALUE(SCD_Data!$H$3:$H$502&amp;""),SCD_Data!$H$3:$H$502)&lt;=IFERROR(DATEVALUE(A127&amp;""),A127))*(IFERROR(DATEVALUE(SCD_Data!$I$3:$I$502&amp;""),SCD_Data!$I$3:$I$502)&gt;=IFERROR(DATEVALUE(A127&amp;""),A127))*(ROW(SCD_Data!$A$3:$A$502)-2))),"—"))</f>
        <v/>
      </c>
      <c r="M127" s="27" t="str">
        <f aca="false">IF(A127="","",IF(H127="—","—",IF(C127&amp;""=H127&amp;"","✓","✗")))</f>
        <v/>
      </c>
      <c r="N127" s="27" t="str">
        <f aca="false">IF(A127="","",IF(H127="—","—",IF(D127&amp;""=I127&amp;"","✓","✗")))</f>
        <v/>
      </c>
      <c r="O127" s="27" t="str">
        <f aca="false">IF(A127="","",IF(H127="—","—",IF(ABS(E127-J127)&lt;0.01,"✓","✗")))</f>
        <v/>
      </c>
      <c r="P127" s="27" t="str">
        <f aca="false">IF(A127="","",IF(H127="—","—",IF(F127&amp;""=K127&amp;"","✓","✗")))</f>
        <v/>
      </c>
      <c r="Q127" s="27" t="str">
        <f aca="false">IF(A127="","",IF(H127="—","—",IF(G127&amp;""=L127&amp;"","✓","✗")))</f>
        <v/>
      </c>
      <c r="R127" s="27" t="str">
        <f aca="false">IF(A127="","",IF(COUNTIF(M127:Q127,"—")=5,"⚠ NO SCD ROW",IF(COUNTIF(M127:Q127,"✗")&gt;0,"❌ MISMATCH","✅ MATCH")))</f>
        <v/>
      </c>
    </row>
    <row r="128" customFormat="false" ht="15" hidden="false" customHeight="true" outlineLevel="0" collapsed="false">
      <c r="A128" s="22" t="str">
        <f aca="false">IF(Daily_Data!A127="","",Daily_Data!A127)</f>
        <v/>
      </c>
      <c r="B128" s="23" t="str">
        <f aca="false">IF(Daily_Data!B127="","",Daily_Data!B127)</f>
        <v/>
      </c>
      <c r="C128" s="23" t="str">
        <f aca="false">IF(A128="","",Daily_Data!C127)</f>
        <v/>
      </c>
      <c r="D128" s="23" t="str">
        <f aca="false">IF(A128="","",Daily_Data!D127)</f>
        <v/>
      </c>
      <c r="E128" s="24" t="str">
        <f aca="false">IF(A128="","",Daily_Data!E127)</f>
        <v/>
      </c>
      <c r="F128" s="23" t="str">
        <f aca="false">IF(A128="","",Daily_Data!F127)</f>
        <v/>
      </c>
      <c r="G128" s="23" t="str">
        <f aca="false">IF(A128="","",Daily_Data!G127)</f>
        <v/>
      </c>
      <c r="H128" s="25" t="str">
        <f aca="false">IF(A128="","",IFERROR(INDEX(SCD_Data!$C$3:$C$502,SUMPRODUCT((SCD_Data!$A$3:$A$502=B128)*(IFERROR(DATEVALUE(SCD_Data!$H$3:$H$502&amp;""),SCD_Data!$H$3:$H$502)&lt;=IFERROR(DATEVALUE(A128&amp;""),A128))*(IFERROR(DATEVALUE(SCD_Data!$I$3:$I$502&amp;""),SCD_Data!$I$3:$I$502)&gt;=IFERROR(DATEVALUE(A128&amp;""),A128))*(ROW(SCD_Data!$A$3:$A$502)-2))),"—"))</f>
        <v/>
      </c>
      <c r="I128" s="25" t="str">
        <f aca="false">IF(A128="","",IFERROR(INDEX(SCD_Data!$D$3:$D$502,SUMPRODUCT((SCD_Data!$A$3:$A$502=B128)*(IFERROR(DATEVALUE(SCD_Data!$H$3:$H$502&amp;""),SCD_Data!$H$3:$H$502)&lt;=IFERROR(DATEVALUE(A128&amp;""),A128))*(IFERROR(DATEVALUE(SCD_Data!$I$3:$I$502&amp;""),SCD_Data!$I$3:$I$502)&gt;=IFERROR(DATEVALUE(A128&amp;""),A128))*(ROW(SCD_Data!$A$3:$A$502)-2))),"—"))</f>
        <v/>
      </c>
      <c r="J128" s="26" t="str">
        <f aca="false">IF(A128="","",IFERROR(INDEX(SCD_Data!$E$3:$E$502,SUMPRODUCT((SCD_Data!$A$3:$A$502=B128)*(IFERROR(DATEVALUE(SCD_Data!$H$3:$H$502&amp;""),SCD_Data!$H$3:$H$502)&lt;=IFERROR(DATEVALUE(A128&amp;""),A128))*(IFERROR(DATEVALUE(SCD_Data!$I$3:$I$502&amp;""),SCD_Data!$I$3:$I$502)&gt;=IFERROR(DATEVALUE(A128&amp;""),A128))*(ROW(SCD_Data!$A$3:$A$502)-2))),"—"))</f>
        <v/>
      </c>
      <c r="K128" s="25" t="str">
        <f aca="false">IF(A128="","",IFERROR(INDEX(SCD_Data!$F$3:$F$502,SUMPRODUCT((SCD_Data!$A$3:$A$502=B128)*(IFERROR(DATEVALUE(SCD_Data!$H$3:$H$502&amp;""),SCD_Data!$H$3:$H$502)&lt;=IFERROR(DATEVALUE(A128&amp;""),A128))*(IFERROR(DATEVALUE(SCD_Data!$I$3:$I$502&amp;""),SCD_Data!$I$3:$I$502)&gt;=IFERROR(DATEVALUE(A128&amp;""),A128))*(ROW(SCD_Data!$A$3:$A$502)-2))),"—"))</f>
        <v/>
      </c>
      <c r="L128" s="25" t="str">
        <f aca="false">IF(A128="","",IFERROR(INDEX(SCD_Data!$G$3:$G$502,SUMPRODUCT((SCD_Data!$A$3:$A$502=B128)*(IFERROR(DATEVALUE(SCD_Data!$H$3:$H$502&amp;""),SCD_Data!$H$3:$H$502)&lt;=IFERROR(DATEVALUE(A128&amp;""),A128))*(IFERROR(DATEVALUE(SCD_Data!$I$3:$I$502&amp;""),SCD_Data!$I$3:$I$502)&gt;=IFERROR(DATEVALUE(A128&amp;""),A128))*(ROW(SCD_Data!$A$3:$A$502)-2))),"—"))</f>
        <v/>
      </c>
      <c r="M128" s="27" t="str">
        <f aca="false">IF(A128="","",IF(H128="—","—",IF(C128&amp;""=H128&amp;"","✓","✗")))</f>
        <v/>
      </c>
      <c r="N128" s="27" t="str">
        <f aca="false">IF(A128="","",IF(H128="—","—",IF(D128&amp;""=I128&amp;"","✓","✗")))</f>
        <v/>
      </c>
      <c r="O128" s="27" t="str">
        <f aca="false">IF(A128="","",IF(H128="—","—",IF(ABS(E128-J128)&lt;0.01,"✓","✗")))</f>
        <v/>
      </c>
      <c r="P128" s="27" t="str">
        <f aca="false">IF(A128="","",IF(H128="—","—",IF(F128&amp;""=K128&amp;"","✓","✗")))</f>
        <v/>
      </c>
      <c r="Q128" s="27" t="str">
        <f aca="false">IF(A128="","",IF(H128="—","—",IF(G128&amp;""=L128&amp;"","✓","✗")))</f>
        <v/>
      </c>
      <c r="R128" s="27" t="str">
        <f aca="false">IF(A128="","",IF(COUNTIF(M128:Q128,"—")=5,"⚠ NO SCD ROW",IF(COUNTIF(M128:Q128,"✗")&gt;0,"❌ MISMATCH","✅ MATCH")))</f>
        <v/>
      </c>
    </row>
    <row r="129" customFormat="false" ht="15" hidden="false" customHeight="true" outlineLevel="0" collapsed="false">
      <c r="A129" s="22" t="str">
        <f aca="false">IF(Daily_Data!A128="","",Daily_Data!A128)</f>
        <v/>
      </c>
      <c r="B129" s="23" t="str">
        <f aca="false">IF(Daily_Data!B128="","",Daily_Data!B128)</f>
        <v/>
      </c>
      <c r="C129" s="23" t="str">
        <f aca="false">IF(A129="","",Daily_Data!C128)</f>
        <v/>
      </c>
      <c r="D129" s="23" t="str">
        <f aca="false">IF(A129="","",Daily_Data!D128)</f>
        <v/>
      </c>
      <c r="E129" s="24" t="str">
        <f aca="false">IF(A129="","",Daily_Data!E128)</f>
        <v/>
      </c>
      <c r="F129" s="23" t="str">
        <f aca="false">IF(A129="","",Daily_Data!F128)</f>
        <v/>
      </c>
      <c r="G129" s="23" t="str">
        <f aca="false">IF(A129="","",Daily_Data!G128)</f>
        <v/>
      </c>
      <c r="H129" s="25" t="str">
        <f aca="false">IF(A129="","",IFERROR(INDEX(SCD_Data!$C$3:$C$502,SUMPRODUCT((SCD_Data!$A$3:$A$502=B129)*(IFERROR(DATEVALUE(SCD_Data!$H$3:$H$502&amp;""),SCD_Data!$H$3:$H$502)&lt;=IFERROR(DATEVALUE(A129&amp;""),A129))*(IFERROR(DATEVALUE(SCD_Data!$I$3:$I$502&amp;""),SCD_Data!$I$3:$I$502)&gt;=IFERROR(DATEVALUE(A129&amp;""),A129))*(ROW(SCD_Data!$A$3:$A$502)-2))),"—"))</f>
        <v/>
      </c>
      <c r="I129" s="25" t="str">
        <f aca="false">IF(A129="","",IFERROR(INDEX(SCD_Data!$D$3:$D$502,SUMPRODUCT((SCD_Data!$A$3:$A$502=B129)*(IFERROR(DATEVALUE(SCD_Data!$H$3:$H$502&amp;""),SCD_Data!$H$3:$H$502)&lt;=IFERROR(DATEVALUE(A129&amp;""),A129))*(IFERROR(DATEVALUE(SCD_Data!$I$3:$I$502&amp;""),SCD_Data!$I$3:$I$502)&gt;=IFERROR(DATEVALUE(A129&amp;""),A129))*(ROW(SCD_Data!$A$3:$A$502)-2))),"—"))</f>
        <v/>
      </c>
      <c r="J129" s="26" t="str">
        <f aca="false">IF(A129="","",IFERROR(INDEX(SCD_Data!$E$3:$E$502,SUMPRODUCT((SCD_Data!$A$3:$A$502=B129)*(IFERROR(DATEVALUE(SCD_Data!$H$3:$H$502&amp;""),SCD_Data!$H$3:$H$502)&lt;=IFERROR(DATEVALUE(A129&amp;""),A129))*(IFERROR(DATEVALUE(SCD_Data!$I$3:$I$502&amp;""),SCD_Data!$I$3:$I$502)&gt;=IFERROR(DATEVALUE(A129&amp;""),A129))*(ROW(SCD_Data!$A$3:$A$502)-2))),"—"))</f>
        <v/>
      </c>
      <c r="K129" s="25" t="str">
        <f aca="false">IF(A129="","",IFERROR(INDEX(SCD_Data!$F$3:$F$502,SUMPRODUCT((SCD_Data!$A$3:$A$502=B129)*(IFERROR(DATEVALUE(SCD_Data!$H$3:$H$502&amp;""),SCD_Data!$H$3:$H$502)&lt;=IFERROR(DATEVALUE(A129&amp;""),A129))*(IFERROR(DATEVALUE(SCD_Data!$I$3:$I$502&amp;""),SCD_Data!$I$3:$I$502)&gt;=IFERROR(DATEVALUE(A129&amp;""),A129))*(ROW(SCD_Data!$A$3:$A$502)-2))),"—"))</f>
        <v/>
      </c>
      <c r="L129" s="25" t="str">
        <f aca="false">IF(A129="","",IFERROR(INDEX(SCD_Data!$G$3:$G$502,SUMPRODUCT((SCD_Data!$A$3:$A$502=B129)*(IFERROR(DATEVALUE(SCD_Data!$H$3:$H$502&amp;""),SCD_Data!$H$3:$H$502)&lt;=IFERROR(DATEVALUE(A129&amp;""),A129))*(IFERROR(DATEVALUE(SCD_Data!$I$3:$I$502&amp;""),SCD_Data!$I$3:$I$502)&gt;=IFERROR(DATEVALUE(A129&amp;""),A129))*(ROW(SCD_Data!$A$3:$A$502)-2))),"—"))</f>
        <v/>
      </c>
      <c r="M129" s="27" t="str">
        <f aca="false">IF(A129="","",IF(H129="—","—",IF(C129&amp;""=H129&amp;"","✓","✗")))</f>
        <v/>
      </c>
      <c r="N129" s="27" t="str">
        <f aca="false">IF(A129="","",IF(H129="—","—",IF(D129&amp;""=I129&amp;"","✓","✗")))</f>
        <v/>
      </c>
      <c r="O129" s="27" t="str">
        <f aca="false">IF(A129="","",IF(H129="—","—",IF(ABS(E129-J129)&lt;0.01,"✓","✗")))</f>
        <v/>
      </c>
      <c r="P129" s="27" t="str">
        <f aca="false">IF(A129="","",IF(H129="—","—",IF(F129&amp;""=K129&amp;"","✓","✗")))</f>
        <v/>
      </c>
      <c r="Q129" s="27" t="str">
        <f aca="false">IF(A129="","",IF(H129="—","—",IF(G129&amp;""=L129&amp;"","✓","✗")))</f>
        <v/>
      </c>
      <c r="R129" s="27" t="str">
        <f aca="false">IF(A129="","",IF(COUNTIF(M129:Q129,"—")=5,"⚠ NO SCD ROW",IF(COUNTIF(M129:Q129,"✗")&gt;0,"❌ MISMATCH","✅ MATCH")))</f>
        <v/>
      </c>
    </row>
    <row r="130" customFormat="false" ht="15" hidden="false" customHeight="true" outlineLevel="0" collapsed="false">
      <c r="A130" s="22" t="str">
        <f aca="false">IF(Daily_Data!A129="","",Daily_Data!A129)</f>
        <v/>
      </c>
      <c r="B130" s="23" t="str">
        <f aca="false">IF(Daily_Data!B129="","",Daily_Data!B129)</f>
        <v/>
      </c>
      <c r="C130" s="23" t="str">
        <f aca="false">IF(A130="","",Daily_Data!C129)</f>
        <v/>
      </c>
      <c r="D130" s="23" t="str">
        <f aca="false">IF(A130="","",Daily_Data!D129)</f>
        <v/>
      </c>
      <c r="E130" s="24" t="str">
        <f aca="false">IF(A130="","",Daily_Data!E129)</f>
        <v/>
      </c>
      <c r="F130" s="23" t="str">
        <f aca="false">IF(A130="","",Daily_Data!F129)</f>
        <v/>
      </c>
      <c r="G130" s="23" t="str">
        <f aca="false">IF(A130="","",Daily_Data!G129)</f>
        <v/>
      </c>
      <c r="H130" s="25" t="str">
        <f aca="false">IF(A130="","",IFERROR(INDEX(SCD_Data!$C$3:$C$502,SUMPRODUCT((SCD_Data!$A$3:$A$502=B130)*(IFERROR(DATEVALUE(SCD_Data!$H$3:$H$502&amp;""),SCD_Data!$H$3:$H$502)&lt;=IFERROR(DATEVALUE(A130&amp;""),A130))*(IFERROR(DATEVALUE(SCD_Data!$I$3:$I$502&amp;""),SCD_Data!$I$3:$I$502)&gt;=IFERROR(DATEVALUE(A130&amp;""),A130))*(ROW(SCD_Data!$A$3:$A$502)-2))),"—"))</f>
        <v/>
      </c>
      <c r="I130" s="25" t="str">
        <f aca="false">IF(A130="","",IFERROR(INDEX(SCD_Data!$D$3:$D$502,SUMPRODUCT((SCD_Data!$A$3:$A$502=B130)*(IFERROR(DATEVALUE(SCD_Data!$H$3:$H$502&amp;""),SCD_Data!$H$3:$H$502)&lt;=IFERROR(DATEVALUE(A130&amp;""),A130))*(IFERROR(DATEVALUE(SCD_Data!$I$3:$I$502&amp;""),SCD_Data!$I$3:$I$502)&gt;=IFERROR(DATEVALUE(A130&amp;""),A130))*(ROW(SCD_Data!$A$3:$A$502)-2))),"—"))</f>
        <v/>
      </c>
      <c r="J130" s="26" t="str">
        <f aca="false">IF(A130="","",IFERROR(INDEX(SCD_Data!$E$3:$E$502,SUMPRODUCT((SCD_Data!$A$3:$A$502=B130)*(IFERROR(DATEVALUE(SCD_Data!$H$3:$H$502&amp;""),SCD_Data!$H$3:$H$502)&lt;=IFERROR(DATEVALUE(A130&amp;""),A130))*(IFERROR(DATEVALUE(SCD_Data!$I$3:$I$502&amp;""),SCD_Data!$I$3:$I$502)&gt;=IFERROR(DATEVALUE(A130&amp;""),A130))*(ROW(SCD_Data!$A$3:$A$502)-2))),"—"))</f>
        <v/>
      </c>
      <c r="K130" s="25" t="str">
        <f aca="false">IF(A130="","",IFERROR(INDEX(SCD_Data!$F$3:$F$502,SUMPRODUCT((SCD_Data!$A$3:$A$502=B130)*(IFERROR(DATEVALUE(SCD_Data!$H$3:$H$502&amp;""),SCD_Data!$H$3:$H$502)&lt;=IFERROR(DATEVALUE(A130&amp;""),A130))*(IFERROR(DATEVALUE(SCD_Data!$I$3:$I$502&amp;""),SCD_Data!$I$3:$I$502)&gt;=IFERROR(DATEVALUE(A130&amp;""),A130))*(ROW(SCD_Data!$A$3:$A$502)-2))),"—"))</f>
        <v/>
      </c>
      <c r="L130" s="25" t="str">
        <f aca="false">IF(A130="","",IFERROR(INDEX(SCD_Data!$G$3:$G$502,SUMPRODUCT((SCD_Data!$A$3:$A$502=B130)*(IFERROR(DATEVALUE(SCD_Data!$H$3:$H$502&amp;""),SCD_Data!$H$3:$H$502)&lt;=IFERROR(DATEVALUE(A130&amp;""),A130))*(IFERROR(DATEVALUE(SCD_Data!$I$3:$I$502&amp;""),SCD_Data!$I$3:$I$502)&gt;=IFERROR(DATEVALUE(A130&amp;""),A130))*(ROW(SCD_Data!$A$3:$A$502)-2))),"—"))</f>
        <v/>
      </c>
      <c r="M130" s="27" t="str">
        <f aca="false">IF(A130="","",IF(H130="—","—",IF(C130&amp;""=H130&amp;"","✓","✗")))</f>
        <v/>
      </c>
      <c r="N130" s="27" t="str">
        <f aca="false">IF(A130="","",IF(H130="—","—",IF(D130&amp;""=I130&amp;"","✓","✗")))</f>
        <v/>
      </c>
      <c r="O130" s="27" t="str">
        <f aca="false">IF(A130="","",IF(H130="—","—",IF(ABS(E130-J130)&lt;0.01,"✓","✗")))</f>
        <v/>
      </c>
      <c r="P130" s="27" t="str">
        <f aca="false">IF(A130="","",IF(H130="—","—",IF(F130&amp;""=K130&amp;"","✓","✗")))</f>
        <v/>
      </c>
      <c r="Q130" s="27" t="str">
        <f aca="false">IF(A130="","",IF(H130="—","—",IF(G130&amp;""=L130&amp;"","✓","✗")))</f>
        <v/>
      </c>
      <c r="R130" s="27" t="str">
        <f aca="false">IF(A130="","",IF(COUNTIF(M130:Q130,"—")=5,"⚠ NO SCD ROW",IF(COUNTIF(M130:Q130,"✗")&gt;0,"❌ MISMATCH","✅ MATCH")))</f>
        <v/>
      </c>
    </row>
    <row r="131" customFormat="false" ht="15" hidden="false" customHeight="true" outlineLevel="0" collapsed="false">
      <c r="A131" s="22" t="str">
        <f aca="false">IF(Daily_Data!A130="","",Daily_Data!A130)</f>
        <v/>
      </c>
      <c r="B131" s="23" t="str">
        <f aca="false">IF(Daily_Data!B130="","",Daily_Data!B130)</f>
        <v/>
      </c>
      <c r="C131" s="23" t="str">
        <f aca="false">IF(A131="","",Daily_Data!C130)</f>
        <v/>
      </c>
      <c r="D131" s="23" t="str">
        <f aca="false">IF(A131="","",Daily_Data!D130)</f>
        <v/>
      </c>
      <c r="E131" s="24" t="str">
        <f aca="false">IF(A131="","",Daily_Data!E130)</f>
        <v/>
      </c>
      <c r="F131" s="23" t="str">
        <f aca="false">IF(A131="","",Daily_Data!F130)</f>
        <v/>
      </c>
      <c r="G131" s="23" t="str">
        <f aca="false">IF(A131="","",Daily_Data!G130)</f>
        <v/>
      </c>
      <c r="H131" s="25" t="str">
        <f aca="false">IF(A131="","",IFERROR(INDEX(SCD_Data!$C$3:$C$502,SUMPRODUCT((SCD_Data!$A$3:$A$502=B131)*(IFERROR(DATEVALUE(SCD_Data!$H$3:$H$502&amp;""),SCD_Data!$H$3:$H$502)&lt;=IFERROR(DATEVALUE(A131&amp;""),A131))*(IFERROR(DATEVALUE(SCD_Data!$I$3:$I$502&amp;""),SCD_Data!$I$3:$I$502)&gt;=IFERROR(DATEVALUE(A131&amp;""),A131))*(ROW(SCD_Data!$A$3:$A$502)-2))),"—"))</f>
        <v/>
      </c>
      <c r="I131" s="25" t="str">
        <f aca="false">IF(A131="","",IFERROR(INDEX(SCD_Data!$D$3:$D$502,SUMPRODUCT((SCD_Data!$A$3:$A$502=B131)*(IFERROR(DATEVALUE(SCD_Data!$H$3:$H$502&amp;""),SCD_Data!$H$3:$H$502)&lt;=IFERROR(DATEVALUE(A131&amp;""),A131))*(IFERROR(DATEVALUE(SCD_Data!$I$3:$I$502&amp;""),SCD_Data!$I$3:$I$502)&gt;=IFERROR(DATEVALUE(A131&amp;""),A131))*(ROW(SCD_Data!$A$3:$A$502)-2))),"—"))</f>
        <v/>
      </c>
      <c r="J131" s="26" t="str">
        <f aca="false">IF(A131="","",IFERROR(INDEX(SCD_Data!$E$3:$E$502,SUMPRODUCT((SCD_Data!$A$3:$A$502=B131)*(IFERROR(DATEVALUE(SCD_Data!$H$3:$H$502&amp;""),SCD_Data!$H$3:$H$502)&lt;=IFERROR(DATEVALUE(A131&amp;""),A131))*(IFERROR(DATEVALUE(SCD_Data!$I$3:$I$502&amp;""),SCD_Data!$I$3:$I$502)&gt;=IFERROR(DATEVALUE(A131&amp;""),A131))*(ROW(SCD_Data!$A$3:$A$502)-2))),"—"))</f>
        <v/>
      </c>
      <c r="K131" s="25" t="str">
        <f aca="false">IF(A131="","",IFERROR(INDEX(SCD_Data!$F$3:$F$502,SUMPRODUCT((SCD_Data!$A$3:$A$502=B131)*(IFERROR(DATEVALUE(SCD_Data!$H$3:$H$502&amp;""),SCD_Data!$H$3:$H$502)&lt;=IFERROR(DATEVALUE(A131&amp;""),A131))*(IFERROR(DATEVALUE(SCD_Data!$I$3:$I$502&amp;""),SCD_Data!$I$3:$I$502)&gt;=IFERROR(DATEVALUE(A131&amp;""),A131))*(ROW(SCD_Data!$A$3:$A$502)-2))),"—"))</f>
        <v/>
      </c>
      <c r="L131" s="25" t="str">
        <f aca="false">IF(A131="","",IFERROR(INDEX(SCD_Data!$G$3:$G$502,SUMPRODUCT((SCD_Data!$A$3:$A$502=B131)*(IFERROR(DATEVALUE(SCD_Data!$H$3:$H$502&amp;""),SCD_Data!$H$3:$H$502)&lt;=IFERROR(DATEVALUE(A131&amp;""),A131))*(IFERROR(DATEVALUE(SCD_Data!$I$3:$I$502&amp;""),SCD_Data!$I$3:$I$502)&gt;=IFERROR(DATEVALUE(A131&amp;""),A131))*(ROW(SCD_Data!$A$3:$A$502)-2))),"—"))</f>
        <v/>
      </c>
      <c r="M131" s="27" t="str">
        <f aca="false">IF(A131="","",IF(H131="—","—",IF(C131&amp;""=H131&amp;"","✓","✗")))</f>
        <v/>
      </c>
      <c r="N131" s="27" t="str">
        <f aca="false">IF(A131="","",IF(H131="—","—",IF(D131&amp;""=I131&amp;"","✓","✗")))</f>
        <v/>
      </c>
      <c r="O131" s="27" t="str">
        <f aca="false">IF(A131="","",IF(H131="—","—",IF(ABS(E131-J131)&lt;0.01,"✓","✗")))</f>
        <v/>
      </c>
      <c r="P131" s="27" t="str">
        <f aca="false">IF(A131="","",IF(H131="—","—",IF(F131&amp;""=K131&amp;"","✓","✗")))</f>
        <v/>
      </c>
      <c r="Q131" s="27" t="str">
        <f aca="false">IF(A131="","",IF(H131="—","—",IF(G131&amp;""=L131&amp;"","✓","✗")))</f>
        <v/>
      </c>
      <c r="R131" s="27" t="str">
        <f aca="false">IF(A131="","",IF(COUNTIF(M131:Q131,"—")=5,"⚠ NO SCD ROW",IF(COUNTIF(M131:Q131,"✗")&gt;0,"❌ MISMATCH","✅ MATCH")))</f>
        <v/>
      </c>
    </row>
    <row r="132" customFormat="false" ht="15" hidden="false" customHeight="true" outlineLevel="0" collapsed="false">
      <c r="A132" s="22" t="str">
        <f aca="false">IF(Daily_Data!A131="","",Daily_Data!A131)</f>
        <v/>
      </c>
      <c r="B132" s="23" t="str">
        <f aca="false">IF(Daily_Data!B131="","",Daily_Data!B131)</f>
        <v/>
      </c>
      <c r="C132" s="23" t="str">
        <f aca="false">IF(A132="","",Daily_Data!C131)</f>
        <v/>
      </c>
      <c r="D132" s="23" t="str">
        <f aca="false">IF(A132="","",Daily_Data!D131)</f>
        <v/>
      </c>
      <c r="E132" s="24" t="str">
        <f aca="false">IF(A132="","",Daily_Data!E131)</f>
        <v/>
      </c>
      <c r="F132" s="23" t="str">
        <f aca="false">IF(A132="","",Daily_Data!F131)</f>
        <v/>
      </c>
      <c r="G132" s="23" t="str">
        <f aca="false">IF(A132="","",Daily_Data!G131)</f>
        <v/>
      </c>
      <c r="H132" s="25" t="str">
        <f aca="false">IF(A132="","",IFERROR(INDEX(SCD_Data!$C$3:$C$502,SUMPRODUCT((SCD_Data!$A$3:$A$502=B132)*(IFERROR(DATEVALUE(SCD_Data!$H$3:$H$502&amp;""),SCD_Data!$H$3:$H$502)&lt;=IFERROR(DATEVALUE(A132&amp;""),A132))*(IFERROR(DATEVALUE(SCD_Data!$I$3:$I$502&amp;""),SCD_Data!$I$3:$I$502)&gt;=IFERROR(DATEVALUE(A132&amp;""),A132))*(ROW(SCD_Data!$A$3:$A$502)-2))),"—"))</f>
        <v/>
      </c>
      <c r="I132" s="25" t="str">
        <f aca="false">IF(A132="","",IFERROR(INDEX(SCD_Data!$D$3:$D$502,SUMPRODUCT((SCD_Data!$A$3:$A$502=B132)*(IFERROR(DATEVALUE(SCD_Data!$H$3:$H$502&amp;""),SCD_Data!$H$3:$H$502)&lt;=IFERROR(DATEVALUE(A132&amp;""),A132))*(IFERROR(DATEVALUE(SCD_Data!$I$3:$I$502&amp;""),SCD_Data!$I$3:$I$502)&gt;=IFERROR(DATEVALUE(A132&amp;""),A132))*(ROW(SCD_Data!$A$3:$A$502)-2))),"—"))</f>
        <v/>
      </c>
      <c r="J132" s="26" t="str">
        <f aca="false">IF(A132="","",IFERROR(INDEX(SCD_Data!$E$3:$E$502,SUMPRODUCT((SCD_Data!$A$3:$A$502=B132)*(IFERROR(DATEVALUE(SCD_Data!$H$3:$H$502&amp;""),SCD_Data!$H$3:$H$502)&lt;=IFERROR(DATEVALUE(A132&amp;""),A132))*(IFERROR(DATEVALUE(SCD_Data!$I$3:$I$502&amp;""),SCD_Data!$I$3:$I$502)&gt;=IFERROR(DATEVALUE(A132&amp;""),A132))*(ROW(SCD_Data!$A$3:$A$502)-2))),"—"))</f>
        <v/>
      </c>
      <c r="K132" s="25" t="str">
        <f aca="false">IF(A132="","",IFERROR(INDEX(SCD_Data!$F$3:$F$502,SUMPRODUCT((SCD_Data!$A$3:$A$502=B132)*(IFERROR(DATEVALUE(SCD_Data!$H$3:$H$502&amp;""),SCD_Data!$H$3:$H$502)&lt;=IFERROR(DATEVALUE(A132&amp;""),A132))*(IFERROR(DATEVALUE(SCD_Data!$I$3:$I$502&amp;""),SCD_Data!$I$3:$I$502)&gt;=IFERROR(DATEVALUE(A132&amp;""),A132))*(ROW(SCD_Data!$A$3:$A$502)-2))),"—"))</f>
        <v/>
      </c>
      <c r="L132" s="25" t="str">
        <f aca="false">IF(A132="","",IFERROR(INDEX(SCD_Data!$G$3:$G$502,SUMPRODUCT((SCD_Data!$A$3:$A$502=B132)*(IFERROR(DATEVALUE(SCD_Data!$H$3:$H$502&amp;""),SCD_Data!$H$3:$H$502)&lt;=IFERROR(DATEVALUE(A132&amp;""),A132))*(IFERROR(DATEVALUE(SCD_Data!$I$3:$I$502&amp;""),SCD_Data!$I$3:$I$502)&gt;=IFERROR(DATEVALUE(A132&amp;""),A132))*(ROW(SCD_Data!$A$3:$A$502)-2))),"—"))</f>
        <v/>
      </c>
      <c r="M132" s="27" t="str">
        <f aca="false">IF(A132="","",IF(H132="—","—",IF(C132&amp;""=H132&amp;"","✓","✗")))</f>
        <v/>
      </c>
      <c r="N132" s="27" t="str">
        <f aca="false">IF(A132="","",IF(H132="—","—",IF(D132&amp;""=I132&amp;"","✓","✗")))</f>
        <v/>
      </c>
      <c r="O132" s="27" t="str">
        <f aca="false">IF(A132="","",IF(H132="—","—",IF(ABS(E132-J132)&lt;0.01,"✓","✗")))</f>
        <v/>
      </c>
      <c r="P132" s="27" t="str">
        <f aca="false">IF(A132="","",IF(H132="—","—",IF(F132&amp;""=K132&amp;"","✓","✗")))</f>
        <v/>
      </c>
      <c r="Q132" s="27" t="str">
        <f aca="false">IF(A132="","",IF(H132="—","—",IF(G132&amp;""=L132&amp;"","✓","✗")))</f>
        <v/>
      </c>
      <c r="R132" s="27" t="str">
        <f aca="false">IF(A132="","",IF(COUNTIF(M132:Q132,"—")=5,"⚠ NO SCD ROW",IF(COUNTIF(M132:Q132,"✗")&gt;0,"❌ MISMATCH","✅ MATCH")))</f>
        <v/>
      </c>
    </row>
    <row r="133" customFormat="false" ht="15" hidden="false" customHeight="true" outlineLevel="0" collapsed="false">
      <c r="A133" s="22" t="str">
        <f aca="false">IF(Daily_Data!A132="","",Daily_Data!A132)</f>
        <v/>
      </c>
      <c r="B133" s="23" t="str">
        <f aca="false">IF(Daily_Data!B132="","",Daily_Data!B132)</f>
        <v/>
      </c>
      <c r="C133" s="23" t="str">
        <f aca="false">IF(A133="","",Daily_Data!C132)</f>
        <v/>
      </c>
      <c r="D133" s="23" t="str">
        <f aca="false">IF(A133="","",Daily_Data!D132)</f>
        <v/>
      </c>
      <c r="E133" s="24" t="str">
        <f aca="false">IF(A133="","",Daily_Data!E132)</f>
        <v/>
      </c>
      <c r="F133" s="23" t="str">
        <f aca="false">IF(A133="","",Daily_Data!F132)</f>
        <v/>
      </c>
      <c r="G133" s="23" t="str">
        <f aca="false">IF(A133="","",Daily_Data!G132)</f>
        <v/>
      </c>
      <c r="H133" s="25" t="str">
        <f aca="false">IF(A133="","",IFERROR(INDEX(SCD_Data!$C$3:$C$502,SUMPRODUCT((SCD_Data!$A$3:$A$502=B133)*(IFERROR(DATEVALUE(SCD_Data!$H$3:$H$502&amp;""),SCD_Data!$H$3:$H$502)&lt;=IFERROR(DATEVALUE(A133&amp;""),A133))*(IFERROR(DATEVALUE(SCD_Data!$I$3:$I$502&amp;""),SCD_Data!$I$3:$I$502)&gt;=IFERROR(DATEVALUE(A133&amp;""),A133))*(ROW(SCD_Data!$A$3:$A$502)-2))),"—"))</f>
        <v/>
      </c>
      <c r="I133" s="25" t="str">
        <f aca="false">IF(A133="","",IFERROR(INDEX(SCD_Data!$D$3:$D$502,SUMPRODUCT((SCD_Data!$A$3:$A$502=B133)*(IFERROR(DATEVALUE(SCD_Data!$H$3:$H$502&amp;""),SCD_Data!$H$3:$H$502)&lt;=IFERROR(DATEVALUE(A133&amp;""),A133))*(IFERROR(DATEVALUE(SCD_Data!$I$3:$I$502&amp;""),SCD_Data!$I$3:$I$502)&gt;=IFERROR(DATEVALUE(A133&amp;""),A133))*(ROW(SCD_Data!$A$3:$A$502)-2))),"—"))</f>
        <v/>
      </c>
      <c r="J133" s="26" t="str">
        <f aca="false">IF(A133="","",IFERROR(INDEX(SCD_Data!$E$3:$E$502,SUMPRODUCT((SCD_Data!$A$3:$A$502=B133)*(IFERROR(DATEVALUE(SCD_Data!$H$3:$H$502&amp;""),SCD_Data!$H$3:$H$502)&lt;=IFERROR(DATEVALUE(A133&amp;""),A133))*(IFERROR(DATEVALUE(SCD_Data!$I$3:$I$502&amp;""),SCD_Data!$I$3:$I$502)&gt;=IFERROR(DATEVALUE(A133&amp;""),A133))*(ROW(SCD_Data!$A$3:$A$502)-2))),"—"))</f>
        <v/>
      </c>
      <c r="K133" s="25" t="str">
        <f aca="false">IF(A133="","",IFERROR(INDEX(SCD_Data!$F$3:$F$502,SUMPRODUCT((SCD_Data!$A$3:$A$502=B133)*(IFERROR(DATEVALUE(SCD_Data!$H$3:$H$502&amp;""),SCD_Data!$H$3:$H$502)&lt;=IFERROR(DATEVALUE(A133&amp;""),A133))*(IFERROR(DATEVALUE(SCD_Data!$I$3:$I$502&amp;""),SCD_Data!$I$3:$I$502)&gt;=IFERROR(DATEVALUE(A133&amp;""),A133))*(ROW(SCD_Data!$A$3:$A$502)-2))),"—"))</f>
        <v/>
      </c>
      <c r="L133" s="25" t="str">
        <f aca="false">IF(A133="","",IFERROR(INDEX(SCD_Data!$G$3:$G$502,SUMPRODUCT((SCD_Data!$A$3:$A$502=B133)*(IFERROR(DATEVALUE(SCD_Data!$H$3:$H$502&amp;""),SCD_Data!$H$3:$H$502)&lt;=IFERROR(DATEVALUE(A133&amp;""),A133))*(IFERROR(DATEVALUE(SCD_Data!$I$3:$I$502&amp;""),SCD_Data!$I$3:$I$502)&gt;=IFERROR(DATEVALUE(A133&amp;""),A133))*(ROW(SCD_Data!$A$3:$A$502)-2))),"—"))</f>
        <v/>
      </c>
      <c r="M133" s="27" t="str">
        <f aca="false">IF(A133="","",IF(H133="—","—",IF(C133&amp;""=H133&amp;"","✓","✗")))</f>
        <v/>
      </c>
      <c r="N133" s="27" t="str">
        <f aca="false">IF(A133="","",IF(H133="—","—",IF(D133&amp;""=I133&amp;"","✓","✗")))</f>
        <v/>
      </c>
      <c r="O133" s="27" t="str">
        <f aca="false">IF(A133="","",IF(H133="—","—",IF(ABS(E133-J133)&lt;0.01,"✓","✗")))</f>
        <v/>
      </c>
      <c r="P133" s="27" t="str">
        <f aca="false">IF(A133="","",IF(H133="—","—",IF(F133&amp;""=K133&amp;"","✓","✗")))</f>
        <v/>
      </c>
      <c r="Q133" s="27" t="str">
        <f aca="false">IF(A133="","",IF(H133="—","—",IF(G133&amp;""=L133&amp;"","✓","✗")))</f>
        <v/>
      </c>
      <c r="R133" s="27" t="str">
        <f aca="false">IF(A133="","",IF(COUNTIF(M133:Q133,"—")=5,"⚠ NO SCD ROW",IF(COUNTIF(M133:Q133,"✗")&gt;0,"❌ MISMATCH","✅ MATCH")))</f>
        <v/>
      </c>
    </row>
    <row r="134" customFormat="false" ht="15" hidden="false" customHeight="true" outlineLevel="0" collapsed="false">
      <c r="A134" s="22" t="str">
        <f aca="false">IF(Daily_Data!A133="","",Daily_Data!A133)</f>
        <v/>
      </c>
      <c r="B134" s="23" t="str">
        <f aca="false">IF(Daily_Data!B133="","",Daily_Data!B133)</f>
        <v/>
      </c>
      <c r="C134" s="23" t="str">
        <f aca="false">IF(A134="","",Daily_Data!C133)</f>
        <v/>
      </c>
      <c r="D134" s="23" t="str">
        <f aca="false">IF(A134="","",Daily_Data!D133)</f>
        <v/>
      </c>
      <c r="E134" s="24" t="str">
        <f aca="false">IF(A134="","",Daily_Data!E133)</f>
        <v/>
      </c>
      <c r="F134" s="23" t="str">
        <f aca="false">IF(A134="","",Daily_Data!F133)</f>
        <v/>
      </c>
      <c r="G134" s="23" t="str">
        <f aca="false">IF(A134="","",Daily_Data!G133)</f>
        <v/>
      </c>
      <c r="H134" s="25" t="str">
        <f aca="false">IF(A134="","",IFERROR(INDEX(SCD_Data!$C$3:$C$502,SUMPRODUCT((SCD_Data!$A$3:$A$502=B134)*(IFERROR(DATEVALUE(SCD_Data!$H$3:$H$502&amp;""),SCD_Data!$H$3:$H$502)&lt;=IFERROR(DATEVALUE(A134&amp;""),A134))*(IFERROR(DATEVALUE(SCD_Data!$I$3:$I$502&amp;""),SCD_Data!$I$3:$I$502)&gt;=IFERROR(DATEVALUE(A134&amp;""),A134))*(ROW(SCD_Data!$A$3:$A$502)-2))),"—"))</f>
        <v/>
      </c>
      <c r="I134" s="25" t="str">
        <f aca="false">IF(A134="","",IFERROR(INDEX(SCD_Data!$D$3:$D$502,SUMPRODUCT((SCD_Data!$A$3:$A$502=B134)*(IFERROR(DATEVALUE(SCD_Data!$H$3:$H$502&amp;""),SCD_Data!$H$3:$H$502)&lt;=IFERROR(DATEVALUE(A134&amp;""),A134))*(IFERROR(DATEVALUE(SCD_Data!$I$3:$I$502&amp;""),SCD_Data!$I$3:$I$502)&gt;=IFERROR(DATEVALUE(A134&amp;""),A134))*(ROW(SCD_Data!$A$3:$A$502)-2))),"—"))</f>
        <v/>
      </c>
      <c r="J134" s="26" t="str">
        <f aca="false">IF(A134="","",IFERROR(INDEX(SCD_Data!$E$3:$E$502,SUMPRODUCT((SCD_Data!$A$3:$A$502=B134)*(IFERROR(DATEVALUE(SCD_Data!$H$3:$H$502&amp;""),SCD_Data!$H$3:$H$502)&lt;=IFERROR(DATEVALUE(A134&amp;""),A134))*(IFERROR(DATEVALUE(SCD_Data!$I$3:$I$502&amp;""),SCD_Data!$I$3:$I$502)&gt;=IFERROR(DATEVALUE(A134&amp;""),A134))*(ROW(SCD_Data!$A$3:$A$502)-2))),"—"))</f>
        <v/>
      </c>
      <c r="K134" s="25" t="str">
        <f aca="false">IF(A134="","",IFERROR(INDEX(SCD_Data!$F$3:$F$502,SUMPRODUCT((SCD_Data!$A$3:$A$502=B134)*(IFERROR(DATEVALUE(SCD_Data!$H$3:$H$502&amp;""),SCD_Data!$H$3:$H$502)&lt;=IFERROR(DATEVALUE(A134&amp;""),A134))*(IFERROR(DATEVALUE(SCD_Data!$I$3:$I$502&amp;""),SCD_Data!$I$3:$I$502)&gt;=IFERROR(DATEVALUE(A134&amp;""),A134))*(ROW(SCD_Data!$A$3:$A$502)-2))),"—"))</f>
        <v/>
      </c>
      <c r="L134" s="25" t="str">
        <f aca="false">IF(A134="","",IFERROR(INDEX(SCD_Data!$G$3:$G$502,SUMPRODUCT((SCD_Data!$A$3:$A$502=B134)*(IFERROR(DATEVALUE(SCD_Data!$H$3:$H$502&amp;""),SCD_Data!$H$3:$H$502)&lt;=IFERROR(DATEVALUE(A134&amp;""),A134))*(IFERROR(DATEVALUE(SCD_Data!$I$3:$I$502&amp;""),SCD_Data!$I$3:$I$502)&gt;=IFERROR(DATEVALUE(A134&amp;""),A134))*(ROW(SCD_Data!$A$3:$A$502)-2))),"—"))</f>
        <v/>
      </c>
      <c r="M134" s="27" t="str">
        <f aca="false">IF(A134="","",IF(H134="—","—",IF(C134&amp;""=H134&amp;"","✓","✗")))</f>
        <v/>
      </c>
      <c r="N134" s="27" t="str">
        <f aca="false">IF(A134="","",IF(H134="—","—",IF(D134&amp;""=I134&amp;"","✓","✗")))</f>
        <v/>
      </c>
      <c r="O134" s="27" t="str">
        <f aca="false">IF(A134="","",IF(H134="—","—",IF(ABS(E134-J134)&lt;0.01,"✓","✗")))</f>
        <v/>
      </c>
      <c r="P134" s="27" t="str">
        <f aca="false">IF(A134="","",IF(H134="—","—",IF(F134&amp;""=K134&amp;"","✓","✗")))</f>
        <v/>
      </c>
      <c r="Q134" s="27" t="str">
        <f aca="false">IF(A134="","",IF(H134="—","—",IF(G134&amp;""=L134&amp;"","✓","✗")))</f>
        <v/>
      </c>
      <c r="R134" s="27" t="str">
        <f aca="false">IF(A134="","",IF(COUNTIF(M134:Q134,"—")=5,"⚠ NO SCD ROW",IF(COUNTIF(M134:Q134,"✗")&gt;0,"❌ MISMATCH","✅ MATCH")))</f>
        <v/>
      </c>
    </row>
    <row r="135" customFormat="false" ht="15" hidden="false" customHeight="true" outlineLevel="0" collapsed="false">
      <c r="A135" s="22" t="str">
        <f aca="false">IF(Daily_Data!A134="","",Daily_Data!A134)</f>
        <v/>
      </c>
      <c r="B135" s="23" t="str">
        <f aca="false">IF(Daily_Data!B134="","",Daily_Data!B134)</f>
        <v/>
      </c>
      <c r="C135" s="23" t="str">
        <f aca="false">IF(A135="","",Daily_Data!C134)</f>
        <v/>
      </c>
      <c r="D135" s="23" t="str">
        <f aca="false">IF(A135="","",Daily_Data!D134)</f>
        <v/>
      </c>
      <c r="E135" s="24" t="str">
        <f aca="false">IF(A135="","",Daily_Data!E134)</f>
        <v/>
      </c>
      <c r="F135" s="23" t="str">
        <f aca="false">IF(A135="","",Daily_Data!F134)</f>
        <v/>
      </c>
      <c r="G135" s="23" t="str">
        <f aca="false">IF(A135="","",Daily_Data!G134)</f>
        <v/>
      </c>
      <c r="H135" s="25" t="str">
        <f aca="false">IF(A135="","",IFERROR(INDEX(SCD_Data!$C$3:$C$502,SUMPRODUCT((SCD_Data!$A$3:$A$502=B135)*(IFERROR(DATEVALUE(SCD_Data!$H$3:$H$502&amp;""),SCD_Data!$H$3:$H$502)&lt;=IFERROR(DATEVALUE(A135&amp;""),A135))*(IFERROR(DATEVALUE(SCD_Data!$I$3:$I$502&amp;""),SCD_Data!$I$3:$I$502)&gt;=IFERROR(DATEVALUE(A135&amp;""),A135))*(ROW(SCD_Data!$A$3:$A$502)-2))),"—"))</f>
        <v/>
      </c>
      <c r="I135" s="25" t="str">
        <f aca="false">IF(A135="","",IFERROR(INDEX(SCD_Data!$D$3:$D$502,SUMPRODUCT((SCD_Data!$A$3:$A$502=B135)*(IFERROR(DATEVALUE(SCD_Data!$H$3:$H$502&amp;""),SCD_Data!$H$3:$H$502)&lt;=IFERROR(DATEVALUE(A135&amp;""),A135))*(IFERROR(DATEVALUE(SCD_Data!$I$3:$I$502&amp;""),SCD_Data!$I$3:$I$502)&gt;=IFERROR(DATEVALUE(A135&amp;""),A135))*(ROW(SCD_Data!$A$3:$A$502)-2))),"—"))</f>
        <v/>
      </c>
      <c r="J135" s="26" t="str">
        <f aca="false">IF(A135="","",IFERROR(INDEX(SCD_Data!$E$3:$E$502,SUMPRODUCT((SCD_Data!$A$3:$A$502=B135)*(IFERROR(DATEVALUE(SCD_Data!$H$3:$H$502&amp;""),SCD_Data!$H$3:$H$502)&lt;=IFERROR(DATEVALUE(A135&amp;""),A135))*(IFERROR(DATEVALUE(SCD_Data!$I$3:$I$502&amp;""),SCD_Data!$I$3:$I$502)&gt;=IFERROR(DATEVALUE(A135&amp;""),A135))*(ROW(SCD_Data!$A$3:$A$502)-2))),"—"))</f>
        <v/>
      </c>
      <c r="K135" s="25" t="str">
        <f aca="false">IF(A135="","",IFERROR(INDEX(SCD_Data!$F$3:$F$502,SUMPRODUCT((SCD_Data!$A$3:$A$502=B135)*(IFERROR(DATEVALUE(SCD_Data!$H$3:$H$502&amp;""),SCD_Data!$H$3:$H$502)&lt;=IFERROR(DATEVALUE(A135&amp;""),A135))*(IFERROR(DATEVALUE(SCD_Data!$I$3:$I$502&amp;""),SCD_Data!$I$3:$I$502)&gt;=IFERROR(DATEVALUE(A135&amp;""),A135))*(ROW(SCD_Data!$A$3:$A$502)-2))),"—"))</f>
        <v/>
      </c>
      <c r="L135" s="25" t="str">
        <f aca="false">IF(A135="","",IFERROR(INDEX(SCD_Data!$G$3:$G$502,SUMPRODUCT((SCD_Data!$A$3:$A$502=B135)*(IFERROR(DATEVALUE(SCD_Data!$H$3:$H$502&amp;""),SCD_Data!$H$3:$H$502)&lt;=IFERROR(DATEVALUE(A135&amp;""),A135))*(IFERROR(DATEVALUE(SCD_Data!$I$3:$I$502&amp;""),SCD_Data!$I$3:$I$502)&gt;=IFERROR(DATEVALUE(A135&amp;""),A135))*(ROW(SCD_Data!$A$3:$A$502)-2))),"—"))</f>
        <v/>
      </c>
      <c r="M135" s="27" t="str">
        <f aca="false">IF(A135="","",IF(H135="—","—",IF(C135&amp;""=H135&amp;"","✓","✗")))</f>
        <v/>
      </c>
      <c r="N135" s="27" t="str">
        <f aca="false">IF(A135="","",IF(H135="—","—",IF(D135&amp;""=I135&amp;"","✓","✗")))</f>
        <v/>
      </c>
      <c r="O135" s="27" t="str">
        <f aca="false">IF(A135="","",IF(H135="—","—",IF(ABS(E135-J135)&lt;0.01,"✓","✗")))</f>
        <v/>
      </c>
      <c r="P135" s="27" t="str">
        <f aca="false">IF(A135="","",IF(H135="—","—",IF(F135&amp;""=K135&amp;"","✓","✗")))</f>
        <v/>
      </c>
      <c r="Q135" s="27" t="str">
        <f aca="false">IF(A135="","",IF(H135="—","—",IF(G135&amp;""=L135&amp;"","✓","✗")))</f>
        <v/>
      </c>
      <c r="R135" s="27" t="str">
        <f aca="false">IF(A135="","",IF(COUNTIF(M135:Q135,"—")=5,"⚠ NO SCD ROW",IF(COUNTIF(M135:Q135,"✗")&gt;0,"❌ MISMATCH","✅ MATCH")))</f>
        <v/>
      </c>
    </row>
    <row r="136" customFormat="false" ht="15" hidden="false" customHeight="true" outlineLevel="0" collapsed="false">
      <c r="A136" s="22" t="str">
        <f aca="false">IF(Daily_Data!A135="","",Daily_Data!A135)</f>
        <v/>
      </c>
      <c r="B136" s="23" t="str">
        <f aca="false">IF(Daily_Data!B135="","",Daily_Data!B135)</f>
        <v/>
      </c>
      <c r="C136" s="23" t="str">
        <f aca="false">IF(A136="","",Daily_Data!C135)</f>
        <v/>
      </c>
      <c r="D136" s="23" t="str">
        <f aca="false">IF(A136="","",Daily_Data!D135)</f>
        <v/>
      </c>
      <c r="E136" s="24" t="str">
        <f aca="false">IF(A136="","",Daily_Data!E135)</f>
        <v/>
      </c>
      <c r="F136" s="23" t="str">
        <f aca="false">IF(A136="","",Daily_Data!F135)</f>
        <v/>
      </c>
      <c r="G136" s="23" t="str">
        <f aca="false">IF(A136="","",Daily_Data!G135)</f>
        <v/>
      </c>
      <c r="H136" s="25" t="str">
        <f aca="false">IF(A136="","",IFERROR(INDEX(SCD_Data!$C$3:$C$502,SUMPRODUCT((SCD_Data!$A$3:$A$502=B136)*(IFERROR(DATEVALUE(SCD_Data!$H$3:$H$502&amp;""),SCD_Data!$H$3:$H$502)&lt;=IFERROR(DATEVALUE(A136&amp;""),A136))*(IFERROR(DATEVALUE(SCD_Data!$I$3:$I$502&amp;""),SCD_Data!$I$3:$I$502)&gt;=IFERROR(DATEVALUE(A136&amp;""),A136))*(ROW(SCD_Data!$A$3:$A$502)-2))),"—"))</f>
        <v/>
      </c>
      <c r="I136" s="25" t="str">
        <f aca="false">IF(A136="","",IFERROR(INDEX(SCD_Data!$D$3:$D$502,SUMPRODUCT((SCD_Data!$A$3:$A$502=B136)*(IFERROR(DATEVALUE(SCD_Data!$H$3:$H$502&amp;""),SCD_Data!$H$3:$H$502)&lt;=IFERROR(DATEVALUE(A136&amp;""),A136))*(IFERROR(DATEVALUE(SCD_Data!$I$3:$I$502&amp;""),SCD_Data!$I$3:$I$502)&gt;=IFERROR(DATEVALUE(A136&amp;""),A136))*(ROW(SCD_Data!$A$3:$A$502)-2))),"—"))</f>
        <v/>
      </c>
      <c r="J136" s="26" t="str">
        <f aca="false">IF(A136="","",IFERROR(INDEX(SCD_Data!$E$3:$E$502,SUMPRODUCT((SCD_Data!$A$3:$A$502=B136)*(IFERROR(DATEVALUE(SCD_Data!$H$3:$H$502&amp;""),SCD_Data!$H$3:$H$502)&lt;=IFERROR(DATEVALUE(A136&amp;""),A136))*(IFERROR(DATEVALUE(SCD_Data!$I$3:$I$502&amp;""),SCD_Data!$I$3:$I$502)&gt;=IFERROR(DATEVALUE(A136&amp;""),A136))*(ROW(SCD_Data!$A$3:$A$502)-2))),"—"))</f>
        <v/>
      </c>
      <c r="K136" s="25" t="str">
        <f aca="false">IF(A136="","",IFERROR(INDEX(SCD_Data!$F$3:$F$502,SUMPRODUCT((SCD_Data!$A$3:$A$502=B136)*(IFERROR(DATEVALUE(SCD_Data!$H$3:$H$502&amp;""),SCD_Data!$H$3:$H$502)&lt;=IFERROR(DATEVALUE(A136&amp;""),A136))*(IFERROR(DATEVALUE(SCD_Data!$I$3:$I$502&amp;""),SCD_Data!$I$3:$I$502)&gt;=IFERROR(DATEVALUE(A136&amp;""),A136))*(ROW(SCD_Data!$A$3:$A$502)-2))),"—"))</f>
        <v/>
      </c>
      <c r="L136" s="25" t="str">
        <f aca="false">IF(A136="","",IFERROR(INDEX(SCD_Data!$G$3:$G$502,SUMPRODUCT((SCD_Data!$A$3:$A$502=B136)*(IFERROR(DATEVALUE(SCD_Data!$H$3:$H$502&amp;""),SCD_Data!$H$3:$H$502)&lt;=IFERROR(DATEVALUE(A136&amp;""),A136))*(IFERROR(DATEVALUE(SCD_Data!$I$3:$I$502&amp;""),SCD_Data!$I$3:$I$502)&gt;=IFERROR(DATEVALUE(A136&amp;""),A136))*(ROW(SCD_Data!$A$3:$A$502)-2))),"—"))</f>
        <v/>
      </c>
      <c r="M136" s="27" t="str">
        <f aca="false">IF(A136="","",IF(H136="—","—",IF(C136&amp;""=H136&amp;"","✓","✗")))</f>
        <v/>
      </c>
      <c r="N136" s="27" t="str">
        <f aca="false">IF(A136="","",IF(H136="—","—",IF(D136&amp;""=I136&amp;"","✓","✗")))</f>
        <v/>
      </c>
      <c r="O136" s="27" t="str">
        <f aca="false">IF(A136="","",IF(H136="—","—",IF(ABS(E136-J136)&lt;0.01,"✓","✗")))</f>
        <v/>
      </c>
      <c r="P136" s="27" t="str">
        <f aca="false">IF(A136="","",IF(H136="—","—",IF(F136&amp;""=K136&amp;"","✓","✗")))</f>
        <v/>
      </c>
      <c r="Q136" s="27" t="str">
        <f aca="false">IF(A136="","",IF(H136="—","—",IF(G136&amp;""=L136&amp;"","✓","✗")))</f>
        <v/>
      </c>
      <c r="R136" s="27" t="str">
        <f aca="false">IF(A136="","",IF(COUNTIF(M136:Q136,"—")=5,"⚠ NO SCD ROW",IF(COUNTIF(M136:Q136,"✗")&gt;0,"❌ MISMATCH","✅ MATCH")))</f>
        <v/>
      </c>
    </row>
    <row r="137" customFormat="false" ht="15" hidden="false" customHeight="true" outlineLevel="0" collapsed="false">
      <c r="A137" s="22" t="str">
        <f aca="false">IF(Daily_Data!A136="","",Daily_Data!A136)</f>
        <v/>
      </c>
      <c r="B137" s="23" t="str">
        <f aca="false">IF(Daily_Data!B136="","",Daily_Data!B136)</f>
        <v/>
      </c>
      <c r="C137" s="23" t="str">
        <f aca="false">IF(A137="","",Daily_Data!C136)</f>
        <v/>
      </c>
      <c r="D137" s="23" t="str">
        <f aca="false">IF(A137="","",Daily_Data!D136)</f>
        <v/>
      </c>
      <c r="E137" s="24" t="str">
        <f aca="false">IF(A137="","",Daily_Data!E136)</f>
        <v/>
      </c>
      <c r="F137" s="23" t="str">
        <f aca="false">IF(A137="","",Daily_Data!F136)</f>
        <v/>
      </c>
      <c r="G137" s="23" t="str">
        <f aca="false">IF(A137="","",Daily_Data!G136)</f>
        <v/>
      </c>
      <c r="H137" s="25" t="str">
        <f aca="false">IF(A137="","",IFERROR(INDEX(SCD_Data!$C$3:$C$502,SUMPRODUCT((SCD_Data!$A$3:$A$502=B137)*(IFERROR(DATEVALUE(SCD_Data!$H$3:$H$502&amp;""),SCD_Data!$H$3:$H$502)&lt;=IFERROR(DATEVALUE(A137&amp;""),A137))*(IFERROR(DATEVALUE(SCD_Data!$I$3:$I$502&amp;""),SCD_Data!$I$3:$I$502)&gt;=IFERROR(DATEVALUE(A137&amp;""),A137))*(ROW(SCD_Data!$A$3:$A$502)-2))),"—"))</f>
        <v/>
      </c>
      <c r="I137" s="25" t="str">
        <f aca="false">IF(A137="","",IFERROR(INDEX(SCD_Data!$D$3:$D$502,SUMPRODUCT((SCD_Data!$A$3:$A$502=B137)*(IFERROR(DATEVALUE(SCD_Data!$H$3:$H$502&amp;""),SCD_Data!$H$3:$H$502)&lt;=IFERROR(DATEVALUE(A137&amp;""),A137))*(IFERROR(DATEVALUE(SCD_Data!$I$3:$I$502&amp;""),SCD_Data!$I$3:$I$502)&gt;=IFERROR(DATEVALUE(A137&amp;""),A137))*(ROW(SCD_Data!$A$3:$A$502)-2))),"—"))</f>
        <v/>
      </c>
      <c r="J137" s="26" t="str">
        <f aca="false">IF(A137="","",IFERROR(INDEX(SCD_Data!$E$3:$E$502,SUMPRODUCT((SCD_Data!$A$3:$A$502=B137)*(IFERROR(DATEVALUE(SCD_Data!$H$3:$H$502&amp;""),SCD_Data!$H$3:$H$502)&lt;=IFERROR(DATEVALUE(A137&amp;""),A137))*(IFERROR(DATEVALUE(SCD_Data!$I$3:$I$502&amp;""),SCD_Data!$I$3:$I$502)&gt;=IFERROR(DATEVALUE(A137&amp;""),A137))*(ROW(SCD_Data!$A$3:$A$502)-2))),"—"))</f>
        <v/>
      </c>
      <c r="K137" s="25" t="str">
        <f aca="false">IF(A137="","",IFERROR(INDEX(SCD_Data!$F$3:$F$502,SUMPRODUCT((SCD_Data!$A$3:$A$502=B137)*(IFERROR(DATEVALUE(SCD_Data!$H$3:$H$502&amp;""),SCD_Data!$H$3:$H$502)&lt;=IFERROR(DATEVALUE(A137&amp;""),A137))*(IFERROR(DATEVALUE(SCD_Data!$I$3:$I$502&amp;""),SCD_Data!$I$3:$I$502)&gt;=IFERROR(DATEVALUE(A137&amp;""),A137))*(ROW(SCD_Data!$A$3:$A$502)-2))),"—"))</f>
        <v/>
      </c>
      <c r="L137" s="25" t="str">
        <f aca="false">IF(A137="","",IFERROR(INDEX(SCD_Data!$G$3:$G$502,SUMPRODUCT((SCD_Data!$A$3:$A$502=B137)*(IFERROR(DATEVALUE(SCD_Data!$H$3:$H$502&amp;""),SCD_Data!$H$3:$H$502)&lt;=IFERROR(DATEVALUE(A137&amp;""),A137))*(IFERROR(DATEVALUE(SCD_Data!$I$3:$I$502&amp;""),SCD_Data!$I$3:$I$502)&gt;=IFERROR(DATEVALUE(A137&amp;""),A137))*(ROW(SCD_Data!$A$3:$A$502)-2))),"—"))</f>
        <v/>
      </c>
      <c r="M137" s="27" t="str">
        <f aca="false">IF(A137="","",IF(H137="—","—",IF(C137&amp;""=H137&amp;"","✓","✗")))</f>
        <v/>
      </c>
      <c r="N137" s="27" t="str">
        <f aca="false">IF(A137="","",IF(H137="—","—",IF(D137&amp;""=I137&amp;"","✓","✗")))</f>
        <v/>
      </c>
      <c r="O137" s="27" t="str">
        <f aca="false">IF(A137="","",IF(H137="—","—",IF(ABS(E137-J137)&lt;0.01,"✓","✗")))</f>
        <v/>
      </c>
      <c r="P137" s="27" t="str">
        <f aca="false">IF(A137="","",IF(H137="—","—",IF(F137&amp;""=K137&amp;"","✓","✗")))</f>
        <v/>
      </c>
      <c r="Q137" s="27" t="str">
        <f aca="false">IF(A137="","",IF(H137="—","—",IF(G137&amp;""=L137&amp;"","✓","✗")))</f>
        <v/>
      </c>
      <c r="R137" s="27" t="str">
        <f aca="false">IF(A137="","",IF(COUNTIF(M137:Q137,"—")=5,"⚠ NO SCD ROW",IF(COUNTIF(M137:Q137,"✗")&gt;0,"❌ MISMATCH","✅ MATCH")))</f>
        <v/>
      </c>
    </row>
    <row r="138" customFormat="false" ht="15" hidden="false" customHeight="true" outlineLevel="0" collapsed="false">
      <c r="A138" s="22" t="str">
        <f aca="false">IF(Daily_Data!A137="","",Daily_Data!A137)</f>
        <v/>
      </c>
      <c r="B138" s="23" t="str">
        <f aca="false">IF(Daily_Data!B137="","",Daily_Data!B137)</f>
        <v/>
      </c>
      <c r="C138" s="23" t="str">
        <f aca="false">IF(A138="","",Daily_Data!C137)</f>
        <v/>
      </c>
      <c r="D138" s="23" t="str">
        <f aca="false">IF(A138="","",Daily_Data!D137)</f>
        <v/>
      </c>
      <c r="E138" s="24" t="str">
        <f aca="false">IF(A138="","",Daily_Data!E137)</f>
        <v/>
      </c>
      <c r="F138" s="23" t="str">
        <f aca="false">IF(A138="","",Daily_Data!F137)</f>
        <v/>
      </c>
      <c r="G138" s="23" t="str">
        <f aca="false">IF(A138="","",Daily_Data!G137)</f>
        <v/>
      </c>
      <c r="H138" s="25" t="str">
        <f aca="false">IF(A138="","",IFERROR(INDEX(SCD_Data!$C$3:$C$502,SUMPRODUCT((SCD_Data!$A$3:$A$502=B138)*(IFERROR(DATEVALUE(SCD_Data!$H$3:$H$502&amp;""),SCD_Data!$H$3:$H$502)&lt;=IFERROR(DATEVALUE(A138&amp;""),A138))*(IFERROR(DATEVALUE(SCD_Data!$I$3:$I$502&amp;""),SCD_Data!$I$3:$I$502)&gt;=IFERROR(DATEVALUE(A138&amp;""),A138))*(ROW(SCD_Data!$A$3:$A$502)-2))),"—"))</f>
        <v/>
      </c>
      <c r="I138" s="25" t="str">
        <f aca="false">IF(A138="","",IFERROR(INDEX(SCD_Data!$D$3:$D$502,SUMPRODUCT((SCD_Data!$A$3:$A$502=B138)*(IFERROR(DATEVALUE(SCD_Data!$H$3:$H$502&amp;""),SCD_Data!$H$3:$H$502)&lt;=IFERROR(DATEVALUE(A138&amp;""),A138))*(IFERROR(DATEVALUE(SCD_Data!$I$3:$I$502&amp;""),SCD_Data!$I$3:$I$502)&gt;=IFERROR(DATEVALUE(A138&amp;""),A138))*(ROW(SCD_Data!$A$3:$A$502)-2))),"—"))</f>
        <v/>
      </c>
      <c r="J138" s="26" t="str">
        <f aca="false">IF(A138="","",IFERROR(INDEX(SCD_Data!$E$3:$E$502,SUMPRODUCT((SCD_Data!$A$3:$A$502=B138)*(IFERROR(DATEVALUE(SCD_Data!$H$3:$H$502&amp;""),SCD_Data!$H$3:$H$502)&lt;=IFERROR(DATEVALUE(A138&amp;""),A138))*(IFERROR(DATEVALUE(SCD_Data!$I$3:$I$502&amp;""),SCD_Data!$I$3:$I$502)&gt;=IFERROR(DATEVALUE(A138&amp;""),A138))*(ROW(SCD_Data!$A$3:$A$502)-2))),"—"))</f>
        <v/>
      </c>
      <c r="K138" s="25" t="str">
        <f aca="false">IF(A138="","",IFERROR(INDEX(SCD_Data!$F$3:$F$502,SUMPRODUCT((SCD_Data!$A$3:$A$502=B138)*(IFERROR(DATEVALUE(SCD_Data!$H$3:$H$502&amp;""),SCD_Data!$H$3:$H$502)&lt;=IFERROR(DATEVALUE(A138&amp;""),A138))*(IFERROR(DATEVALUE(SCD_Data!$I$3:$I$502&amp;""),SCD_Data!$I$3:$I$502)&gt;=IFERROR(DATEVALUE(A138&amp;""),A138))*(ROW(SCD_Data!$A$3:$A$502)-2))),"—"))</f>
        <v/>
      </c>
      <c r="L138" s="25" t="str">
        <f aca="false">IF(A138="","",IFERROR(INDEX(SCD_Data!$G$3:$G$502,SUMPRODUCT((SCD_Data!$A$3:$A$502=B138)*(IFERROR(DATEVALUE(SCD_Data!$H$3:$H$502&amp;""),SCD_Data!$H$3:$H$502)&lt;=IFERROR(DATEVALUE(A138&amp;""),A138))*(IFERROR(DATEVALUE(SCD_Data!$I$3:$I$502&amp;""),SCD_Data!$I$3:$I$502)&gt;=IFERROR(DATEVALUE(A138&amp;""),A138))*(ROW(SCD_Data!$A$3:$A$502)-2))),"—"))</f>
        <v/>
      </c>
      <c r="M138" s="27" t="str">
        <f aca="false">IF(A138="","",IF(H138="—","—",IF(C138&amp;""=H138&amp;"","✓","✗")))</f>
        <v/>
      </c>
      <c r="N138" s="27" t="str">
        <f aca="false">IF(A138="","",IF(H138="—","—",IF(D138&amp;""=I138&amp;"","✓","✗")))</f>
        <v/>
      </c>
      <c r="O138" s="27" t="str">
        <f aca="false">IF(A138="","",IF(H138="—","—",IF(ABS(E138-J138)&lt;0.01,"✓","✗")))</f>
        <v/>
      </c>
      <c r="P138" s="27" t="str">
        <f aca="false">IF(A138="","",IF(H138="—","—",IF(F138&amp;""=K138&amp;"","✓","✗")))</f>
        <v/>
      </c>
      <c r="Q138" s="27" t="str">
        <f aca="false">IF(A138="","",IF(H138="—","—",IF(G138&amp;""=L138&amp;"","✓","✗")))</f>
        <v/>
      </c>
      <c r="R138" s="27" t="str">
        <f aca="false">IF(A138="","",IF(COUNTIF(M138:Q138,"—")=5,"⚠ NO SCD ROW",IF(COUNTIF(M138:Q138,"✗")&gt;0,"❌ MISMATCH","✅ MATCH")))</f>
        <v/>
      </c>
    </row>
    <row r="139" customFormat="false" ht="15" hidden="false" customHeight="true" outlineLevel="0" collapsed="false">
      <c r="A139" s="22" t="str">
        <f aca="false">IF(Daily_Data!A138="","",Daily_Data!A138)</f>
        <v/>
      </c>
      <c r="B139" s="23" t="str">
        <f aca="false">IF(Daily_Data!B138="","",Daily_Data!B138)</f>
        <v/>
      </c>
      <c r="C139" s="23" t="str">
        <f aca="false">IF(A139="","",Daily_Data!C138)</f>
        <v/>
      </c>
      <c r="D139" s="23" t="str">
        <f aca="false">IF(A139="","",Daily_Data!D138)</f>
        <v/>
      </c>
      <c r="E139" s="24" t="str">
        <f aca="false">IF(A139="","",Daily_Data!E138)</f>
        <v/>
      </c>
      <c r="F139" s="23" t="str">
        <f aca="false">IF(A139="","",Daily_Data!F138)</f>
        <v/>
      </c>
      <c r="G139" s="23" t="str">
        <f aca="false">IF(A139="","",Daily_Data!G138)</f>
        <v/>
      </c>
      <c r="H139" s="25" t="str">
        <f aca="false">IF(A139="","",IFERROR(INDEX(SCD_Data!$C$3:$C$502,SUMPRODUCT((SCD_Data!$A$3:$A$502=B139)*(IFERROR(DATEVALUE(SCD_Data!$H$3:$H$502&amp;""),SCD_Data!$H$3:$H$502)&lt;=IFERROR(DATEVALUE(A139&amp;""),A139))*(IFERROR(DATEVALUE(SCD_Data!$I$3:$I$502&amp;""),SCD_Data!$I$3:$I$502)&gt;=IFERROR(DATEVALUE(A139&amp;""),A139))*(ROW(SCD_Data!$A$3:$A$502)-2))),"—"))</f>
        <v/>
      </c>
      <c r="I139" s="25" t="str">
        <f aca="false">IF(A139="","",IFERROR(INDEX(SCD_Data!$D$3:$D$502,SUMPRODUCT((SCD_Data!$A$3:$A$502=B139)*(IFERROR(DATEVALUE(SCD_Data!$H$3:$H$502&amp;""),SCD_Data!$H$3:$H$502)&lt;=IFERROR(DATEVALUE(A139&amp;""),A139))*(IFERROR(DATEVALUE(SCD_Data!$I$3:$I$502&amp;""),SCD_Data!$I$3:$I$502)&gt;=IFERROR(DATEVALUE(A139&amp;""),A139))*(ROW(SCD_Data!$A$3:$A$502)-2))),"—"))</f>
        <v/>
      </c>
      <c r="J139" s="26" t="str">
        <f aca="false">IF(A139="","",IFERROR(INDEX(SCD_Data!$E$3:$E$502,SUMPRODUCT((SCD_Data!$A$3:$A$502=B139)*(IFERROR(DATEVALUE(SCD_Data!$H$3:$H$502&amp;""),SCD_Data!$H$3:$H$502)&lt;=IFERROR(DATEVALUE(A139&amp;""),A139))*(IFERROR(DATEVALUE(SCD_Data!$I$3:$I$502&amp;""),SCD_Data!$I$3:$I$502)&gt;=IFERROR(DATEVALUE(A139&amp;""),A139))*(ROW(SCD_Data!$A$3:$A$502)-2))),"—"))</f>
        <v/>
      </c>
      <c r="K139" s="25" t="str">
        <f aca="false">IF(A139="","",IFERROR(INDEX(SCD_Data!$F$3:$F$502,SUMPRODUCT((SCD_Data!$A$3:$A$502=B139)*(IFERROR(DATEVALUE(SCD_Data!$H$3:$H$502&amp;""),SCD_Data!$H$3:$H$502)&lt;=IFERROR(DATEVALUE(A139&amp;""),A139))*(IFERROR(DATEVALUE(SCD_Data!$I$3:$I$502&amp;""),SCD_Data!$I$3:$I$502)&gt;=IFERROR(DATEVALUE(A139&amp;""),A139))*(ROW(SCD_Data!$A$3:$A$502)-2))),"—"))</f>
        <v/>
      </c>
      <c r="L139" s="25" t="str">
        <f aca="false">IF(A139="","",IFERROR(INDEX(SCD_Data!$G$3:$G$502,SUMPRODUCT((SCD_Data!$A$3:$A$502=B139)*(IFERROR(DATEVALUE(SCD_Data!$H$3:$H$502&amp;""),SCD_Data!$H$3:$H$502)&lt;=IFERROR(DATEVALUE(A139&amp;""),A139))*(IFERROR(DATEVALUE(SCD_Data!$I$3:$I$502&amp;""),SCD_Data!$I$3:$I$502)&gt;=IFERROR(DATEVALUE(A139&amp;""),A139))*(ROW(SCD_Data!$A$3:$A$502)-2))),"—"))</f>
        <v/>
      </c>
      <c r="M139" s="27" t="str">
        <f aca="false">IF(A139="","",IF(H139="—","—",IF(C139&amp;""=H139&amp;"","✓","✗")))</f>
        <v/>
      </c>
      <c r="N139" s="27" t="str">
        <f aca="false">IF(A139="","",IF(H139="—","—",IF(D139&amp;""=I139&amp;"","✓","✗")))</f>
        <v/>
      </c>
      <c r="O139" s="27" t="str">
        <f aca="false">IF(A139="","",IF(H139="—","—",IF(ABS(E139-J139)&lt;0.01,"✓","✗")))</f>
        <v/>
      </c>
      <c r="P139" s="27" t="str">
        <f aca="false">IF(A139="","",IF(H139="—","—",IF(F139&amp;""=K139&amp;"","✓","✗")))</f>
        <v/>
      </c>
      <c r="Q139" s="27" t="str">
        <f aca="false">IF(A139="","",IF(H139="—","—",IF(G139&amp;""=L139&amp;"","✓","✗")))</f>
        <v/>
      </c>
      <c r="R139" s="27" t="str">
        <f aca="false">IF(A139="","",IF(COUNTIF(M139:Q139,"—")=5,"⚠ NO SCD ROW",IF(COUNTIF(M139:Q139,"✗")&gt;0,"❌ MISMATCH","✅ MATCH")))</f>
        <v/>
      </c>
    </row>
    <row r="140" customFormat="false" ht="15" hidden="false" customHeight="true" outlineLevel="0" collapsed="false">
      <c r="A140" s="22" t="str">
        <f aca="false">IF(Daily_Data!A139="","",Daily_Data!A139)</f>
        <v/>
      </c>
      <c r="B140" s="23" t="str">
        <f aca="false">IF(Daily_Data!B139="","",Daily_Data!B139)</f>
        <v/>
      </c>
      <c r="C140" s="23" t="str">
        <f aca="false">IF(A140="","",Daily_Data!C139)</f>
        <v/>
      </c>
      <c r="D140" s="23" t="str">
        <f aca="false">IF(A140="","",Daily_Data!D139)</f>
        <v/>
      </c>
      <c r="E140" s="24" t="str">
        <f aca="false">IF(A140="","",Daily_Data!E139)</f>
        <v/>
      </c>
      <c r="F140" s="23" t="str">
        <f aca="false">IF(A140="","",Daily_Data!F139)</f>
        <v/>
      </c>
      <c r="G140" s="23" t="str">
        <f aca="false">IF(A140="","",Daily_Data!G139)</f>
        <v/>
      </c>
      <c r="H140" s="25" t="str">
        <f aca="false">IF(A140="","",IFERROR(INDEX(SCD_Data!$C$3:$C$502,SUMPRODUCT((SCD_Data!$A$3:$A$502=B140)*(IFERROR(DATEVALUE(SCD_Data!$H$3:$H$502&amp;""),SCD_Data!$H$3:$H$502)&lt;=IFERROR(DATEVALUE(A140&amp;""),A140))*(IFERROR(DATEVALUE(SCD_Data!$I$3:$I$502&amp;""),SCD_Data!$I$3:$I$502)&gt;=IFERROR(DATEVALUE(A140&amp;""),A140))*(ROW(SCD_Data!$A$3:$A$502)-2))),"—"))</f>
        <v/>
      </c>
      <c r="I140" s="25" t="str">
        <f aca="false">IF(A140="","",IFERROR(INDEX(SCD_Data!$D$3:$D$502,SUMPRODUCT((SCD_Data!$A$3:$A$502=B140)*(IFERROR(DATEVALUE(SCD_Data!$H$3:$H$502&amp;""),SCD_Data!$H$3:$H$502)&lt;=IFERROR(DATEVALUE(A140&amp;""),A140))*(IFERROR(DATEVALUE(SCD_Data!$I$3:$I$502&amp;""),SCD_Data!$I$3:$I$502)&gt;=IFERROR(DATEVALUE(A140&amp;""),A140))*(ROW(SCD_Data!$A$3:$A$502)-2))),"—"))</f>
        <v/>
      </c>
      <c r="J140" s="26" t="str">
        <f aca="false">IF(A140="","",IFERROR(INDEX(SCD_Data!$E$3:$E$502,SUMPRODUCT((SCD_Data!$A$3:$A$502=B140)*(IFERROR(DATEVALUE(SCD_Data!$H$3:$H$502&amp;""),SCD_Data!$H$3:$H$502)&lt;=IFERROR(DATEVALUE(A140&amp;""),A140))*(IFERROR(DATEVALUE(SCD_Data!$I$3:$I$502&amp;""),SCD_Data!$I$3:$I$502)&gt;=IFERROR(DATEVALUE(A140&amp;""),A140))*(ROW(SCD_Data!$A$3:$A$502)-2))),"—"))</f>
        <v/>
      </c>
      <c r="K140" s="25" t="str">
        <f aca="false">IF(A140="","",IFERROR(INDEX(SCD_Data!$F$3:$F$502,SUMPRODUCT((SCD_Data!$A$3:$A$502=B140)*(IFERROR(DATEVALUE(SCD_Data!$H$3:$H$502&amp;""),SCD_Data!$H$3:$H$502)&lt;=IFERROR(DATEVALUE(A140&amp;""),A140))*(IFERROR(DATEVALUE(SCD_Data!$I$3:$I$502&amp;""),SCD_Data!$I$3:$I$502)&gt;=IFERROR(DATEVALUE(A140&amp;""),A140))*(ROW(SCD_Data!$A$3:$A$502)-2))),"—"))</f>
        <v/>
      </c>
      <c r="L140" s="25" t="str">
        <f aca="false">IF(A140="","",IFERROR(INDEX(SCD_Data!$G$3:$G$502,SUMPRODUCT((SCD_Data!$A$3:$A$502=B140)*(IFERROR(DATEVALUE(SCD_Data!$H$3:$H$502&amp;""),SCD_Data!$H$3:$H$502)&lt;=IFERROR(DATEVALUE(A140&amp;""),A140))*(IFERROR(DATEVALUE(SCD_Data!$I$3:$I$502&amp;""),SCD_Data!$I$3:$I$502)&gt;=IFERROR(DATEVALUE(A140&amp;""),A140))*(ROW(SCD_Data!$A$3:$A$502)-2))),"—"))</f>
        <v/>
      </c>
      <c r="M140" s="27" t="str">
        <f aca="false">IF(A140="","",IF(H140="—","—",IF(C140&amp;""=H140&amp;"","✓","✗")))</f>
        <v/>
      </c>
      <c r="N140" s="27" t="str">
        <f aca="false">IF(A140="","",IF(H140="—","—",IF(D140&amp;""=I140&amp;"","✓","✗")))</f>
        <v/>
      </c>
      <c r="O140" s="27" t="str">
        <f aca="false">IF(A140="","",IF(H140="—","—",IF(ABS(E140-J140)&lt;0.01,"✓","✗")))</f>
        <v/>
      </c>
      <c r="P140" s="27" t="str">
        <f aca="false">IF(A140="","",IF(H140="—","—",IF(F140&amp;""=K140&amp;"","✓","✗")))</f>
        <v/>
      </c>
      <c r="Q140" s="27" t="str">
        <f aca="false">IF(A140="","",IF(H140="—","—",IF(G140&amp;""=L140&amp;"","✓","✗")))</f>
        <v/>
      </c>
      <c r="R140" s="27" t="str">
        <f aca="false">IF(A140="","",IF(COUNTIF(M140:Q140,"—")=5,"⚠ NO SCD ROW",IF(COUNTIF(M140:Q140,"✗")&gt;0,"❌ MISMATCH","✅ MATCH")))</f>
        <v/>
      </c>
    </row>
    <row r="141" customFormat="false" ht="15" hidden="false" customHeight="true" outlineLevel="0" collapsed="false">
      <c r="A141" s="22" t="str">
        <f aca="false">IF(Daily_Data!A140="","",Daily_Data!A140)</f>
        <v/>
      </c>
      <c r="B141" s="23" t="str">
        <f aca="false">IF(Daily_Data!B140="","",Daily_Data!B140)</f>
        <v/>
      </c>
      <c r="C141" s="23" t="str">
        <f aca="false">IF(A141="","",Daily_Data!C140)</f>
        <v/>
      </c>
      <c r="D141" s="23" t="str">
        <f aca="false">IF(A141="","",Daily_Data!D140)</f>
        <v/>
      </c>
      <c r="E141" s="24" t="str">
        <f aca="false">IF(A141="","",Daily_Data!E140)</f>
        <v/>
      </c>
      <c r="F141" s="23" t="str">
        <f aca="false">IF(A141="","",Daily_Data!F140)</f>
        <v/>
      </c>
      <c r="G141" s="23" t="str">
        <f aca="false">IF(A141="","",Daily_Data!G140)</f>
        <v/>
      </c>
      <c r="H141" s="25" t="str">
        <f aca="false">IF(A141="","",IFERROR(INDEX(SCD_Data!$C$3:$C$502,SUMPRODUCT((SCD_Data!$A$3:$A$502=B141)*(IFERROR(DATEVALUE(SCD_Data!$H$3:$H$502&amp;""),SCD_Data!$H$3:$H$502)&lt;=IFERROR(DATEVALUE(A141&amp;""),A141))*(IFERROR(DATEVALUE(SCD_Data!$I$3:$I$502&amp;""),SCD_Data!$I$3:$I$502)&gt;=IFERROR(DATEVALUE(A141&amp;""),A141))*(ROW(SCD_Data!$A$3:$A$502)-2))),"—"))</f>
        <v/>
      </c>
      <c r="I141" s="25" t="str">
        <f aca="false">IF(A141="","",IFERROR(INDEX(SCD_Data!$D$3:$D$502,SUMPRODUCT((SCD_Data!$A$3:$A$502=B141)*(IFERROR(DATEVALUE(SCD_Data!$H$3:$H$502&amp;""),SCD_Data!$H$3:$H$502)&lt;=IFERROR(DATEVALUE(A141&amp;""),A141))*(IFERROR(DATEVALUE(SCD_Data!$I$3:$I$502&amp;""),SCD_Data!$I$3:$I$502)&gt;=IFERROR(DATEVALUE(A141&amp;""),A141))*(ROW(SCD_Data!$A$3:$A$502)-2))),"—"))</f>
        <v/>
      </c>
      <c r="J141" s="26" t="str">
        <f aca="false">IF(A141="","",IFERROR(INDEX(SCD_Data!$E$3:$E$502,SUMPRODUCT((SCD_Data!$A$3:$A$502=B141)*(IFERROR(DATEVALUE(SCD_Data!$H$3:$H$502&amp;""),SCD_Data!$H$3:$H$502)&lt;=IFERROR(DATEVALUE(A141&amp;""),A141))*(IFERROR(DATEVALUE(SCD_Data!$I$3:$I$502&amp;""),SCD_Data!$I$3:$I$502)&gt;=IFERROR(DATEVALUE(A141&amp;""),A141))*(ROW(SCD_Data!$A$3:$A$502)-2))),"—"))</f>
        <v/>
      </c>
      <c r="K141" s="25" t="str">
        <f aca="false">IF(A141="","",IFERROR(INDEX(SCD_Data!$F$3:$F$502,SUMPRODUCT((SCD_Data!$A$3:$A$502=B141)*(IFERROR(DATEVALUE(SCD_Data!$H$3:$H$502&amp;""),SCD_Data!$H$3:$H$502)&lt;=IFERROR(DATEVALUE(A141&amp;""),A141))*(IFERROR(DATEVALUE(SCD_Data!$I$3:$I$502&amp;""),SCD_Data!$I$3:$I$502)&gt;=IFERROR(DATEVALUE(A141&amp;""),A141))*(ROW(SCD_Data!$A$3:$A$502)-2))),"—"))</f>
        <v/>
      </c>
      <c r="L141" s="25" t="str">
        <f aca="false">IF(A141="","",IFERROR(INDEX(SCD_Data!$G$3:$G$502,SUMPRODUCT((SCD_Data!$A$3:$A$502=B141)*(IFERROR(DATEVALUE(SCD_Data!$H$3:$H$502&amp;""),SCD_Data!$H$3:$H$502)&lt;=IFERROR(DATEVALUE(A141&amp;""),A141))*(IFERROR(DATEVALUE(SCD_Data!$I$3:$I$502&amp;""),SCD_Data!$I$3:$I$502)&gt;=IFERROR(DATEVALUE(A141&amp;""),A141))*(ROW(SCD_Data!$A$3:$A$502)-2))),"—"))</f>
        <v/>
      </c>
      <c r="M141" s="27" t="str">
        <f aca="false">IF(A141="","",IF(H141="—","—",IF(C141&amp;""=H141&amp;"","✓","✗")))</f>
        <v/>
      </c>
      <c r="N141" s="27" t="str">
        <f aca="false">IF(A141="","",IF(H141="—","—",IF(D141&amp;""=I141&amp;"","✓","✗")))</f>
        <v/>
      </c>
      <c r="O141" s="27" t="str">
        <f aca="false">IF(A141="","",IF(H141="—","—",IF(ABS(E141-J141)&lt;0.01,"✓","✗")))</f>
        <v/>
      </c>
      <c r="P141" s="27" t="str">
        <f aca="false">IF(A141="","",IF(H141="—","—",IF(F141&amp;""=K141&amp;"","✓","✗")))</f>
        <v/>
      </c>
      <c r="Q141" s="27" t="str">
        <f aca="false">IF(A141="","",IF(H141="—","—",IF(G141&amp;""=L141&amp;"","✓","✗")))</f>
        <v/>
      </c>
      <c r="R141" s="27" t="str">
        <f aca="false">IF(A141="","",IF(COUNTIF(M141:Q141,"—")=5,"⚠ NO SCD ROW",IF(COUNTIF(M141:Q141,"✗")&gt;0,"❌ MISMATCH","✅ MATCH")))</f>
        <v/>
      </c>
    </row>
    <row r="142" customFormat="false" ht="15" hidden="false" customHeight="true" outlineLevel="0" collapsed="false">
      <c r="A142" s="22" t="str">
        <f aca="false">IF(Daily_Data!A141="","",Daily_Data!A141)</f>
        <v/>
      </c>
      <c r="B142" s="23" t="str">
        <f aca="false">IF(Daily_Data!B141="","",Daily_Data!B141)</f>
        <v/>
      </c>
      <c r="C142" s="23" t="str">
        <f aca="false">IF(A142="","",Daily_Data!C141)</f>
        <v/>
      </c>
      <c r="D142" s="23" t="str">
        <f aca="false">IF(A142="","",Daily_Data!D141)</f>
        <v/>
      </c>
      <c r="E142" s="24" t="str">
        <f aca="false">IF(A142="","",Daily_Data!E141)</f>
        <v/>
      </c>
      <c r="F142" s="23" t="str">
        <f aca="false">IF(A142="","",Daily_Data!F141)</f>
        <v/>
      </c>
      <c r="G142" s="23" t="str">
        <f aca="false">IF(A142="","",Daily_Data!G141)</f>
        <v/>
      </c>
      <c r="H142" s="25" t="str">
        <f aca="false">IF(A142="","",IFERROR(INDEX(SCD_Data!$C$3:$C$502,SUMPRODUCT((SCD_Data!$A$3:$A$502=B142)*(IFERROR(DATEVALUE(SCD_Data!$H$3:$H$502&amp;""),SCD_Data!$H$3:$H$502)&lt;=IFERROR(DATEVALUE(A142&amp;""),A142))*(IFERROR(DATEVALUE(SCD_Data!$I$3:$I$502&amp;""),SCD_Data!$I$3:$I$502)&gt;=IFERROR(DATEVALUE(A142&amp;""),A142))*(ROW(SCD_Data!$A$3:$A$502)-2))),"—"))</f>
        <v/>
      </c>
      <c r="I142" s="25" t="str">
        <f aca="false">IF(A142="","",IFERROR(INDEX(SCD_Data!$D$3:$D$502,SUMPRODUCT((SCD_Data!$A$3:$A$502=B142)*(IFERROR(DATEVALUE(SCD_Data!$H$3:$H$502&amp;""),SCD_Data!$H$3:$H$502)&lt;=IFERROR(DATEVALUE(A142&amp;""),A142))*(IFERROR(DATEVALUE(SCD_Data!$I$3:$I$502&amp;""),SCD_Data!$I$3:$I$502)&gt;=IFERROR(DATEVALUE(A142&amp;""),A142))*(ROW(SCD_Data!$A$3:$A$502)-2))),"—"))</f>
        <v/>
      </c>
      <c r="J142" s="26" t="str">
        <f aca="false">IF(A142="","",IFERROR(INDEX(SCD_Data!$E$3:$E$502,SUMPRODUCT((SCD_Data!$A$3:$A$502=B142)*(IFERROR(DATEVALUE(SCD_Data!$H$3:$H$502&amp;""),SCD_Data!$H$3:$H$502)&lt;=IFERROR(DATEVALUE(A142&amp;""),A142))*(IFERROR(DATEVALUE(SCD_Data!$I$3:$I$502&amp;""),SCD_Data!$I$3:$I$502)&gt;=IFERROR(DATEVALUE(A142&amp;""),A142))*(ROW(SCD_Data!$A$3:$A$502)-2))),"—"))</f>
        <v/>
      </c>
      <c r="K142" s="25" t="str">
        <f aca="false">IF(A142="","",IFERROR(INDEX(SCD_Data!$F$3:$F$502,SUMPRODUCT((SCD_Data!$A$3:$A$502=B142)*(IFERROR(DATEVALUE(SCD_Data!$H$3:$H$502&amp;""),SCD_Data!$H$3:$H$502)&lt;=IFERROR(DATEVALUE(A142&amp;""),A142))*(IFERROR(DATEVALUE(SCD_Data!$I$3:$I$502&amp;""),SCD_Data!$I$3:$I$502)&gt;=IFERROR(DATEVALUE(A142&amp;""),A142))*(ROW(SCD_Data!$A$3:$A$502)-2))),"—"))</f>
        <v/>
      </c>
      <c r="L142" s="25" t="str">
        <f aca="false">IF(A142="","",IFERROR(INDEX(SCD_Data!$G$3:$G$502,SUMPRODUCT((SCD_Data!$A$3:$A$502=B142)*(IFERROR(DATEVALUE(SCD_Data!$H$3:$H$502&amp;""),SCD_Data!$H$3:$H$502)&lt;=IFERROR(DATEVALUE(A142&amp;""),A142))*(IFERROR(DATEVALUE(SCD_Data!$I$3:$I$502&amp;""),SCD_Data!$I$3:$I$502)&gt;=IFERROR(DATEVALUE(A142&amp;""),A142))*(ROW(SCD_Data!$A$3:$A$502)-2))),"—"))</f>
        <v/>
      </c>
      <c r="M142" s="27" t="str">
        <f aca="false">IF(A142="","",IF(H142="—","—",IF(C142&amp;""=H142&amp;"","✓","✗")))</f>
        <v/>
      </c>
      <c r="N142" s="27" t="str">
        <f aca="false">IF(A142="","",IF(H142="—","—",IF(D142&amp;""=I142&amp;"","✓","✗")))</f>
        <v/>
      </c>
      <c r="O142" s="27" t="str">
        <f aca="false">IF(A142="","",IF(H142="—","—",IF(ABS(E142-J142)&lt;0.01,"✓","✗")))</f>
        <v/>
      </c>
      <c r="P142" s="27" t="str">
        <f aca="false">IF(A142="","",IF(H142="—","—",IF(F142&amp;""=K142&amp;"","✓","✗")))</f>
        <v/>
      </c>
      <c r="Q142" s="27" t="str">
        <f aca="false">IF(A142="","",IF(H142="—","—",IF(G142&amp;""=L142&amp;"","✓","✗")))</f>
        <v/>
      </c>
      <c r="R142" s="27" t="str">
        <f aca="false">IF(A142="","",IF(COUNTIF(M142:Q142,"—")=5,"⚠ NO SCD ROW",IF(COUNTIF(M142:Q142,"✗")&gt;0,"❌ MISMATCH","✅ MATCH")))</f>
        <v/>
      </c>
    </row>
    <row r="143" customFormat="false" ht="15" hidden="false" customHeight="true" outlineLevel="0" collapsed="false">
      <c r="A143" s="22" t="str">
        <f aca="false">IF(Daily_Data!A142="","",Daily_Data!A142)</f>
        <v/>
      </c>
      <c r="B143" s="23" t="str">
        <f aca="false">IF(Daily_Data!B142="","",Daily_Data!B142)</f>
        <v/>
      </c>
      <c r="C143" s="23" t="str">
        <f aca="false">IF(A143="","",Daily_Data!C142)</f>
        <v/>
      </c>
      <c r="D143" s="23" t="str">
        <f aca="false">IF(A143="","",Daily_Data!D142)</f>
        <v/>
      </c>
      <c r="E143" s="24" t="str">
        <f aca="false">IF(A143="","",Daily_Data!E142)</f>
        <v/>
      </c>
      <c r="F143" s="23" t="str">
        <f aca="false">IF(A143="","",Daily_Data!F142)</f>
        <v/>
      </c>
      <c r="G143" s="23" t="str">
        <f aca="false">IF(A143="","",Daily_Data!G142)</f>
        <v/>
      </c>
      <c r="H143" s="25" t="str">
        <f aca="false">IF(A143="","",IFERROR(INDEX(SCD_Data!$C$3:$C$502,SUMPRODUCT((SCD_Data!$A$3:$A$502=B143)*(IFERROR(DATEVALUE(SCD_Data!$H$3:$H$502&amp;""),SCD_Data!$H$3:$H$502)&lt;=IFERROR(DATEVALUE(A143&amp;""),A143))*(IFERROR(DATEVALUE(SCD_Data!$I$3:$I$502&amp;""),SCD_Data!$I$3:$I$502)&gt;=IFERROR(DATEVALUE(A143&amp;""),A143))*(ROW(SCD_Data!$A$3:$A$502)-2))),"—"))</f>
        <v/>
      </c>
      <c r="I143" s="25" t="str">
        <f aca="false">IF(A143="","",IFERROR(INDEX(SCD_Data!$D$3:$D$502,SUMPRODUCT((SCD_Data!$A$3:$A$502=B143)*(IFERROR(DATEVALUE(SCD_Data!$H$3:$H$502&amp;""),SCD_Data!$H$3:$H$502)&lt;=IFERROR(DATEVALUE(A143&amp;""),A143))*(IFERROR(DATEVALUE(SCD_Data!$I$3:$I$502&amp;""),SCD_Data!$I$3:$I$502)&gt;=IFERROR(DATEVALUE(A143&amp;""),A143))*(ROW(SCD_Data!$A$3:$A$502)-2))),"—"))</f>
        <v/>
      </c>
      <c r="J143" s="26" t="str">
        <f aca="false">IF(A143="","",IFERROR(INDEX(SCD_Data!$E$3:$E$502,SUMPRODUCT((SCD_Data!$A$3:$A$502=B143)*(IFERROR(DATEVALUE(SCD_Data!$H$3:$H$502&amp;""),SCD_Data!$H$3:$H$502)&lt;=IFERROR(DATEVALUE(A143&amp;""),A143))*(IFERROR(DATEVALUE(SCD_Data!$I$3:$I$502&amp;""),SCD_Data!$I$3:$I$502)&gt;=IFERROR(DATEVALUE(A143&amp;""),A143))*(ROW(SCD_Data!$A$3:$A$502)-2))),"—"))</f>
        <v/>
      </c>
      <c r="K143" s="25" t="str">
        <f aca="false">IF(A143="","",IFERROR(INDEX(SCD_Data!$F$3:$F$502,SUMPRODUCT((SCD_Data!$A$3:$A$502=B143)*(IFERROR(DATEVALUE(SCD_Data!$H$3:$H$502&amp;""),SCD_Data!$H$3:$H$502)&lt;=IFERROR(DATEVALUE(A143&amp;""),A143))*(IFERROR(DATEVALUE(SCD_Data!$I$3:$I$502&amp;""),SCD_Data!$I$3:$I$502)&gt;=IFERROR(DATEVALUE(A143&amp;""),A143))*(ROW(SCD_Data!$A$3:$A$502)-2))),"—"))</f>
        <v/>
      </c>
      <c r="L143" s="25" t="str">
        <f aca="false">IF(A143="","",IFERROR(INDEX(SCD_Data!$G$3:$G$502,SUMPRODUCT((SCD_Data!$A$3:$A$502=B143)*(IFERROR(DATEVALUE(SCD_Data!$H$3:$H$502&amp;""),SCD_Data!$H$3:$H$502)&lt;=IFERROR(DATEVALUE(A143&amp;""),A143))*(IFERROR(DATEVALUE(SCD_Data!$I$3:$I$502&amp;""),SCD_Data!$I$3:$I$502)&gt;=IFERROR(DATEVALUE(A143&amp;""),A143))*(ROW(SCD_Data!$A$3:$A$502)-2))),"—"))</f>
        <v/>
      </c>
      <c r="M143" s="27" t="str">
        <f aca="false">IF(A143="","",IF(H143="—","—",IF(C143&amp;""=H143&amp;"","✓","✗")))</f>
        <v/>
      </c>
      <c r="N143" s="27" t="str">
        <f aca="false">IF(A143="","",IF(H143="—","—",IF(D143&amp;""=I143&amp;"","✓","✗")))</f>
        <v/>
      </c>
      <c r="O143" s="27" t="str">
        <f aca="false">IF(A143="","",IF(H143="—","—",IF(ABS(E143-J143)&lt;0.01,"✓","✗")))</f>
        <v/>
      </c>
      <c r="P143" s="27" t="str">
        <f aca="false">IF(A143="","",IF(H143="—","—",IF(F143&amp;""=K143&amp;"","✓","✗")))</f>
        <v/>
      </c>
      <c r="Q143" s="27" t="str">
        <f aca="false">IF(A143="","",IF(H143="—","—",IF(G143&amp;""=L143&amp;"","✓","✗")))</f>
        <v/>
      </c>
      <c r="R143" s="27" t="str">
        <f aca="false">IF(A143="","",IF(COUNTIF(M143:Q143,"—")=5,"⚠ NO SCD ROW",IF(COUNTIF(M143:Q143,"✗")&gt;0,"❌ MISMATCH","✅ MATCH")))</f>
        <v/>
      </c>
    </row>
    <row r="144" customFormat="false" ht="15" hidden="false" customHeight="true" outlineLevel="0" collapsed="false">
      <c r="A144" s="22" t="str">
        <f aca="false">IF(Daily_Data!A143="","",Daily_Data!A143)</f>
        <v/>
      </c>
      <c r="B144" s="23" t="str">
        <f aca="false">IF(Daily_Data!B143="","",Daily_Data!B143)</f>
        <v/>
      </c>
      <c r="C144" s="23" t="str">
        <f aca="false">IF(A144="","",Daily_Data!C143)</f>
        <v/>
      </c>
      <c r="D144" s="23" t="str">
        <f aca="false">IF(A144="","",Daily_Data!D143)</f>
        <v/>
      </c>
      <c r="E144" s="24" t="str">
        <f aca="false">IF(A144="","",Daily_Data!E143)</f>
        <v/>
      </c>
      <c r="F144" s="23" t="str">
        <f aca="false">IF(A144="","",Daily_Data!F143)</f>
        <v/>
      </c>
      <c r="G144" s="23" t="str">
        <f aca="false">IF(A144="","",Daily_Data!G143)</f>
        <v/>
      </c>
      <c r="H144" s="25" t="str">
        <f aca="false">IF(A144="","",IFERROR(INDEX(SCD_Data!$C$3:$C$502,SUMPRODUCT((SCD_Data!$A$3:$A$502=B144)*(IFERROR(DATEVALUE(SCD_Data!$H$3:$H$502&amp;""),SCD_Data!$H$3:$H$502)&lt;=IFERROR(DATEVALUE(A144&amp;""),A144))*(IFERROR(DATEVALUE(SCD_Data!$I$3:$I$502&amp;""),SCD_Data!$I$3:$I$502)&gt;=IFERROR(DATEVALUE(A144&amp;""),A144))*(ROW(SCD_Data!$A$3:$A$502)-2))),"—"))</f>
        <v/>
      </c>
      <c r="I144" s="25" t="str">
        <f aca="false">IF(A144="","",IFERROR(INDEX(SCD_Data!$D$3:$D$502,SUMPRODUCT((SCD_Data!$A$3:$A$502=B144)*(IFERROR(DATEVALUE(SCD_Data!$H$3:$H$502&amp;""),SCD_Data!$H$3:$H$502)&lt;=IFERROR(DATEVALUE(A144&amp;""),A144))*(IFERROR(DATEVALUE(SCD_Data!$I$3:$I$502&amp;""),SCD_Data!$I$3:$I$502)&gt;=IFERROR(DATEVALUE(A144&amp;""),A144))*(ROW(SCD_Data!$A$3:$A$502)-2))),"—"))</f>
        <v/>
      </c>
      <c r="J144" s="26" t="str">
        <f aca="false">IF(A144="","",IFERROR(INDEX(SCD_Data!$E$3:$E$502,SUMPRODUCT((SCD_Data!$A$3:$A$502=B144)*(IFERROR(DATEVALUE(SCD_Data!$H$3:$H$502&amp;""),SCD_Data!$H$3:$H$502)&lt;=IFERROR(DATEVALUE(A144&amp;""),A144))*(IFERROR(DATEVALUE(SCD_Data!$I$3:$I$502&amp;""),SCD_Data!$I$3:$I$502)&gt;=IFERROR(DATEVALUE(A144&amp;""),A144))*(ROW(SCD_Data!$A$3:$A$502)-2))),"—"))</f>
        <v/>
      </c>
      <c r="K144" s="25" t="str">
        <f aca="false">IF(A144="","",IFERROR(INDEX(SCD_Data!$F$3:$F$502,SUMPRODUCT((SCD_Data!$A$3:$A$502=B144)*(IFERROR(DATEVALUE(SCD_Data!$H$3:$H$502&amp;""),SCD_Data!$H$3:$H$502)&lt;=IFERROR(DATEVALUE(A144&amp;""),A144))*(IFERROR(DATEVALUE(SCD_Data!$I$3:$I$502&amp;""),SCD_Data!$I$3:$I$502)&gt;=IFERROR(DATEVALUE(A144&amp;""),A144))*(ROW(SCD_Data!$A$3:$A$502)-2))),"—"))</f>
        <v/>
      </c>
      <c r="L144" s="25" t="str">
        <f aca="false">IF(A144="","",IFERROR(INDEX(SCD_Data!$G$3:$G$502,SUMPRODUCT((SCD_Data!$A$3:$A$502=B144)*(IFERROR(DATEVALUE(SCD_Data!$H$3:$H$502&amp;""),SCD_Data!$H$3:$H$502)&lt;=IFERROR(DATEVALUE(A144&amp;""),A144))*(IFERROR(DATEVALUE(SCD_Data!$I$3:$I$502&amp;""),SCD_Data!$I$3:$I$502)&gt;=IFERROR(DATEVALUE(A144&amp;""),A144))*(ROW(SCD_Data!$A$3:$A$502)-2))),"—"))</f>
        <v/>
      </c>
      <c r="M144" s="27" t="str">
        <f aca="false">IF(A144="","",IF(H144="—","—",IF(C144&amp;""=H144&amp;"","✓","✗")))</f>
        <v/>
      </c>
      <c r="N144" s="27" t="str">
        <f aca="false">IF(A144="","",IF(H144="—","—",IF(D144&amp;""=I144&amp;"","✓","✗")))</f>
        <v/>
      </c>
      <c r="O144" s="27" t="str">
        <f aca="false">IF(A144="","",IF(H144="—","—",IF(ABS(E144-J144)&lt;0.01,"✓","✗")))</f>
        <v/>
      </c>
      <c r="P144" s="27" t="str">
        <f aca="false">IF(A144="","",IF(H144="—","—",IF(F144&amp;""=K144&amp;"","✓","✗")))</f>
        <v/>
      </c>
      <c r="Q144" s="27" t="str">
        <f aca="false">IF(A144="","",IF(H144="—","—",IF(G144&amp;""=L144&amp;"","✓","✗")))</f>
        <v/>
      </c>
      <c r="R144" s="27" t="str">
        <f aca="false">IF(A144="","",IF(COUNTIF(M144:Q144,"—")=5,"⚠ NO SCD ROW",IF(COUNTIF(M144:Q144,"✗")&gt;0,"❌ MISMATCH","✅ MATCH")))</f>
        <v/>
      </c>
    </row>
    <row r="145" customFormat="false" ht="15" hidden="false" customHeight="true" outlineLevel="0" collapsed="false">
      <c r="A145" s="22" t="str">
        <f aca="false">IF(Daily_Data!A144="","",Daily_Data!A144)</f>
        <v/>
      </c>
      <c r="B145" s="23" t="str">
        <f aca="false">IF(Daily_Data!B144="","",Daily_Data!B144)</f>
        <v/>
      </c>
      <c r="C145" s="23" t="str">
        <f aca="false">IF(A145="","",Daily_Data!C144)</f>
        <v/>
      </c>
      <c r="D145" s="23" t="str">
        <f aca="false">IF(A145="","",Daily_Data!D144)</f>
        <v/>
      </c>
      <c r="E145" s="24" t="str">
        <f aca="false">IF(A145="","",Daily_Data!E144)</f>
        <v/>
      </c>
      <c r="F145" s="23" t="str">
        <f aca="false">IF(A145="","",Daily_Data!F144)</f>
        <v/>
      </c>
      <c r="G145" s="23" t="str">
        <f aca="false">IF(A145="","",Daily_Data!G144)</f>
        <v/>
      </c>
      <c r="H145" s="25" t="str">
        <f aca="false">IF(A145="","",IFERROR(INDEX(SCD_Data!$C$3:$C$502,SUMPRODUCT((SCD_Data!$A$3:$A$502=B145)*(IFERROR(DATEVALUE(SCD_Data!$H$3:$H$502&amp;""),SCD_Data!$H$3:$H$502)&lt;=IFERROR(DATEVALUE(A145&amp;""),A145))*(IFERROR(DATEVALUE(SCD_Data!$I$3:$I$502&amp;""),SCD_Data!$I$3:$I$502)&gt;=IFERROR(DATEVALUE(A145&amp;""),A145))*(ROW(SCD_Data!$A$3:$A$502)-2))),"—"))</f>
        <v/>
      </c>
      <c r="I145" s="25" t="str">
        <f aca="false">IF(A145="","",IFERROR(INDEX(SCD_Data!$D$3:$D$502,SUMPRODUCT((SCD_Data!$A$3:$A$502=B145)*(IFERROR(DATEVALUE(SCD_Data!$H$3:$H$502&amp;""),SCD_Data!$H$3:$H$502)&lt;=IFERROR(DATEVALUE(A145&amp;""),A145))*(IFERROR(DATEVALUE(SCD_Data!$I$3:$I$502&amp;""),SCD_Data!$I$3:$I$502)&gt;=IFERROR(DATEVALUE(A145&amp;""),A145))*(ROW(SCD_Data!$A$3:$A$502)-2))),"—"))</f>
        <v/>
      </c>
      <c r="J145" s="26" t="str">
        <f aca="false">IF(A145="","",IFERROR(INDEX(SCD_Data!$E$3:$E$502,SUMPRODUCT((SCD_Data!$A$3:$A$502=B145)*(IFERROR(DATEVALUE(SCD_Data!$H$3:$H$502&amp;""),SCD_Data!$H$3:$H$502)&lt;=IFERROR(DATEVALUE(A145&amp;""),A145))*(IFERROR(DATEVALUE(SCD_Data!$I$3:$I$502&amp;""),SCD_Data!$I$3:$I$502)&gt;=IFERROR(DATEVALUE(A145&amp;""),A145))*(ROW(SCD_Data!$A$3:$A$502)-2))),"—"))</f>
        <v/>
      </c>
      <c r="K145" s="25" t="str">
        <f aca="false">IF(A145="","",IFERROR(INDEX(SCD_Data!$F$3:$F$502,SUMPRODUCT((SCD_Data!$A$3:$A$502=B145)*(IFERROR(DATEVALUE(SCD_Data!$H$3:$H$502&amp;""),SCD_Data!$H$3:$H$502)&lt;=IFERROR(DATEVALUE(A145&amp;""),A145))*(IFERROR(DATEVALUE(SCD_Data!$I$3:$I$502&amp;""),SCD_Data!$I$3:$I$502)&gt;=IFERROR(DATEVALUE(A145&amp;""),A145))*(ROW(SCD_Data!$A$3:$A$502)-2))),"—"))</f>
        <v/>
      </c>
      <c r="L145" s="25" t="str">
        <f aca="false">IF(A145="","",IFERROR(INDEX(SCD_Data!$G$3:$G$502,SUMPRODUCT((SCD_Data!$A$3:$A$502=B145)*(IFERROR(DATEVALUE(SCD_Data!$H$3:$H$502&amp;""),SCD_Data!$H$3:$H$502)&lt;=IFERROR(DATEVALUE(A145&amp;""),A145))*(IFERROR(DATEVALUE(SCD_Data!$I$3:$I$502&amp;""),SCD_Data!$I$3:$I$502)&gt;=IFERROR(DATEVALUE(A145&amp;""),A145))*(ROW(SCD_Data!$A$3:$A$502)-2))),"—"))</f>
        <v/>
      </c>
      <c r="M145" s="27" t="str">
        <f aca="false">IF(A145="","",IF(H145="—","—",IF(C145&amp;""=H145&amp;"","✓","✗")))</f>
        <v/>
      </c>
      <c r="N145" s="27" t="str">
        <f aca="false">IF(A145="","",IF(H145="—","—",IF(D145&amp;""=I145&amp;"","✓","✗")))</f>
        <v/>
      </c>
      <c r="O145" s="27" t="str">
        <f aca="false">IF(A145="","",IF(H145="—","—",IF(ABS(E145-J145)&lt;0.01,"✓","✗")))</f>
        <v/>
      </c>
      <c r="P145" s="27" t="str">
        <f aca="false">IF(A145="","",IF(H145="—","—",IF(F145&amp;""=K145&amp;"","✓","✗")))</f>
        <v/>
      </c>
      <c r="Q145" s="27" t="str">
        <f aca="false">IF(A145="","",IF(H145="—","—",IF(G145&amp;""=L145&amp;"","✓","✗")))</f>
        <v/>
      </c>
      <c r="R145" s="27" t="str">
        <f aca="false">IF(A145="","",IF(COUNTIF(M145:Q145,"—")=5,"⚠ NO SCD ROW",IF(COUNTIF(M145:Q145,"✗")&gt;0,"❌ MISMATCH","✅ MATCH")))</f>
        <v/>
      </c>
    </row>
    <row r="146" customFormat="false" ht="15" hidden="false" customHeight="true" outlineLevel="0" collapsed="false">
      <c r="A146" s="22" t="str">
        <f aca="false">IF(Daily_Data!A145="","",Daily_Data!A145)</f>
        <v/>
      </c>
      <c r="B146" s="23" t="str">
        <f aca="false">IF(Daily_Data!B145="","",Daily_Data!B145)</f>
        <v/>
      </c>
      <c r="C146" s="23" t="str">
        <f aca="false">IF(A146="","",Daily_Data!C145)</f>
        <v/>
      </c>
      <c r="D146" s="23" t="str">
        <f aca="false">IF(A146="","",Daily_Data!D145)</f>
        <v/>
      </c>
      <c r="E146" s="24" t="str">
        <f aca="false">IF(A146="","",Daily_Data!E145)</f>
        <v/>
      </c>
      <c r="F146" s="23" t="str">
        <f aca="false">IF(A146="","",Daily_Data!F145)</f>
        <v/>
      </c>
      <c r="G146" s="23" t="str">
        <f aca="false">IF(A146="","",Daily_Data!G145)</f>
        <v/>
      </c>
      <c r="H146" s="25" t="str">
        <f aca="false">IF(A146="","",IFERROR(INDEX(SCD_Data!$C$3:$C$502,SUMPRODUCT((SCD_Data!$A$3:$A$502=B146)*(IFERROR(DATEVALUE(SCD_Data!$H$3:$H$502&amp;""),SCD_Data!$H$3:$H$502)&lt;=IFERROR(DATEVALUE(A146&amp;""),A146))*(IFERROR(DATEVALUE(SCD_Data!$I$3:$I$502&amp;""),SCD_Data!$I$3:$I$502)&gt;=IFERROR(DATEVALUE(A146&amp;""),A146))*(ROW(SCD_Data!$A$3:$A$502)-2))),"—"))</f>
        <v/>
      </c>
      <c r="I146" s="25" t="str">
        <f aca="false">IF(A146="","",IFERROR(INDEX(SCD_Data!$D$3:$D$502,SUMPRODUCT((SCD_Data!$A$3:$A$502=B146)*(IFERROR(DATEVALUE(SCD_Data!$H$3:$H$502&amp;""),SCD_Data!$H$3:$H$502)&lt;=IFERROR(DATEVALUE(A146&amp;""),A146))*(IFERROR(DATEVALUE(SCD_Data!$I$3:$I$502&amp;""),SCD_Data!$I$3:$I$502)&gt;=IFERROR(DATEVALUE(A146&amp;""),A146))*(ROW(SCD_Data!$A$3:$A$502)-2))),"—"))</f>
        <v/>
      </c>
      <c r="J146" s="26" t="str">
        <f aca="false">IF(A146="","",IFERROR(INDEX(SCD_Data!$E$3:$E$502,SUMPRODUCT((SCD_Data!$A$3:$A$502=B146)*(IFERROR(DATEVALUE(SCD_Data!$H$3:$H$502&amp;""),SCD_Data!$H$3:$H$502)&lt;=IFERROR(DATEVALUE(A146&amp;""),A146))*(IFERROR(DATEVALUE(SCD_Data!$I$3:$I$502&amp;""),SCD_Data!$I$3:$I$502)&gt;=IFERROR(DATEVALUE(A146&amp;""),A146))*(ROW(SCD_Data!$A$3:$A$502)-2))),"—"))</f>
        <v/>
      </c>
      <c r="K146" s="25" t="str">
        <f aca="false">IF(A146="","",IFERROR(INDEX(SCD_Data!$F$3:$F$502,SUMPRODUCT((SCD_Data!$A$3:$A$502=B146)*(IFERROR(DATEVALUE(SCD_Data!$H$3:$H$502&amp;""),SCD_Data!$H$3:$H$502)&lt;=IFERROR(DATEVALUE(A146&amp;""),A146))*(IFERROR(DATEVALUE(SCD_Data!$I$3:$I$502&amp;""),SCD_Data!$I$3:$I$502)&gt;=IFERROR(DATEVALUE(A146&amp;""),A146))*(ROW(SCD_Data!$A$3:$A$502)-2))),"—"))</f>
        <v/>
      </c>
      <c r="L146" s="25" t="str">
        <f aca="false">IF(A146="","",IFERROR(INDEX(SCD_Data!$G$3:$G$502,SUMPRODUCT((SCD_Data!$A$3:$A$502=B146)*(IFERROR(DATEVALUE(SCD_Data!$H$3:$H$502&amp;""),SCD_Data!$H$3:$H$502)&lt;=IFERROR(DATEVALUE(A146&amp;""),A146))*(IFERROR(DATEVALUE(SCD_Data!$I$3:$I$502&amp;""),SCD_Data!$I$3:$I$502)&gt;=IFERROR(DATEVALUE(A146&amp;""),A146))*(ROW(SCD_Data!$A$3:$A$502)-2))),"—"))</f>
        <v/>
      </c>
      <c r="M146" s="27" t="str">
        <f aca="false">IF(A146="","",IF(H146="—","—",IF(C146&amp;""=H146&amp;"","✓","✗")))</f>
        <v/>
      </c>
      <c r="N146" s="27" t="str">
        <f aca="false">IF(A146="","",IF(H146="—","—",IF(D146&amp;""=I146&amp;"","✓","✗")))</f>
        <v/>
      </c>
      <c r="O146" s="27" t="str">
        <f aca="false">IF(A146="","",IF(H146="—","—",IF(ABS(E146-J146)&lt;0.01,"✓","✗")))</f>
        <v/>
      </c>
      <c r="P146" s="27" t="str">
        <f aca="false">IF(A146="","",IF(H146="—","—",IF(F146&amp;""=K146&amp;"","✓","✗")))</f>
        <v/>
      </c>
      <c r="Q146" s="27" t="str">
        <f aca="false">IF(A146="","",IF(H146="—","—",IF(G146&amp;""=L146&amp;"","✓","✗")))</f>
        <v/>
      </c>
      <c r="R146" s="27" t="str">
        <f aca="false">IF(A146="","",IF(COUNTIF(M146:Q146,"—")=5,"⚠ NO SCD ROW",IF(COUNTIF(M146:Q146,"✗")&gt;0,"❌ MISMATCH","✅ MATCH")))</f>
        <v/>
      </c>
    </row>
    <row r="147" customFormat="false" ht="15" hidden="false" customHeight="true" outlineLevel="0" collapsed="false">
      <c r="A147" s="22" t="str">
        <f aca="false">IF(Daily_Data!A146="","",Daily_Data!A146)</f>
        <v/>
      </c>
      <c r="B147" s="23" t="str">
        <f aca="false">IF(Daily_Data!B146="","",Daily_Data!B146)</f>
        <v/>
      </c>
      <c r="C147" s="23" t="str">
        <f aca="false">IF(A147="","",Daily_Data!C146)</f>
        <v/>
      </c>
      <c r="D147" s="23" t="str">
        <f aca="false">IF(A147="","",Daily_Data!D146)</f>
        <v/>
      </c>
      <c r="E147" s="24" t="str">
        <f aca="false">IF(A147="","",Daily_Data!E146)</f>
        <v/>
      </c>
      <c r="F147" s="23" t="str">
        <f aca="false">IF(A147="","",Daily_Data!F146)</f>
        <v/>
      </c>
      <c r="G147" s="23" t="str">
        <f aca="false">IF(A147="","",Daily_Data!G146)</f>
        <v/>
      </c>
      <c r="H147" s="25" t="str">
        <f aca="false">IF(A147="","",IFERROR(INDEX(SCD_Data!$C$3:$C$502,SUMPRODUCT((SCD_Data!$A$3:$A$502=B147)*(IFERROR(DATEVALUE(SCD_Data!$H$3:$H$502&amp;""),SCD_Data!$H$3:$H$502)&lt;=IFERROR(DATEVALUE(A147&amp;""),A147))*(IFERROR(DATEVALUE(SCD_Data!$I$3:$I$502&amp;""),SCD_Data!$I$3:$I$502)&gt;=IFERROR(DATEVALUE(A147&amp;""),A147))*(ROW(SCD_Data!$A$3:$A$502)-2))),"—"))</f>
        <v/>
      </c>
      <c r="I147" s="25" t="str">
        <f aca="false">IF(A147="","",IFERROR(INDEX(SCD_Data!$D$3:$D$502,SUMPRODUCT((SCD_Data!$A$3:$A$502=B147)*(IFERROR(DATEVALUE(SCD_Data!$H$3:$H$502&amp;""),SCD_Data!$H$3:$H$502)&lt;=IFERROR(DATEVALUE(A147&amp;""),A147))*(IFERROR(DATEVALUE(SCD_Data!$I$3:$I$502&amp;""),SCD_Data!$I$3:$I$502)&gt;=IFERROR(DATEVALUE(A147&amp;""),A147))*(ROW(SCD_Data!$A$3:$A$502)-2))),"—"))</f>
        <v/>
      </c>
      <c r="J147" s="26" t="str">
        <f aca="false">IF(A147="","",IFERROR(INDEX(SCD_Data!$E$3:$E$502,SUMPRODUCT((SCD_Data!$A$3:$A$502=B147)*(IFERROR(DATEVALUE(SCD_Data!$H$3:$H$502&amp;""),SCD_Data!$H$3:$H$502)&lt;=IFERROR(DATEVALUE(A147&amp;""),A147))*(IFERROR(DATEVALUE(SCD_Data!$I$3:$I$502&amp;""),SCD_Data!$I$3:$I$502)&gt;=IFERROR(DATEVALUE(A147&amp;""),A147))*(ROW(SCD_Data!$A$3:$A$502)-2))),"—"))</f>
        <v/>
      </c>
      <c r="K147" s="25" t="str">
        <f aca="false">IF(A147="","",IFERROR(INDEX(SCD_Data!$F$3:$F$502,SUMPRODUCT((SCD_Data!$A$3:$A$502=B147)*(IFERROR(DATEVALUE(SCD_Data!$H$3:$H$502&amp;""),SCD_Data!$H$3:$H$502)&lt;=IFERROR(DATEVALUE(A147&amp;""),A147))*(IFERROR(DATEVALUE(SCD_Data!$I$3:$I$502&amp;""),SCD_Data!$I$3:$I$502)&gt;=IFERROR(DATEVALUE(A147&amp;""),A147))*(ROW(SCD_Data!$A$3:$A$502)-2))),"—"))</f>
        <v/>
      </c>
      <c r="L147" s="25" t="str">
        <f aca="false">IF(A147="","",IFERROR(INDEX(SCD_Data!$G$3:$G$502,SUMPRODUCT((SCD_Data!$A$3:$A$502=B147)*(IFERROR(DATEVALUE(SCD_Data!$H$3:$H$502&amp;""),SCD_Data!$H$3:$H$502)&lt;=IFERROR(DATEVALUE(A147&amp;""),A147))*(IFERROR(DATEVALUE(SCD_Data!$I$3:$I$502&amp;""),SCD_Data!$I$3:$I$502)&gt;=IFERROR(DATEVALUE(A147&amp;""),A147))*(ROW(SCD_Data!$A$3:$A$502)-2))),"—"))</f>
        <v/>
      </c>
      <c r="M147" s="27" t="str">
        <f aca="false">IF(A147="","",IF(H147="—","—",IF(C147&amp;""=H147&amp;"","✓","✗")))</f>
        <v/>
      </c>
      <c r="N147" s="27" t="str">
        <f aca="false">IF(A147="","",IF(H147="—","—",IF(D147&amp;""=I147&amp;"","✓","✗")))</f>
        <v/>
      </c>
      <c r="O147" s="27" t="str">
        <f aca="false">IF(A147="","",IF(H147="—","—",IF(ABS(E147-J147)&lt;0.01,"✓","✗")))</f>
        <v/>
      </c>
      <c r="P147" s="27" t="str">
        <f aca="false">IF(A147="","",IF(H147="—","—",IF(F147&amp;""=K147&amp;"","✓","✗")))</f>
        <v/>
      </c>
      <c r="Q147" s="27" t="str">
        <f aca="false">IF(A147="","",IF(H147="—","—",IF(G147&amp;""=L147&amp;"","✓","✗")))</f>
        <v/>
      </c>
      <c r="R147" s="27" t="str">
        <f aca="false">IF(A147="","",IF(COUNTIF(M147:Q147,"—")=5,"⚠ NO SCD ROW",IF(COUNTIF(M147:Q147,"✗")&gt;0,"❌ MISMATCH","✅ MATCH")))</f>
        <v/>
      </c>
    </row>
    <row r="148" customFormat="false" ht="15" hidden="false" customHeight="true" outlineLevel="0" collapsed="false">
      <c r="A148" s="22" t="str">
        <f aca="false">IF(Daily_Data!A147="","",Daily_Data!A147)</f>
        <v/>
      </c>
      <c r="B148" s="23" t="str">
        <f aca="false">IF(Daily_Data!B147="","",Daily_Data!B147)</f>
        <v/>
      </c>
      <c r="C148" s="23" t="str">
        <f aca="false">IF(A148="","",Daily_Data!C147)</f>
        <v/>
      </c>
      <c r="D148" s="23" t="str">
        <f aca="false">IF(A148="","",Daily_Data!D147)</f>
        <v/>
      </c>
      <c r="E148" s="24" t="str">
        <f aca="false">IF(A148="","",Daily_Data!E147)</f>
        <v/>
      </c>
      <c r="F148" s="23" t="str">
        <f aca="false">IF(A148="","",Daily_Data!F147)</f>
        <v/>
      </c>
      <c r="G148" s="23" t="str">
        <f aca="false">IF(A148="","",Daily_Data!G147)</f>
        <v/>
      </c>
      <c r="H148" s="25" t="str">
        <f aca="false">IF(A148="","",IFERROR(INDEX(SCD_Data!$C$3:$C$502,SUMPRODUCT((SCD_Data!$A$3:$A$502=B148)*(IFERROR(DATEVALUE(SCD_Data!$H$3:$H$502&amp;""),SCD_Data!$H$3:$H$502)&lt;=IFERROR(DATEVALUE(A148&amp;""),A148))*(IFERROR(DATEVALUE(SCD_Data!$I$3:$I$502&amp;""),SCD_Data!$I$3:$I$502)&gt;=IFERROR(DATEVALUE(A148&amp;""),A148))*(ROW(SCD_Data!$A$3:$A$502)-2))),"—"))</f>
        <v/>
      </c>
      <c r="I148" s="25" t="str">
        <f aca="false">IF(A148="","",IFERROR(INDEX(SCD_Data!$D$3:$D$502,SUMPRODUCT((SCD_Data!$A$3:$A$502=B148)*(IFERROR(DATEVALUE(SCD_Data!$H$3:$H$502&amp;""),SCD_Data!$H$3:$H$502)&lt;=IFERROR(DATEVALUE(A148&amp;""),A148))*(IFERROR(DATEVALUE(SCD_Data!$I$3:$I$502&amp;""),SCD_Data!$I$3:$I$502)&gt;=IFERROR(DATEVALUE(A148&amp;""),A148))*(ROW(SCD_Data!$A$3:$A$502)-2))),"—"))</f>
        <v/>
      </c>
      <c r="J148" s="26" t="str">
        <f aca="false">IF(A148="","",IFERROR(INDEX(SCD_Data!$E$3:$E$502,SUMPRODUCT((SCD_Data!$A$3:$A$502=B148)*(IFERROR(DATEVALUE(SCD_Data!$H$3:$H$502&amp;""),SCD_Data!$H$3:$H$502)&lt;=IFERROR(DATEVALUE(A148&amp;""),A148))*(IFERROR(DATEVALUE(SCD_Data!$I$3:$I$502&amp;""),SCD_Data!$I$3:$I$502)&gt;=IFERROR(DATEVALUE(A148&amp;""),A148))*(ROW(SCD_Data!$A$3:$A$502)-2))),"—"))</f>
        <v/>
      </c>
      <c r="K148" s="25" t="str">
        <f aca="false">IF(A148="","",IFERROR(INDEX(SCD_Data!$F$3:$F$502,SUMPRODUCT((SCD_Data!$A$3:$A$502=B148)*(IFERROR(DATEVALUE(SCD_Data!$H$3:$H$502&amp;""),SCD_Data!$H$3:$H$502)&lt;=IFERROR(DATEVALUE(A148&amp;""),A148))*(IFERROR(DATEVALUE(SCD_Data!$I$3:$I$502&amp;""),SCD_Data!$I$3:$I$502)&gt;=IFERROR(DATEVALUE(A148&amp;""),A148))*(ROW(SCD_Data!$A$3:$A$502)-2))),"—"))</f>
        <v/>
      </c>
      <c r="L148" s="25" t="str">
        <f aca="false">IF(A148="","",IFERROR(INDEX(SCD_Data!$G$3:$G$502,SUMPRODUCT((SCD_Data!$A$3:$A$502=B148)*(IFERROR(DATEVALUE(SCD_Data!$H$3:$H$502&amp;""),SCD_Data!$H$3:$H$502)&lt;=IFERROR(DATEVALUE(A148&amp;""),A148))*(IFERROR(DATEVALUE(SCD_Data!$I$3:$I$502&amp;""),SCD_Data!$I$3:$I$502)&gt;=IFERROR(DATEVALUE(A148&amp;""),A148))*(ROW(SCD_Data!$A$3:$A$502)-2))),"—"))</f>
        <v/>
      </c>
      <c r="M148" s="27" t="str">
        <f aca="false">IF(A148="","",IF(H148="—","—",IF(C148&amp;""=H148&amp;"","✓","✗")))</f>
        <v/>
      </c>
      <c r="N148" s="27" t="str">
        <f aca="false">IF(A148="","",IF(H148="—","—",IF(D148&amp;""=I148&amp;"","✓","✗")))</f>
        <v/>
      </c>
      <c r="O148" s="27" t="str">
        <f aca="false">IF(A148="","",IF(H148="—","—",IF(ABS(E148-J148)&lt;0.01,"✓","✗")))</f>
        <v/>
      </c>
      <c r="P148" s="27" t="str">
        <f aca="false">IF(A148="","",IF(H148="—","—",IF(F148&amp;""=K148&amp;"","✓","✗")))</f>
        <v/>
      </c>
      <c r="Q148" s="27" t="str">
        <f aca="false">IF(A148="","",IF(H148="—","—",IF(G148&amp;""=L148&amp;"","✓","✗")))</f>
        <v/>
      </c>
      <c r="R148" s="27" t="str">
        <f aca="false">IF(A148="","",IF(COUNTIF(M148:Q148,"—")=5,"⚠ NO SCD ROW",IF(COUNTIF(M148:Q148,"✗")&gt;0,"❌ MISMATCH","✅ MATCH")))</f>
        <v/>
      </c>
    </row>
    <row r="149" customFormat="false" ht="15" hidden="false" customHeight="true" outlineLevel="0" collapsed="false">
      <c r="A149" s="22" t="str">
        <f aca="false">IF(Daily_Data!A148="","",Daily_Data!A148)</f>
        <v/>
      </c>
      <c r="B149" s="23" t="str">
        <f aca="false">IF(Daily_Data!B148="","",Daily_Data!B148)</f>
        <v/>
      </c>
      <c r="C149" s="23" t="str">
        <f aca="false">IF(A149="","",Daily_Data!C148)</f>
        <v/>
      </c>
      <c r="D149" s="23" t="str">
        <f aca="false">IF(A149="","",Daily_Data!D148)</f>
        <v/>
      </c>
      <c r="E149" s="24" t="str">
        <f aca="false">IF(A149="","",Daily_Data!E148)</f>
        <v/>
      </c>
      <c r="F149" s="23" t="str">
        <f aca="false">IF(A149="","",Daily_Data!F148)</f>
        <v/>
      </c>
      <c r="G149" s="23" t="str">
        <f aca="false">IF(A149="","",Daily_Data!G148)</f>
        <v/>
      </c>
      <c r="H149" s="25" t="str">
        <f aca="false">IF(A149="","",IFERROR(INDEX(SCD_Data!$C$3:$C$502,SUMPRODUCT((SCD_Data!$A$3:$A$502=B149)*(IFERROR(DATEVALUE(SCD_Data!$H$3:$H$502&amp;""),SCD_Data!$H$3:$H$502)&lt;=IFERROR(DATEVALUE(A149&amp;""),A149))*(IFERROR(DATEVALUE(SCD_Data!$I$3:$I$502&amp;""),SCD_Data!$I$3:$I$502)&gt;=IFERROR(DATEVALUE(A149&amp;""),A149))*(ROW(SCD_Data!$A$3:$A$502)-2))),"—"))</f>
        <v/>
      </c>
      <c r="I149" s="25" t="str">
        <f aca="false">IF(A149="","",IFERROR(INDEX(SCD_Data!$D$3:$D$502,SUMPRODUCT((SCD_Data!$A$3:$A$502=B149)*(IFERROR(DATEVALUE(SCD_Data!$H$3:$H$502&amp;""),SCD_Data!$H$3:$H$502)&lt;=IFERROR(DATEVALUE(A149&amp;""),A149))*(IFERROR(DATEVALUE(SCD_Data!$I$3:$I$502&amp;""),SCD_Data!$I$3:$I$502)&gt;=IFERROR(DATEVALUE(A149&amp;""),A149))*(ROW(SCD_Data!$A$3:$A$502)-2))),"—"))</f>
        <v/>
      </c>
      <c r="J149" s="26" t="str">
        <f aca="false">IF(A149="","",IFERROR(INDEX(SCD_Data!$E$3:$E$502,SUMPRODUCT((SCD_Data!$A$3:$A$502=B149)*(IFERROR(DATEVALUE(SCD_Data!$H$3:$H$502&amp;""),SCD_Data!$H$3:$H$502)&lt;=IFERROR(DATEVALUE(A149&amp;""),A149))*(IFERROR(DATEVALUE(SCD_Data!$I$3:$I$502&amp;""),SCD_Data!$I$3:$I$502)&gt;=IFERROR(DATEVALUE(A149&amp;""),A149))*(ROW(SCD_Data!$A$3:$A$502)-2))),"—"))</f>
        <v/>
      </c>
      <c r="K149" s="25" t="str">
        <f aca="false">IF(A149="","",IFERROR(INDEX(SCD_Data!$F$3:$F$502,SUMPRODUCT((SCD_Data!$A$3:$A$502=B149)*(IFERROR(DATEVALUE(SCD_Data!$H$3:$H$502&amp;""),SCD_Data!$H$3:$H$502)&lt;=IFERROR(DATEVALUE(A149&amp;""),A149))*(IFERROR(DATEVALUE(SCD_Data!$I$3:$I$502&amp;""),SCD_Data!$I$3:$I$502)&gt;=IFERROR(DATEVALUE(A149&amp;""),A149))*(ROW(SCD_Data!$A$3:$A$502)-2))),"—"))</f>
        <v/>
      </c>
      <c r="L149" s="25" t="str">
        <f aca="false">IF(A149="","",IFERROR(INDEX(SCD_Data!$G$3:$G$502,SUMPRODUCT((SCD_Data!$A$3:$A$502=B149)*(IFERROR(DATEVALUE(SCD_Data!$H$3:$H$502&amp;""),SCD_Data!$H$3:$H$502)&lt;=IFERROR(DATEVALUE(A149&amp;""),A149))*(IFERROR(DATEVALUE(SCD_Data!$I$3:$I$502&amp;""),SCD_Data!$I$3:$I$502)&gt;=IFERROR(DATEVALUE(A149&amp;""),A149))*(ROW(SCD_Data!$A$3:$A$502)-2))),"—"))</f>
        <v/>
      </c>
      <c r="M149" s="27" t="str">
        <f aca="false">IF(A149="","",IF(H149="—","—",IF(C149&amp;""=H149&amp;"","✓","✗")))</f>
        <v/>
      </c>
      <c r="N149" s="27" t="str">
        <f aca="false">IF(A149="","",IF(H149="—","—",IF(D149&amp;""=I149&amp;"","✓","✗")))</f>
        <v/>
      </c>
      <c r="O149" s="27" t="str">
        <f aca="false">IF(A149="","",IF(H149="—","—",IF(ABS(E149-J149)&lt;0.01,"✓","✗")))</f>
        <v/>
      </c>
      <c r="P149" s="27" t="str">
        <f aca="false">IF(A149="","",IF(H149="—","—",IF(F149&amp;""=K149&amp;"","✓","✗")))</f>
        <v/>
      </c>
      <c r="Q149" s="27" t="str">
        <f aca="false">IF(A149="","",IF(H149="—","—",IF(G149&amp;""=L149&amp;"","✓","✗")))</f>
        <v/>
      </c>
      <c r="R149" s="27" t="str">
        <f aca="false">IF(A149="","",IF(COUNTIF(M149:Q149,"—")=5,"⚠ NO SCD ROW",IF(COUNTIF(M149:Q149,"✗")&gt;0,"❌ MISMATCH","✅ MATCH")))</f>
        <v/>
      </c>
    </row>
    <row r="150" customFormat="false" ht="15" hidden="false" customHeight="true" outlineLevel="0" collapsed="false">
      <c r="A150" s="22" t="str">
        <f aca="false">IF(Daily_Data!A149="","",Daily_Data!A149)</f>
        <v/>
      </c>
      <c r="B150" s="23" t="str">
        <f aca="false">IF(Daily_Data!B149="","",Daily_Data!B149)</f>
        <v/>
      </c>
      <c r="C150" s="23" t="str">
        <f aca="false">IF(A150="","",Daily_Data!C149)</f>
        <v/>
      </c>
      <c r="D150" s="23" t="str">
        <f aca="false">IF(A150="","",Daily_Data!D149)</f>
        <v/>
      </c>
      <c r="E150" s="24" t="str">
        <f aca="false">IF(A150="","",Daily_Data!E149)</f>
        <v/>
      </c>
      <c r="F150" s="23" t="str">
        <f aca="false">IF(A150="","",Daily_Data!F149)</f>
        <v/>
      </c>
      <c r="G150" s="23" t="str">
        <f aca="false">IF(A150="","",Daily_Data!G149)</f>
        <v/>
      </c>
      <c r="H150" s="25" t="str">
        <f aca="false">IF(A150="","",IFERROR(INDEX(SCD_Data!$C$3:$C$502,SUMPRODUCT((SCD_Data!$A$3:$A$502=B150)*(IFERROR(DATEVALUE(SCD_Data!$H$3:$H$502&amp;""),SCD_Data!$H$3:$H$502)&lt;=IFERROR(DATEVALUE(A150&amp;""),A150))*(IFERROR(DATEVALUE(SCD_Data!$I$3:$I$502&amp;""),SCD_Data!$I$3:$I$502)&gt;=IFERROR(DATEVALUE(A150&amp;""),A150))*(ROW(SCD_Data!$A$3:$A$502)-2))),"—"))</f>
        <v/>
      </c>
      <c r="I150" s="25" t="str">
        <f aca="false">IF(A150="","",IFERROR(INDEX(SCD_Data!$D$3:$D$502,SUMPRODUCT((SCD_Data!$A$3:$A$502=B150)*(IFERROR(DATEVALUE(SCD_Data!$H$3:$H$502&amp;""),SCD_Data!$H$3:$H$502)&lt;=IFERROR(DATEVALUE(A150&amp;""),A150))*(IFERROR(DATEVALUE(SCD_Data!$I$3:$I$502&amp;""),SCD_Data!$I$3:$I$502)&gt;=IFERROR(DATEVALUE(A150&amp;""),A150))*(ROW(SCD_Data!$A$3:$A$502)-2))),"—"))</f>
        <v/>
      </c>
      <c r="J150" s="26" t="str">
        <f aca="false">IF(A150="","",IFERROR(INDEX(SCD_Data!$E$3:$E$502,SUMPRODUCT((SCD_Data!$A$3:$A$502=B150)*(IFERROR(DATEVALUE(SCD_Data!$H$3:$H$502&amp;""),SCD_Data!$H$3:$H$502)&lt;=IFERROR(DATEVALUE(A150&amp;""),A150))*(IFERROR(DATEVALUE(SCD_Data!$I$3:$I$502&amp;""),SCD_Data!$I$3:$I$502)&gt;=IFERROR(DATEVALUE(A150&amp;""),A150))*(ROW(SCD_Data!$A$3:$A$502)-2))),"—"))</f>
        <v/>
      </c>
      <c r="K150" s="25" t="str">
        <f aca="false">IF(A150="","",IFERROR(INDEX(SCD_Data!$F$3:$F$502,SUMPRODUCT((SCD_Data!$A$3:$A$502=B150)*(IFERROR(DATEVALUE(SCD_Data!$H$3:$H$502&amp;""),SCD_Data!$H$3:$H$502)&lt;=IFERROR(DATEVALUE(A150&amp;""),A150))*(IFERROR(DATEVALUE(SCD_Data!$I$3:$I$502&amp;""),SCD_Data!$I$3:$I$502)&gt;=IFERROR(DATEVALUE(A150&amp;""),A150))*(ROW(SCD_Data!$A$3:$A$502)-2))),"—"))</f>
        <v/>
      </c>
      <c r="L150" s="25" t="str">
        <f aca="false">IF(A150="","",IFERROR(INDEX(SCD_Data!$G$3:$G$502,SUMPRODUCT((SCD_Data!$A$3:$A$502=B150)*(IFERROR(DATEVALUE(SCD_Data!$H$3:$H$502&amp;""),SCD_Data!$H$3:$H$502)&lt;=IFERROR(DATEVALUE(A150&amp;""),A150))*(IFERROR(DATEVALUE(SCD_Data!$I$3:$I$502&amp;""),SCD_Data!$I$3:$I$502)&gt;=IFERROR(DATEVALUE(A150&amp;""),A150))*(ROW(SCD_Data!$A$3:$A$502)-2))),"—"))</f>
        <v/>
      </c>
      <c r="M150" s="27" t="str">
        <f aca="false">IF(A150="","",IF(H150="—","—",IF(C150&amp;""=H150&amp;"","✓","✗")))</f>
        <v/>
      </c>
      <c r="N150" s="27" t="str">
        <f aca="false">IF(A150="","",IF(H150="—","—",IF(D150&amp;""=I150&amp;"","✓","✗")))</f>
        <v/>
      </c>
      <c r="O150" s="27" t="str">
        <f aca="false">IF(A150="","",IF(H150="—","—",IF(ABS(E150-J150)&lt;0.01,"✓","✗")))</f>
        <v/>
      </c>
      <c r="P150" s="27" t="str">
        <f aca="false">IF(A150="","",IF(H150="—","—",IF(F150&amp;""=K150&amp;"","✓","✗")))</f>
        <v/>
      </c>
      <c r="Q150" s="27" t="str">
        <f aca="false">IF(A150="","",IF(H150="—","—",IF(G150&amp;""=L150&amp;"","✓","✗")))</f>
        <v/>
      </c>
      <c r="R150" s="27" t="str">
        <f aca="false">IF(A150="","",IF(COUNTIF(M150:Q150,"—")=5,"⚠ NO SCD ROW",IF(COUNTIF(M150:Q150,"✗")&gt;0,"❌ MISMATCH","✅ MATCH")))</f>
        <v/>
      </c>
    </row>
    <row r="151" customFormat="false" ht="15" hidden="false" customHeight="true" outlineLevel="0" collapsed="false">
      <c r="A151" s="22" t="str">
        <f aca="false">IF(Daily_Data!A150="","",Daily_Data!A150)</f>
        <v/>
      </c>
      <c r="B151" s="23" t="str">
        <f aca="false">IF(Daily_Data!B150="","",Daily_Data!B150)</f>
        <v/>
      </c>
      <c r="C151" s="23" t="str">
        <f aca="false">IF(A151="","",Daily_Data!C150)</f>
        <v/>
      </c>
      <c r="D151" s="23" t="str">
        <f aca="false">IF(A151="","",Daily_Data!D150)</f>
        <v/>
      </c>
      <c r="E151" s="24" t="str">
        <f aca="false">IF(A151="","",Daily_Data!E150)</f>
        <v/>
      </c>
      <c r="F151" s="23" t="str">
        <f aca="false">IF(A151="","",Daily_Data!F150)</f>
        <v/>
      </c>
      <c r="G151" s="23" t="str">
        <f aca="false">IF(A151="","",Daily_Data!G150)</f>
        <v/>
      </c>
      <c r="H151" s="25" t="str">
        <f aca="false">IF(A151="","",IFERROR(INDEX(SCD_Data!$C$3:$C$502,SUMPRODUCT((SCD_Data!$A$3:$A$502=B151)*(IFERROR(DATEVALUE(SCD_Data!$H$3:$H$502&amp;""),SCD_Data!$H$3:$H$502)&lt;=IFERROR(DATEVALUE(A151&amp;""),A151))*(IFERROR(DATEVALUE(SCD_Data!$I$3:$I$502&amp;""),SCD_Data!$I$3:$I$502)&gt;=IFERROR(DATEVALUE(A151&amp;""),A151))*(ROW(SCD_Data!$A$3:$A$502)-2))),"—"))</f>
        <v/>
      </c>
      <c r="I151" s="25" t="str">
        <f aca="false">IF(A151="","",IFERROR(INDEX(SCD_Data!$D$3:$D$502,SUMPRODUCT((SCD_Data!$A$3:$A$502=B151)*(IFERROR(DATEVALUE(SCD_Data!$H$3:$H$502&amp;""),SCD_Data!$H$3:$H$502)&lt;=IFERROR(DATEVALUE(A151&amp;""),A151))*(IFERROR(DATEVALUE(SCD_Data!$I$3:$I$502&amp;""),SCD_Data!$I$3:$I$502)&gt;=IFERROR(DATEVALUE(A151&amp;""),A151))*(ROW(SCD_Data!$A$3:$A$502)-2))),"—"))</f>
        <v/>
      </c>
      <c r="J151" s="26" t="str">
        <f aca="false">IF(A151="","",IFERROR(INDEX(SCD_Data!$E$3:$E$502,SUMPRODUCT((SCD_Data!$A$3:$A$502=B151)*(IFERROR(DATEVALUE(SCD_Data!$H$3:$H$502&amp;""),SCD_Data!$H$3:$H$502)&lt;=IFERROR(DATEVALUE(A151&amp;""),A151))*(IFERROR(DATEVALUE(SCD_Data!$I$3:$I$502&amp;""),SCD_Data!$I$3:$I$502)&gt;=IFERROR(DATEVALUE(A151&amp;""),A151))*(ROW(SCD_Data!$A$3:$A$502)-2))),"—"))</f>
        <v/>
      </c>
      <c r="K151" s="25" t="str">
        <f aca="false">IF(A151="","",IFERROR(INDEX(SCD_Data!$F$3:$F$502,SUMPRODUCT((SCD_Data!$A$3:$A$502=B151)*(IFERROR(DATEVALUE(SCD_Data!$H$3:$H$502&amp;""),SCD_Data!$H$3:$H$502)&lt;=IFERROR(DATEVALUE(A151&amp;""),A151))*(IFERROR(DATEVALUE(SCD_Data!$I$3:$I$502&amp;""),SCD_Data!$I$3:$I$502)&gt;=IFERROR(DATEVALUE(A151&amp;""),A151))*(ROW(SCD_Data!$A$3:$A$502)-2))),"—"))</f>
        <v/>
      </c>
      <c r="L151" s="25" t="str">
        <f aca="false">IF(A151="","",IFERROR(INDEX(SCD_Data!$G$3:$G$502,SUMPRODUCT((SCD_Data!$A$3:$A$502=B151)*(IFERROR(DATEVALUE(SCD_Data!$H$3:$H$502&amp;""),SCD_Data!$H$3:$H$502)&lt;=IFERROR(DATEVALUE(A151&amp;""),A151))*(IFERROR(DATEVALUE(SCD_Data!$I$3:$I$502&amp;""),SCD_Data!$I$3:$I$502)&gt;=IFERROR(DATEVALUE(A151&amp;""),A151))*(ROW(SCD_Data!$A$3:$A$502)-2))),"—"))</f>
        <v/>
      </c>
      <c r="M151" s="27" t="str">
        <f aca="false">IF(A151="","",IF(H151="—","—",IF(C151&amp;""=H151&amp;"","✓","✗")))</f>
        <v/>
      </c>
      <c r="N151" s="27" t="str">
        <f aca="false">IF(A151="","",IF(H151="—","—",IF(D151&amp;""=I151&amp;"","✓","✗")))</f>
        <v/>
      </c>
      <c r="O151" s="27" t="str">
        <f aca="false">IF(A151="","",IF(H151="—","—",IF(ABS(E151-J151)&lt;0.01,"✓","✗")))</f>
        <v/>
      </c>
      <c r="P151" s="27" t="str">
        <f aca="false">IF(A151="","",IF(H151="—","—",IF(F151&amp;""=K151&amp;"","✓","✗")))</f>
        <v/>
      </c>
      <c r="Q151" s="27" t="str">
        <f aca="false">IF(A151="","",IF(H151="—","—",IF(G151&amp;""=L151&amp;"","✓","✗")))</f>
        <v/>
      </c>
      <c r="R151" s="27" t="str">
        <f aca="false">IF(A151="","",IF(COUNTIF(M151:Q151,"—")=5,"⚠ NO SCD ROW",IF(COUNTIF(M151:Q151,"✗")&gt;0,"❌ MISMATCH","✅ MATCH")))</f>
        <v/>
      </c>
    </row>
    <row r="152" customFormat="false" ht="15" hidden="false" customHeight="true" outlineLevel="0" collapsed="false">
      <c r="A152" s="22" t="str">
        <f aca="false">IF(Daily_Data!A151="","",Daily_Data!A151)</f>
        <v/>
      </c>
      <c r="B152" s="23" t="str">
        <f aca="false">IF(Daily_Data!B151="","",Daily_Data!B151)</f>
        <v/>
      </c>
      <c r="C152" s="23" t="str">
        <f aca="false">IF(A152="","",Daily_Data!C151)</f>
        <v/>
      </c>
      <c r="D152" s="23" t="str">
        <f aca="false">IF(A152="","",Daily_Data!D151)</f>
        <v/>
      </c>
      <c r="E152" s="24" t="str">
        <f aca="false">IF(A152="","",Daily_Data!E151)</f>
        <v/>
      </c>
      <c r="F152" s="23" t="str">
        <f aca="false">IF(A152="","",Daily_Data!F151)</f>
        <v/>
      </c>
      <c r="G152" s="23" t="str">
        <f aca="false">IF(A152="","",Daily_Data!G151)</f>
        <v/>
      </c>
      <c r="H152" s="25" t="str">
        <f aca="false">IF(A152="","",IFERROR(INDEX(SCD_Data!$C$3:$C$502,SUMPRODUCT((SCD_Data!$A$3:$A$502=B152)*(IFERROR(DATEVALUE(SCD_Data!$H$3:$H$502&amp;""),SCD_Data!$H$3:$H$502)&lt;=IFERROR(DATEVALUE(A152&amp;""),A152))*(IFERROR(DATEVALUE(SCD_Data!$I$3:$I$502&amp;""),SCD_Data!$I$3:$I$502)&gt;=IFERROR(DATEVALUE(A152&amp;""),A152))*(ROW(SCD_Data!$A$3:$A$502)-2))),"—"))</f>
        <v/>
      </c>
      <c r="I152" s="25" t="str">
        <f aca="false">IF(A152="","",IFERROR(INDEX(SCD_Data!$D$3:$D$502,SUMPRODUCT((SCD_Data!$A$3:$A$502=B152)*(IFERROR(DATEVALUE(SCD_Data!$H$3:$H$502&amp;""),SCD_Data!$H$3:$H$502)&lt;=IFERROR(DATEVALUE(A152&amp;""),A152))*(IFERROR(DATEVALUE(SCD_Data!$I$3:$I$502&amp;""),SCD_Data!$I$3:$I$502)&gt;=IFERROR(DATEVALUE(A152&amp;""),A152))*(ROW(SCD_Data!$A$3:$A$502)-2))),"—"))</f>
        <v/>
      </c>
      <c r="J152" s="26" t="str">
        <f aca="false">IF(A152="","",IFERROR(INDEX(SCD_Data!$E$3:$E$502,SUMPRODUCT((SCD_Data!$A$3:$A$502=B152)*(IFERROR(DATEVALUE(SCD_Data!$H$3:$H$502&amp;""),SCD_Data!$H$3:$H$502)&lt;=IFERROR(DATEVALUE(A152&amp;""),A152))*(IFERROR(DATEVALUE(SCD_Data!$I$3:$I$502&amp;""),SCD_Data!$I$3:$I$502)&gt;=IFERROR(DATEVALUE(A152&amp;""),A152))*(ROW(SCD_Data!$A$3:$A$502)-2))),"—"))</f>
        <v/>
      </c>
      <c r="K152" s="25" t="str">
        <f aca="false">IF(A152="","",IFERROR(INDEX(SCD_Data!$F$3:$F$502,SUMPRODUCT((SCD_Data!$A$3:$A$502=B152)*(IFERROR(DATEVALUE(SCD_Data!$H$3:$H$502&amp;""),SCD_Data!$H$3:$H$502)&lt;=IFERROR(DATEVALUE(A152&amp;""),A152))*(IFERROR(DATEVALUE(SCD_Data!$I$3:$I$502&amp;""),SCD_Data!$I$3:$I$502)&gt;=IFERROR(DATEVALUE(A152&amp;""),A152))*(ROW(SCD_Data!$A$3:$A$502)-2))),"—"))</f>
        <v/>
      </c>
      <c r="L152" s="25" t="str">
        <f aca="false">IF(A152="","",IFERROR(INDEX(SCD_Data!$G$3:$G$502,SUMPRODUCT((SCD_Data!$A$3:$A$502=B152)*(IFERROR(DATEVALUE(SCD_Data!$H$3:$H$502&amp;""),SCD_Data!$H$3:$H$502)&lt;=IFERROR(DATEVALUE(A152&amp;""),A152))*(IFERROR(DATEVALUE(SCD_Data!$I$3:$I$502&amp;""),SCD_Data!$I$3:$I$502)&gt;=IFERROR(DATEVALUE(A152&amp;""),A152))*(ROW(SCD_Data!$A$3:$A$502)-2))),"—"))</f>
        <v/>
      </c>
      <c r="M152" s="27" t="str">
        <f aca="false">IF(A152="","",IF(H152="—","—",IF(C152&amp;""=H152&amp;"","✓","✗")))</f>
        <v/>
      </c>
      <c r="N152" s="27" t="str">
        <f aca="false">IF(A152="","",IF(H152="—","—",IF(D152&amp;""=I152&amp;"","✓","✗")))</f>
        <v/>
      </c>
      <c r="O152" s="27" t="str">
        <f aca="false">IF(A152="","",IF(H152="—","—",IF(ABS(E152-J152)&lt;0.01,"✓","✗")))</f>
        <v/>
      </c>
      <c r="P152" s="27" t="str">
        <f aca="false">IF(A152="","",IF(H152="—","—",IF(F152&amp;""=K152&amp;"","✓","✗")))</f>
        <v/>
      </c>
      <c r="Q152" s="27" t="str">
        <f aca="false">IF(A152="","",IF(H152="—","—",IF(G152&amp;""=L152&amp;"","✓","✗")))</f>
        <v/>
      </c>
      <c r="R152" s="27" t="str">
        <f aca="false">IF(A152="","",IF(COUNTIF(M152:Q152,"—")=5,"⚠ NO SCD ROW",IF(COUNTIF(M152:Q152,"✗")&gt;0,"❌ MISMATCH","✅ MATCH")))</f>
        <v/>
      </c>
    </row>
    <row r="153" customFormat="false" ht="15" hidden="false" customHeight="true" outlineLevel="0" collapsed="false">
      <c r="A153" s="22" t="str">
        <f aca="false">IF(Daily_Data!A152="","",Daily_Data!A152)</f>
        <v/>
      </c>
      <c r="B153" s="23" t="str">
        <f aca="false">IF(Daily_Data!B152="","",Daily_Data!B152)</f>
        <v/>
      </c>
      <c r="C153" s="23" t="str">
        <f aca="false">IF(A153="","",Daily_Data!C152)</f>
        <v/>
      </c>
      <c r="D153" s="23" t="str">
        <f aca="false">IF(A153="","",Daily_Data!D152)</f>
        <v/>
      </c>
      <c r="E153" s="24" t="str">
        <f aca="false">IF(A153="","",Daily_Data!E152)</f>
        <v/>
      </c>
      <c r="F153" s="23" t="str">
        <f aca="false">IF(A153="","",Daily_Data!F152)</f>
        <v/>
      </c>
      <c r="G153" s="23" t="str">
        <f aca="false">IF(A153="","",Daily_Data!G152)</f>
        <v/>
      </c>
      <c r="H153" s="25" t="str">
        <f aca="false">IF(A153="","",IFERROR(INDEX(SCD_Data!$C$3:$C$502,SUMPRODUCT((SCD_Data!$A$3:$A$502=B153)*(IFERROR(DATEVALUE(SCD_Data!$H$3:$H$502&amp;""),SCD_Data!$H$3:$H$502)&lt;=IFERROR(DATEVALUE(A153&amp;""),A153))*(IFERROR(DATEVALUE(SCD_Data!$I$3:$I$502&amp;""),SCD_Data!$I$3:$I$502)&gt;=IFERROR(DATEVALUE(A153&amp;""),A153))*(ROW(SCD_Data!$A$3:$A$502)-2))),"—"))</f>
        <v/>
      </c>
      <c r="I153" s="25" t="str">
        <f aca="false">IF(A153="","",IFERROR(INDEX(SCD_Data!$D$3:$D$502,SUMPRODUCT((SCD_Data!$A$3:$A$502=B153)*(IFERROR(DATEVALUE(SCD_Data!$H$3:$H$502&amp;""),SCD_Data!$H$3:$H$502)&lt;=IFERROR(DATEVALUE(A153&amp;""),A153))*(IFERROR(DATEVALUE(SCD_Data!$I$3:$I$502&amp;""),SCD_Data!$I$3:$I$502)&gt;=IFERROR(DATEVALUE(A153&amp;""),A153))*(ROW(SCD_Data!$A$3:$A$502)-2))),"—"))</f>
        <v/>
      </c>
      <c r="J153" s="26" t="str">
        <f aca="false">IF(A153="","",IFERROR(INDEX(SCD_Data!$E$3:$E$502,SUMPRODUCT((SCD_Data!$A$3:$A$502=B153)*(IFERROR(DATEVALUE(SCD_Data!$H$3:$H$502&amp;""),SCD_Data!$H$3:$H$502)&lt;=IFERROR(DATEVALUE(A153&amp;""),A153))*(IFERROR(DATEVALUE(SCD_Data!$I$3:$I$502&amp;""),SCD_Data!$I$3:$I$502)&gt;=IFERROR(DATEVALUE(A153&amp;""),A153))*(ROW(SCD_Data!$A$3:$A$502)-2))),"—"))</f>
        <v/>
      </c>
      <c r="K153" s="25" t="str">
        <f aca="false">IF(A153="","",IFERROR(INDEX(SCD_Data!$F$3:$F$502,SUMPRODUCT((SCD_Data!$A$3:$A$502=B153)*(IFERROR(DATEVALUE(SCD_Data!$H$3:$H$502&amp;""),SCD_Data!$H$3:$H$502)&lt;=IFERROR(DATEVALUE(A153&amp;""),A153))*(IFERROR(DATEVALUE(SCD_Data!$I$3:$I$502&amp;""),SCD_Data!$I$3:$I$502)&gt;=IFERROR(DATEVALUE(A153&amp;""),A153))*(ROW(SCD_Data!$A$3:$A$502)-2))),"—"))</f>
        <v/>
      </c>
      <c r="L153" s="25" t="str">
        <f aca="false">IF(A153="","",IFERROR(INDEX(SCD_Data!$G$3:$G$502,SUMPRODUCT((SCD_Data!$A$3:$A$502=B153)*(IFERROR(DATEVALUE(SCD_Data!$H$3:$H$502&amp;""),SCD_Data!$H$3:$H$502)&lt;=IFERROR(DATEVALUE(A153&amp;""),A153))*(IFERROR(DATEVALUE(SCD_Data!$I$3:$I$502&amp;""),SCD_Data!$I$3:$I$502)&gt;=IFERROR(DATEVALUE(A153&amp;""),A153))*(ROW(SCD_Data!$A$3:$A$502)-2))),"—"))</f>
        <v/>
      </c>
      <c r="M153" s="27" t="str">
        <f aca="false">IF(A153="","",IF(H153="—","—",IF(C153&amp;""=H153&amp;"","✓","✗")))</f>
        <v/>
      </c>
      <c r="N153" s="27" t="str">
        <f aca="false">IF(A153="","",IF(H153="—","—",IF(D153&amp;""=I153&amp;"","✓","✗")))</f>
        <v/>
      </c>
      <c r="O153" s="27" t="str">
        <f aca="false">IF(A153="","",IF(H153="—","—",IF(ABS(E153-J153)&lt;0.01,"✓","✗")))</f>
        <v/>
      </c>
      <c r="P153" s="27" t="str">
        <f aca="false">IF(A153="","",IF(H153="—","—",IF(F153&amp;""=K153&amp;"","✓","✗")))</f>
        <v/>
      </c>
      <c r="Q153" s="27" t="str">
        <f aca="false">IF(A153="","",IF(H153="—","—",IF(G153&amp;""=L153&amp;"","✓","✗")))</f>
        <v/>
      </c>
      <c r="R153" s="27" t="str">
        <f aca="false">IF(A153="","",IF(COUNTIF(M153:Q153,"—")=5,"⚠ NO SCD ROW",IF(COUNTIF(M153:Q153,"✗")&gt;0,"❌ MISMATCH","✅ MATCH")))</f>
        <v/>
      </c>
    </row>
    <row r="154" customFormat="false" ht="15" hidden="false" customHeight="true" outlineLevel="0" collapsed="false">
      <c r="A154" s="22" t="str">
        <f aca="false">IF(Daily_Data!A153="","",Daily_Data!A153)</f>
        <v/>
      </c>
      <c r="B154" s="23" t="str">
        <f aca="false">IF(Daily_Data!B153="","",Daily_Data!B153)</f>
        <v/>
      </c>
      <c r="C154" s="23" t="str">
        <f aca="false">IF(A154="","",Daily_Data!C153)</f>
        <v/>
      </c>
      <c r="D154" s="23" t="str">
        <f aca="false">IF(A154="","",Daily_Data!D153)</f>
        <v/>
      </c>
      <c r="E154" s="24" t="str">
        <f aca="false">IF(A154="","",Daily_Data!E153)</f>
        <v/>
      </c>
      <c r="F154" s="23" t="str">
        <f aca="false">IF(A154="","",Daily_Data!F153)</f>
        <v/>
      </c>
      <c r="G154" s="23" t="str">
        <f aca="false">IF(A154="","",Daily_Data!G153)</f>
        <v/>
      </c>
      <c r="H154" s="25" t="str">
        <f aca="false">IF(A154="","",IFERROR(INDEX(SCD_Data!$C$3:$C$502,SUMPRODUCT((SCD_Data!$A$3:$A$502=B154)*(IFERROR(DATEVALUE(SCD_Data!$H$3:$H$502&amp;""),SCD_Data!$H$3:$H$502)&lt;=IFERROR(DATEVALUE(A154&amp;""),A154))*(IFERROR(DATEVALUE(SCD_Data!$I$3:$I$502&amp;""),SCD_Data!$I$3:$I$502)&gt;=IFERROR(DATEVALUE(A154&amp;""),A154))*(ROW(SCD_Data!$A$3:$A$502)-2))),"—"))</f>
        <v/>
      </c>
      <c r="I154" s="25" t="str">
        <f aca="false">IF(A154="","",IFERROR(INDEX(SCD_Data!$D$3:$D$502,SUMPRODUCT((SCD_Data!$A$3:$A$502=B154)*(IFERROR(DATEVALUE(SCD_Data!$H$3:$H$502&amp;""),SCD_Data!$H$3:$H$502)&lt;=IFERROR(DATEVALUE(A154&amp;""),A154))*(IFERROR(DATEVALUE(SCD_Data!$I$3:$I$502&amp;""),SCD_Data!$I$3:$I$502)&gt;=IFERROR(DATEVALUE(A154&amp;""),A154))*(ROW(SCD_Data!$A$3:$A$502)-2))),"—"))</f>
        <v/>
      </c>
      <c r="J154" s="26" t="str">
        <f aca="false">IF(A154="","",IFERROR(INDEX(SCD_Data!$E$3:$E$502,SUMPRODUCT((SCD_Data!$A$3:$A$502=B154)*(IFERROR(DATEVALUE(SCD_Data!$H$3:$H$502&amp;""),SCD_Data!$H$3:$H$502)&lt;=IFERROR(DATEVALUE(A154&amp;""),A154))*(IFERROR(DATEVALUE(SCD_Data!$I$3:$I$502&amp;""),SCD_Data!$I$3:$I$502)&gt;=IFERROR(DATEVALUE(A154&amp;""),A154))*(ROW(SCD_Data!$A$3:$A$502)-2))),"—"))</f>
        <v/>
      </c>
      <c r="K154" s="25" t="str">
        <f aca="false">IF(A154="","",IFERROR(INDEX(SCD_Data!$F$3:$F$502,SUMPRODUCT((SCD_Data!$A$3:$A$502=B154)*(IFERROR(DATEVALUE(SCD_Data!$H$3:$H$502&amp;""),SCD_Data!$H$3:$H$502)&lt;=IFERROR(DATEVALUE(A154&amp;""),A154))*(IFERROR(DATEVALUE(SCD_Data!$I$3:$I$502&amp;""),SCD_Data!$I$3:$I$502)&gt;=IFERROR(DATEVALUE(A154&amp;""),A154))*(ROW(SCD_Data!$A$3:$A$502)-2))),"—"))</f>
        <v/>
      </c>
      <c r="L154" s="25" t="str">
        <f aca="false">IF(A154="","",IFERROR(INDEX(SCD_Data!$G$3:$G$502,SUMPRODUCT((SCD_Data!$A$3:$A$502=B154)*(IFERROR(DATEVALUE(SCD_Data!$H$3:$H$502&amp;""),SCD_Data!$H$3:$H$502)&lt;=IFERROR(DATEVALUE(A154&amp;""),A154))*(IFERROR(DATEVALUE(SCD_Data!$I$3:$I$502&amp;""),SCD_Data!$I$3:$I$502)&gt;=IFERROR(DATEVALUE(A154&amp;""),A154))*(ROW(SCD_Data!$A$3:$A$502)-2))),"—"))</f>
        <v/>
      </c>
      <c r="M154" s="27" t="str">
        <f aca="false">IF(A154="","",IF(H154="—","—",IF(C154&amp;""=H154&amp;"","✓","✗")))</f>
        <v/>
      </c>
      <c r="N154" s="27" t="str">
        <f aca="false">IF(A154="","",IF(H154="—","—",IF(D154&amp;""=I154&amp;"","✓","✗")))</f>
        <v/>
      </c>
      <c r="O154" s="27" t="str">
        <f aca="false">IF(A154="","",IF(H154="—","—",IF(ABS(E154-J154)&lt;0.01,"✓","✗")))</f>
        <v/>
      </c>
      <c r="P154" s="27" t="str">
        <f aca="false">IF(A154="","",IF(H154="—","—",IF(F154&amp;""=K154&amp;"","✓","✗")))</f>
        <v/>
      </c>
      <c r="Q154" s="27" t="str">
        <f aca="false">IF(A154="","",IF(H154="—","—",IF(G154&amp;""=L154&amp;"","✓","✗")))</f>
        <v/>
      </c>
      <c r="R154" s="27" t="str">
        <f aca="false">IF(A154="","",IF(COUNTIF(M154:Q154,"—")=5,"⚠ NO SCD ROW",IF(COUNTIF(M154:Q154,"✗")&gt;0,"❌ MISMATCH","✅ MATCH")))</f>
        <v/>
      </c>
    </row>
    <row r="155" customFormat="false" ht="15" hidden="false" customHeight="true" outlineLevel="0" collapsed="false">
      <c r="A155" s="22" t="str">
        <f aca="false">IF(Daily_Data!A154="","",Daily_Data!A154)</f>
        <v/>
      </c>
      <c r="B155" s="23" t="str">
        <f aca="false">IF(Daily_Data!B154="","",Daily_Data!B154)</f>
        <v/>
      </c>
      <c r="C155" s="23" t="str">
        <f aca="false">IF(A155="","",Daily_Data!C154)</f>
        <v/>
      </c>
      <c r="D155" s="23" t="str">
        <f aca="false">IF(A155="","",Daily_Data!D154)</f>
        <v/>
      </c>
      <c r="E155" s="24" t="str">
        <f aca="false">IF(A155="","",Daily_Data!E154)</f>
        <v/>
      </c>
      <c r="F155" s="23" t="str">
        <f aca="false">IF(A155="","",Daily_Data!F154)</f>
        <v/>
      </c>
      <c r="G155" s="23" t="str">
        <f aca="false">IF(A155="","",Daily_Data!G154)</f>
        <v/>
      </c>
      <c r="H155" s="25" t="str">
        <f aca="false">IF(A155="","",IFERROR(INDEX(SCD_Data!$C$3:$C$502,SUMPRODUCT((SCD_Data!$A$3:$A$502=B155)*(IFERROR(DATEVALUE(SCD_Data!$H$3:$H$502&amp;""),SCD_Data!$H$3:$H$502)&lt;=IFERROR(DATEVALUE(A155&amp;""),A155))*(IFERROR(DATEVALUE(SCD_Data!$I$3:$I$502&amp;""),SCD_Data!$I$3:$I$502)&gt;=IFERROR(DATEVALUE(A155&amp;""),A155))*(ROW(SCD_Data!$A$3:$A$502)-2))),"—"))</f>
        <v/>
      </c>
      <c r="I155" s="25" t="str">
        <f aca="false">IF(A155="","",IFERROR(INDEX(SCD_Data!$D$3:$D$502,SUMPRODUCT((SCD_Data!$A$3:$A$502=B155)*(IFERROR(DATEVALUE(SCD_Data!$H$3:$H$502&amp;""),SCD_Data!$H$3:$H$502)&lt;=IFERROR(DATEVALUE(A155&amp;""),A155))*(IFERROR(DATEVALUE(SCD_Data!$I$3:$I$502&amp;""),SCD_Data!$I$3:$I$502)&gt;=IFERROR(DATEVALUE(A155&amp;""),A155))*(ROW(SCD_Data!$A$3:$A$502)-2))),"—"))</f>
        <v/>
      </c>
      <c r="J155" s="26" t="str">
        <f aca="false">IF(A155="","",IFERROR(INDEX(SCD_Data!$E$3:$E$502,SUMPRODUCT((SCD_Data!$A$3:$A$502=B155)*(IFERROR(DATEVALUE(SCD_Data!$H$3:$H$502&amp;""),SCD_Data!$H$3:$H$502)&lt;=IFERROR(DATEVALUE(A155&amp;""),A155))*(IFERROR(DATEVALUE(SCD_Data!$I$3:$I$502&amp;""),SCD_Data!$I$3:$I$502)&gt;=IFERROR(DATEVALUE(A155&amp;""),A155))*(ROW(SCD_Data!$A$3:$A$502)-2))),"—"))</f>
        <v/>
      </c>
      <c r="K155" s="25" t="str">
        <f aca="false">IF(A155="","",IFERROR(INDEX(SCD_Data!$F$3:$F$502,SUMPRODUCT((SCD_Data!$A$3:$A$502=B155)*(IFERROR(DATEVALUE(SCD_Data!$H$3:$H$502&amp;""),SCD_Data!$H$3:$H$502)&lt;=IFERROR(DATEVALUE(A155&amp;""),A155))*(IFERROR(DATEVALUE(SCD_Data!$I$3:$I$502&amp;""),SCD_Data!$I$3:$I$502)&gt;=IFERROR(DATEVALUE(A155&amp;""),A155))*(ROW(SCD_Data!$A$3:$A$502)-2))),"—"))</f>
        <v/>
      </c>
      <c r="L155" s="25" t="str">
        <f aca="false">IF(A155="","",IFERROR(INDEX(SCD_Data!$G$3:$G$502,SUMPRODUCT((SCD_Data!$A$3:$A$502=B155)*(IFERROR(DATEVALUE(SCD_Data!$H$3:$H$502&amp;""),SCD_Data!$H$3:$H$502)&lt;=IFERROR(DATEVALUE(A155&amp;""),A155))*(IFERROR(DATEVALUE(SCD_Data!$I$3:$I$502&amp;""),SCD_Data!$I$3:$I$502)&gt;=IFERROR(DATEVALUE(A155&amp;""),A155))*(ROW(SCD_Data!$A$3:$A$502)-2))),"—"))</f>
        <v/>
      </c>
      <c r="M155" s="27" t="str">
        <f aca="false">IF(A155="","",IF(H155="—","—",IF(C155&amp;""=H155&amp;"","✓","✗")))</f>
        <v/>
      </c>
      <c r="N155" s="27" t="str">
        <f aca="false">IF(A155="","",IF(H155="—","—",IF(D155&amp;""=I155&amp;"","✓","✗")))</f>
        <v/>
      </c>
      <c r="O155" s="27" t="str">
        <f aca="false">IF(A155="","",IF(H155="—","—",IF(ABS(E155-J155)&lt;0.01,"✓","✗")))</f>
        <v/>
      </c>
      <c r="P155" s="27" t="str">
        <f aca="false">IF(A155="","",IF(H155="—","—",IF(F155&amp;""=K155&amp;"","✓","✗")))</f>
        <v/>
      </c>
      <c r="Q155" s="27" t="str">
        <f aca="false">IF(A155="","",IF(H155="—","—",IF(G155&amp;""=L155&amp;"","✓","✗")))</f>
        <v/>
      </c>
      <c r="R155" s="27" t="str">
        <f aca="false">IF(A155="","",IF(COUNTIF(M155:Q155,"—")=5,"⚠ NO SCD ROW",IF(COUNTIF(M155:Q155,"✗")&gt;0,"❌ MISMATCH","✅ MATCH")))</f>
        <v/>
      </c>
    </row>
    <row r="156" customFormat="false" ht="15" hidden="false" customHeight="true" outlineLevel="0" collapsed="false">
      <c r="A156" s="22" t="str">
        <f aca="false">IF(Daily_Data!A155="","",Daily_Data!A155)</f>
        <v/>
      </c>
      <c r="B156" s="23" t="str">
        <f aca="false">IF(Daily_Data!B155="","",Daily_Data!B155)</f>
        <v/>
      </c>
      <c r="C156" s="23" t="str">
        <f aca="false">IF(A156="","",Daily_Data!C155)</f>
        <v/>
      </c>
      <c r="D156" s="23" t="str">
        <f aca="false">IF(A156="","",Daily_Data!D155)</f>
        <v/>
      </c>
      <c r="E156" s="24" t="str">
        <f aca="false">IF(A156="","",Daily_Data!E155)</f>
        <v/>
      </c>
      <c r="F156" s="23" t="str">
        <f aca="false">IF(A156="","",Daily_Data!F155)</f>
        <v/>
      </c>
      <c r="G156" s="23" t="str">
        <f aca="false">IF(A156="","",Daily_Data!G155)</f>
        <v/>
      </c>
      <c r="H156" s="25" t="str">
        <f aca="false">IF(A156="","",IFERROR(INDEX(SCD_Data!$C$3:$C$502,SUMPRODUCT((SCD_Data!$A$3:$A$502=B156)*(IFERROR(DATEVALUE(SCD_Data!$H$3:$H$502&amp;""),SCD_Data!$H$3:$H$502)&lt;=IFERROR(DATEVALUE(A156&amp;""),A156))*(IFERROR(DATEVALUE(SCD_Data!$I$3:$I$502&amp;""),SCD_Data!$I$3:$I$502)&gt;=IFERROR(DATEVALUE(A156&amp;""),A156))*(ROW(SCD_Data!$A$3:$A$502)-2))),"—"))</f>
        <v/>
      </c>
      <c r="I156" s="25" t="str">
        <f aca="false">IF(A156="","",IFERROR(INDEX(SCD_Data!$D$3:$D$502,SUMPRODUCT((SCD_Data!$A$3:$A$502=B156)*(IFERROR(DATEVALUE(SCD_Data!$H$3:$H$502&amp;""),SCD_Data!$H$3:$H$502)&lt;=IFERROR(DATEVALUE(A156&amp;""),A156))*(IFERROR(DATEVALUE(SCD_Data!$I$3:$I$502&amp;""),SCD_Data!$I$3:$I$502)&gt;=IFERROR(DATEVALUE(A156&amp;""),A156))*(ROW(SCD_Data!$A$3:$A$502)-2))),"—"))</f>
        <v/>
      </c>
      <c r="J156" s="26" t="str">
        <f aca="false">IF(A156="","",IFERROR(INDEX(SCD_Data!$E$3:$E$502,SUMPRODUCT((SCD_Data!$A$3:$A$502=B156)*(IFERROR(DATEVALUE(SCD_Data!$H$3:$H$502&amp;""),SCD_Data!$H$3:$H$502)&lt;=IFERROR(DATEVALUE(A156&amp;""),A156))*(IFERROR(DATEVALUE(SCD_Data!$I$3:$I$502&amp;""),SCD_Data!$I$3:$I$502)&gt;=IFERROR(DATEVALUE(A156&amp;""),A156))*(ROW(SCD_Data!$A$3:$A$502)-2))),"—"))</f>
        <v/>
      </c>
      <c r="K156" s="25" t="str">
        <f aca="false">IF(A156="","",IFERROR(INDEX(SCD_Data!$F$3:$F$502,SUMPRODUCT((SCD_Data!$A$3:$A$502=B156)*(IFERROR(DATEVALUE(SCD_Data!$H$3:$H$502&amp;""),SCD_Data!$H$3:$H$502)&lt;=IFERROR(DATEVALUE(A156&amp;""),A156))*(IFERROR(DATEVALUE(SCD_Data!$I$3:$I$502&amp;""),SCD_Data!$I$3:$I$502)&gt;=IFERROR(DATEVALUE(A156&amp;""),A156))*(ROW(SCD_Data!$A$3:$A$502)-2))),"—"))</f>
        <v/>
      </c>
      <c r="L156" s="25" t="str">
        <f aca="false">IF(A156="","",IFERROR(INDEX(SCD_Data!$G$3:$G$502,SUMPRODUCT((SCD_Data!$A$3:$A$502=B156)*(IFERROR(DATEVALUE(SCD_Data!$H$3:$H$502&amp;""),SCD_Data!$H$3:$H$502)&lt;=IFERROR(DATEVALUE(A156&amp;""),A156))*(IFERROR(DATEVALUE(SCD_Data!$I$3:$I$502&amp;""),SCD_Data!$I$3:$I$502)&gt;=IFERROR(DATEVALUE(A156&amp;""),A156))*(ROW(SCD_Data!$A$3:$A$502)-2))),"—"))</f>
        <v/>
      </c>
      <c r="M156" s="27" t="str">
        <f aca="false">IF(A156="","",IF(H156="—","—",IF(C156&amp;""=H156&amp;"","✓","✗")))</f>
        <v/>
      </c>
      <c r="N156" s="27" t="str">
        <f aca="false">IF(A156="","",IF(H156="—","—",IF(D156&amp;""=I156&amp;"","✓","✗")))</f>
        <v/>
      </c>
      <c r="O156" s="27" t="str">
        <f aca="false">IF(A156="","",IF(H156="—","—",IF(ABS(E156-J156)&lt;0.01,"✓","✗")))</f>
        <v/>
      </c>
      <c r="P156" s="27" t="str">
        <f aca="false">IF(A156="","",IF(H156="—","—",IF(F156&amp;""=K156&amp;"","✓","✗")))</f>
        <v/>
      </c>
      <c r="Q156" s="27" t="str">
        <f aca="false">IF(A156="","",IF(H156="—","—",IF(G156&amp;""=L156&amp;"","✓","✗")))</f>
        <v/>
      </c>
      <c r="R156" s="27" t="str">
        <f aca="false">IF(A156="","",IF(COUNTIF(M156:Q156,"—")=5,"⚠ NO SCD ROW",IF(COUNTIF(M156:Q156,"✗")&gt;0,"❌ MISMATCH","✅ MATCH")))</f>
        <v/>
      </c>
    </row>
    <row r="157" customFormat="false" ht="15" hidden="false" customHeight="true" outlineLevel="0" collapsed="false">
      <c r="A157" s="22" t="str">
        <f aca="false">IF(Daily_Data!A156="","",Daily_Data!A156)</f>
        <v/>
      </c>
      <c r="B157" s="23" t="str">
        <f aca="false">IF(Daily_Data!B156="","",Daily_Data!B156)</f>
        <v/>
      </c>
      <c r="C157" s="23" t="str">
        <f aca="false">IF(A157="","",Daily_Data!C156)</f>
        <v/>
      </c>
      <c r="D157" s="23" t="str">
        <f aca="false">IF(A157="","",Daily_Data!D156)</f>
        <v/>
      </c>
      <c r="E157" s="24" t="str">
        <f aca="false">IF(A157="","",Daily_Data!E156)</f>
        <v/>
      </c>
      <c r="F157" s="23" t="str">
        <f aca="false">IF(A157="","",Daily_Data!F156)</f>
        <v/>
      </c>
      <c r="G157" s="23" t="str">
        <f aca="false">IF(A157="","",Daily_Data!G156)</f>
        <v/>
      </c>
      <c r="H157" s="25" t="str">
        <f aca="false">IF(A157="","",IFERROR(INDEX(SCD_Data!$C$3:$C$502,SUMPRODUCT((SCD_Data!$A$3:$A$502=B157)*(IFERROR(DATEVALUE(SCD_Data!$H$3:$H$502&amp;""),SCD_Data!$H$3:$H$502)&lt;=IFERROR(DATEVALUE(A157&amp;""),A157))*(IFERROR(DATEVALUE(SCD_Data!$I$3:$I$502&amp;""),SCD_Data!$I$3:$I$502)&gt;=IFERROR(DATEVALUE(A157&amp;""),A157))*(ROW(SCD_Data!$A$3:$A$502)-2))),"—"))</f>
        <v/>
      </c>
      <c r="I157" s="25" t="str">
        <f aca="false">IF(A157="","",IFERROR(INDEX(SCD_Data!$D$3:$D$502,SUMPRODUCT((SCD_Data!$A$3:$A$502=B157)*(IFERROR(DATEVALUE(SCD_Data!$H$3:$H$502&amp;""),SCD_Data!$H$3:$H$502)&lt;=IFERROR(DATEVALUE(A157&amp;""),A157))*(IFERROR(DATEVALUE(SCD_Data!$I$3:$I$502&amp;""),SCD_Data!$I$3:$I$502)&gt;=IFERROR(DATEVALUE(A157&amp;""),A157))*(ROW(SCD_Data!$A$3:$A$502)-2))),"—"))</f>
        <v/>
      </c>
      <c r="J157" s="26" t="str">
        <f aca="false">IF(A157="","",IFERROR(INDEX(SCD_Data!$E$3:$E$502,SUMPRODUCT((SCD_Data!$A$3:$A$502=B157)*(IFERROR(DATEVALUE(SCD_Data!$H$3:$H$502&amp;""),SCD_Data!$H$3:$H$502)&lt;=IFERROR(DATEVALUE(A157&amp;""),A157))*(IFERROR(DATEVALUE(SCD_Data!$I$3:$I$502&amp;""),SCD_Data!$I$3:$I$502)&gt;=IFERROR(DATEVALUE(A157&amp;""),A157))*(ROW(SCD_Data!$A$3:$A$502)-2))),"—"))</f>
        <v/>
      </c>
      <c r="K157" s="25" t="str">
        <f aca="false">IF(A157="","",IFERROR(INDEX(SCD_Data!$F$3:$F$502,SUMPRODUCT((SCD_Data!$A$3:$A$502=B157)*(IFERROR(DATEVALUE(SCD_Data!$H$3:$H$502&amp;""),SCD_Data!$H$3:$H$502)&lt;=IFERROR(DATEVALUE(A157&amp;""),A157))*(IFERROR(DATEVALUE(SCD_Data!$I$3:$I$502&amp;""),SCD_Data!$I$3:$I$502)&gt;=IFERROR(DATEVALUE(A157&amp;""),A157))*(ROW(SCD_Data!$A$3:$A$502)-2))),"—"))</f>
        <v/>
      </c>
      <c r="L157" s="25" t="str">
        <f aca="false">IF(A157="","",IFERROR(INDEX(SCD_Data!$G$3:$G$502,SUMPRODUCT((SCD_Data!$A$3:$A$502=B157)*(IFERROR(DATEVALUE(SCD_Data!$H$3:$H$502&amp;""),SCD_Data!$H$3:$H$502)&lt;=IFERROR(DATEVALUE(A157&amp;""),A157))*(IFERROR(DATEVALUE(SCD_Data!$I$3:$I$502&amp;""),SCD_Data!$I$3:$I$502)&gt;=IFERROR(DATEVALUE(A157&amp;""),A157))*(ROW(SCD_Data!$A$3:$A$502)-2))),"—"))</f>
        <v/>
      </c>
      <c r="M157" s="27" t="str">
        <f aca="false">IF(A157="","",IF(H157="—","—",IF(C157&amp;""=H157&amp;"","✓","✗")))</f>
        <v/>
      </c>
      <c r="N157" s="27" t="str">
        <f aca="false">IF(A157="","",IF(H157="—","—",IF(D157&amp;""=I157&amp;"","✓","✗")))</f>
        <v/>
      </c>
      <c r="O157" s="27" t="str">
        <f aca="false">IF(A157="","",IF(H157="—","—",IF(ABS(E157-J157)&lt;0.01,"✓","✗")))</f>
        <v/>
      </c>
      <c r="P157" s="27" t="str">
        <f aca="false">IF(A157="","",IF(H157="—","—",IF(F157&amp;""=K157&amp;"","✓","✗")))</f>
        <v/>
      </c>
      <c r="Q157" s="27" t="str">
        <f aca="false">IF(A157="","",IF(H157="—","—",IF(G157&amp;""=L157&amp;"","✓","✗")))</f>
        <v/>
      </c>
      <c r="R157" s="27" t="str">
        <f aca="false">IF(A157="","",IF(COUNTIF(M157:Q157,"—")=5,"⚠ NO SCD ROW",IF(COUNTIF(M157:Q157,"✗")&gt;0,"❌ MISMATCH","✅ MATCH")))</f>
        <v/>
      </c>
    </row>
    <row r="158" customFormat="false" ht="15" hidden="false" customHeight="true" outlineLevel="0" collapsed="false">
      <c r="A158" s="22" t="str">
        <f aca="false">IF(Daily_Data!A157="","",Daily_Data!A157)</f>
        <v/>
      </c>
      <c r="B158" s="23" t="str">
        <f aca="false">IF(Daily_Data!B157="","",Daily_Data!B157)</f>
        <v/>
      </c>
      <c r="C158" s="23" t="str">
        <f aca="false">IF(A158="","",Daily_Data!C157)</f>
        <v/>
      </c>
      <c r="D158" s="23" t="str">
        <f aca="false">IF(A158="","",Daily_Data!D157)</f>
        <v/>
      </c>
      <c r="E158" s="24" t="str">
        <f aca="false">IF(A158="","",Daily_Data!E157)</f>
        <v/>
      </c>
      <c r="F158" s="23" t="str">
        <f aca="false">IF(A158="","",Daily_Data!F157)</f>
        <v/>
      </c>
      <c r="G158" s="23" t="str">
        <f aca="false">IF(A158="","",Daily_Data!G157)</f>
        <v/>
      </c>
      <c r="H158" s="25" t="str">
        <f aca="false">IF(A158="","",IFERROR(INDEX(SCD_Data!$C$3:$C$502,SUMPRODUCT((SCD_Data!$A$3:$A$502=B158)*(IFERROR(DATEVALUE(SCD_Data!$H$3:$H$502&amp;""),SCD_Data!$H$3:$H$502)&lt;=IFERROR(DATEVALUE(A158&amp;""),A158))*(IFERROR(DATEVALUE(SCD_Data!$I$3:$I$502&amp;""),SCD_Data!$I$3:$I$502)&gt;=IFERROR(DATEVALUE(A158&amp;""),A158))*(ROW(SCD_Data!$A$3:$A$502)-2))),"—"))</f>
        <v/>
      </c>
      <c r="I158" s="25" t="str">
        <f aca="false">IF(A158="","",IFERROR(INDEX(SCD_Data!$D$3:$D$502,SUMPRODUCT((SCD_Data!$A$3:$A$502=B158)*(IFERROR(DATEVALUE(SCD_Data!$H$3:$H$502&amp;""),SCD_Data!$H$3:$H$502)&lt;=IFERROR(DATEVALUE(A158&amp;""),A158))*(IFERROR(DATEVALUE(SCD_Data!$I$3:$I$502&amp;""),SCD_Data!$I$3:$I$502)&gt;=IFERROR(DATEVALUE(A158&amp;""),A158))*(ROW(SCD_Data!$A$3:$A$502)-2))),"—"))</f>
        <v/>
      </c>
      <c r="J158" s="26" t="str">
        <f aca="false">IF(A158="","",IFERROR(INDEX(SCD_Data!$E$3:$E$502,SUMPRODUCT((SCD_Data!$A$3:$A$502=B158)*(IFERROR(DATEVALUE(SCD_Data!$H$3:$H$502&amp;""),SCD_Data!$H$3:$H$502)&lt;=IFERROR(DATEVALUE(A158&amp;""),A158))*(IFERROR(DATEVALUE(SCD_Data!$I$3:$I$502&amp;""),SCD_Data!$I$3:$I$502)&gt;=IFERROR(DATEVALUE(A158&amp;""),A158))*(ROW(SCD_Data!$A$3:$A$502)-2))),"—"))</f>
        <v/>
      </c>
      <c r="K158" s="25" t="str">
        <f aca="false">IF(A158="","",IFERROR(INDEX(SCD_Data!$F$3:$F$502,SUMPRODUCT((SCD_Data!$A$3:$A$502=B158)*(IFERROR(DATEVALUE(SCD_Data!$H$3:$H$502&amp;""),SCD_Data!$H$3:$H$502)&lt;=IFERROR(DATEVALUE(A158&amp;""),A158))*(IFERROR(DATEVALUE(SCD_Data!$I$3:$I$502&amp;""),SCD_Data!$I$3:$I$502)&gt;=IFERROR(DATEVALUE(A158&amp;""),A158))*(ROW(SCD_Data!$A$3:$A$502)-2))),"—"))</f>
        <v/>
      </c>
      <c r="L158" s="25" t="str">
        <f aca="false">IF(A158="","",IFERROR(INDEX(SCD_Data!$G$3:$G$502,SUMPRODUCT((SCD_Data!$A$3:$A$502=B158)*(IFERROR(DATEVALUE(SCD_Data!$H$3:$H$502&amp;""),SCD_Data!$H$3:$H$502)&lt;=IFERROR(DATEVALUE(A158&amp;""),A158))*(IFERROR(DATEVALUE(SCD_Data!$I$3:$I$502&amp;""),SCD_Data!$I$3:$I$502)&gt;=IFERROR(DATEVALUE(A158&amp;""),A158))*(ROW(SCD_Data!$A$3:$A$502)-2))),"—"))</f>
        <v/>
      </c>
      <c r="M158" s="27" t="str">
        <f aca="false">IF(A158="","",IF(H158="—","—",IF(C158&amp;""=H158&amp;"","✓","✗")))</f>
        <v/>
      </c>
      <c r="N158" s="27" t="str">
        <f aca="false">IF(A158="","",IF(H158="—","—",IF(D158&amp;""=I158&amp;"","✓","✗")))</f>
        <v/>
      </c>
      <c r="O158" s="27" t="str">
        <f aca="false">IF(A158="","",IF(H158="—","—",IF(ABS(E158-J158)&lt;0.01,"✓","✗")))</f>
        <v/>
      </c>
      <c r="P158" s="27" t="str">
        <f aca="false">IF(A158="","",IF(H158="—","—",IF(F158&amp;""=K158&amp;"","✓","✗")))</f>
        <v/>
      </c>
      <c r="Q158" s="27" t="str">
        <f aca="false">IF(A158="","",IF(H158="—","—",IF(G158&amp;""=L158&amp;"","✓","✗")))</f>
        <v/>
      </c>
      <c r="R158" s="27" t="str">
        <f aca="false">IF(A158="","",IF(COUNTIF(M158:Q158,"—")=5,"⚠ NO SCD ROW",IF(COUNTIF(M158:Q158,"✗")&gt;0,"❌ MISMATCH","✅ MATCH")))</f>
        <v/>
      </c>
    </row>
    <row r="159" customFormat="false" ht="15" hidden="false" customHeight="true" outlineLevel="0" collapsed="false">
      <c r="A159" s="22" t="str">
        <f aca="false">IF(Daily_Data!A158="","",Daily_Data!A158)</f>
        <v/>
      </c>
      <c r="B159" s="23" t="str">
        <f aca="false">IF(Daily_Data!B158="","",Daily_Data!B158)</f>
        <v/>
      </c>
      <c r="C159" s="23" t="str">
        <f aca="false">IF(A159="","",Daily_Data!C158)</f>
        <v/>
      </c>
      <c r="D159" s="23" t="str">
        <f aca="false">IF(A159="","",Daily_Data!D158)</f>
        <v/>
      </c>
      <c r="E159" s="24" t="str">
        <f aca="false">IF(A159="","",Daily_Data!E158)</f>
        <v/>
      </c>
      <c r="F159" s="23" t="str">
        <f aca="false">IF(A159="","",Daily_Data!F158)</f>
        <v/>
      </c>
      <c r="G159" s="23" t="str">
        <f aca="false">IF(A159="","",Daily_Data!G158)</f>
        <v/>
      </c>
      <c r="H159" s="25" t="str">
        <f aca="false">IF(A159="","",IFERROR(INDEX(SCD_Data!$C$3:$C$502,SUMPRODUCT((SCD_Data!$A$3:$A$502=B159)*(IFERROR(DATEVALUE(SCD_Data!$H$3:$H$502&amp;""),SCD_Data!$H$3:$H$502)&lt;=IFERROR(DATEVALUE(A159&amp;""),A159))*(IFERROR(DATEVALUE(SCD_Data!$I$3:$I$502&amp;""),SCD_Data!$I$3:$I$502)&gt;=IFERROR(DATEVALUE(A159&amp;""),A159))*(ROW(SCD_Data!$A$3:$A$502)-2))),"—"))</f>
        <v/>
      </c>
      <c r="I159" s="25" t="str">
        <f aca="false">IF(A159="","",IFERROR(INDEX(SCD_Data!$D$3:$D$502,SUMPRODUCT((SCD_Data!$A$3:$A$502=B159)*(IFERROR(DATEVALUE(SCD_Data!$H$3:$H$502&amp;""),SCD_Data!$H$3:$H$502)&lt;=IFERROR(DATEVALUE(A159&amp;""),A159))*(IFERROR(DATEVALUE(SCD_Data!$I$3:$I$502&amp;""),SCD_Data!$I$3:$I$502)&gt;=IFERROR(DATEVALUE(A159&amp;""),A159))*(ROW(SCD_Data!$A$3:$A$502)-2))),"—"))</f>
        <v/>
      </c>
      <c r="J159" s="26" t="str">
        <f aca="false">IF(A159="","",IFERROR(INDEX(SCD_Data!$E$3:$E$502,SUMPRODUCT((SCD_Data!$A$3:$A$502=B159)*(IFERROR(DATEVALUE(SCD_Data!$H$3:$H$502&amp;""),SCD_Data!$H$3:$H$502)&lt;=IFERROR(DATEVALUE(A159&amp;""),A159))*(IFERROR(DATEVALUE(SCD_Data!$I$3:$I$502&amp;""),SCD_Data!$I$3:$I$502)&gt;=IFERROR(DATEVALUE(A159&amp;""),A159))*(ROW(SCD_Data!$A$3:$A$502)-2))),"—"))</f>
        <v/>
      </c>
      <c r="K159" s="25" t="str">
        <f aca="false">IF(A159="","",IFERROR(INDEX(SCD_Data!$F$3:$F$502,SUMPRODUCT((SCD_Data!$A$3:$A$502=B159)*(IFERROR(DATEVALUE(SCD_Data!$H$3:$H$502&amp;""),SCD_Data!$H$3:$H$502)&lt;=IFERROR(DATEVALUE(A159&amp;""),A159))*(IFERROR(DATEVALUE(SCD_Data!$I$3:$I$502&amp;""),SCD_Data!$I$3:$I$502)&gt;=IFERROR(DATEVALUE(A159&amp;""),A159))*(ROW(SCD_Data!$A$3:$A$502)-2))),"—"))</f>
        <v/>
      </c>
      <c r="L159" s="25" t="str">
        <f aca="false">IF(A159="","",IFERROR(INDEX(SCD_Data!$G$3:$G$502,SUMPRODUCT((SCD_Data!$A$3:$A$502=B159)*(IFERROR(DATEVALUE(SCD_Data!$H$3:$H$502&amp;""),SCD_Data!$H$3:$H$502)&lt;=IFERROR(DATEVALUE(A159&amp;""),A159))*(IFERROR(DATEVALUE(SCD_Data!$I$3:$I$502&amp;""),SCD_Data!$I$3:$I$502)&gt;=IFERROR(DATEVALUE(A159&amp;""),A159))*(ROW(SCD_Data!$A$3:$A$502)-2))),"—"))</f>
        <v/>
      </c>
      <c r="M159" s="27" t="str">
        <f aca="false">IF(A159="","",IF(H159="—","—",IF(C159&amp;""=H159&amp;"","✓","✗")))</f>
        <v/>
      </c>
      <c r="N159" s="27" t="str">
        <f aca="false">IF(A159="","",IF(H159="—","—",IF(D159&amp;""=I159&amp;"","✓","✗")))</f>
        <v/>
      </c>
      <c r="O159" s="27" t="str">
        <f aca="false">IF(A159="","",IF(H159="—","—",IF(ABS(E159-J159)&lt;0.01,"✓","✗")))</f>
        <v/>
      </c>
      <c r="P159" s="27" t="str">
        <f aca="false">IF(A159="","",IF(H159="—","—",IF(F159&amp;""=K159&amp;"","✓","✗")))</f>
        <v/>
      </c>
      <c r="Q159" s="27" t="str">
        <f aca="false">IF(A159="","",IF(H159="—","—",IF(G159&amp;""=L159&amp;"","✓","✗")))</f>
        <v/>
      </c>
      <c r="R159" s="27" t="str">
        <f aca="false">IF(A159="","",IF(COUNTIF(M159:Q159,"—")=5,"⚠ NO SCD ROW",IF(COUNTIF(M159:Q159,"✗")&gt;0,"❌ MISMATCH","✅ MATCH")))</f>
        <v/>
      </c>
    </row>
    <row r="160" customFormat="false" ht="15" hidden="false" customHeight="true" outlineLevel="0" collapsed="false">
      <c r="A160" s="22" t="str">
        <f aca="false">IF(Daily_Data!A159="","",Daily_Data!A159)</f>
        <v/>
      </c>
      <c r="B160" s="23" t="str">
        <f aca="false">IF(Daily_Data!B159="","",Daily_Data!B159)</f>
        <v/>
      </c>
      <c r="C160" s="23" t="str">
        <f aca="false">IF(A160="","",Daily_Data!C159)</f>
        <v/>
      </c>
      <c r="D160" s="23" t="str">
        <f aca="false">IF(A160="","",Daily_Data!D159)</f>
        <v/>
      </c>
      <c r="E160" s="24" t="str">
        <f aca="false">IF(A160="","",Daily_Data!E159)</f>
        <v/>
      </c>
      <c r="F160" s="23" t="str">
        <f aca="false">IF(A160="","",Daily_Data!F159)</f>
        <v/>
      </c>
      <c r="G160" s="23" t="str">
        <f aca="false">IF(A160="","",Daily_Data!G159)</f>
        <v/>
      </c>
      <c r="H160" s="25" t="str">
        <f aca="false">IF(A160="","",IFERROR(INDEX(SCD_Data!$C$3:$C$502,SUMPRODUCT((SCD_Data!$A$3:$A$502=B160)*(IFERROR(DATEVALUE(SCD_Data!$H$3:$H$502&amp;""),SCD_Data!$H$3:$H$502)&lt;=IFERROR(DATEVALUE(A160&amp;""),A160))*(IFERROR(DATEVALUE(SCD_Data!$I$3:$I$502&amp;""),SCD_Data!$I$3:$I$502)&gt;=IFERROR(DATEVALUE(A160&amp;""),A160))*(ROW(SCD_Data!$A$3:$A$502)-2))),"—"))</f>
        <v/>
      </c>
      <c r="I160" s="25" t="str">
        <f aca="false">IF(A160="","",IFERROR(INDEX(SCD_Data!$D$3:$D$502,SUMPRODUCT((SCD_Data!$A$3:$A$502=B160)*(IFERROR(DATEVALUE(SCD_Data!$H$3:$H$502&amp;""),SCD_Data!$H$3:$H$502)&lt;=IFERROR(DATEVALUE(A160&amp;""),A160))*(IFERROR(DATEVALUE(SCD_Data!$I$3:$I$502&amp;""),SCD_Data!$I$3:$I$502)&gt;=IFERROR(DATEVALUE(A160&amp;""),A160))*(ROW(SCD_Data!$A$3:$A$502)-2))),"—"))</f>
        <v/>
      </c>
      <c r="J160" s="26" t="str">
        <f aca="false">IF(A160="","",IFERROR(INDEX(SCD_Data!$E$3:$E$502,SUMPRODUCT((SCD_Data!$A$3:$A$502=B160)*(IFERROR(DATEVALUE(SCD_Data!$H$3:$H$502&amp;""),SCD_Data!$H$3:$H$502)&lt;=IFERROR(DATEVALUE(A160&amp;""),A160))*(IFERROR(DATEVALUE(SCD_Data!$I$3:$I$502&amp;""),SCD_Data!$I$3:$I$502)&gt;=IFERROR(DATEVALUE(A160&amp;""),A160))*(ROW(SCD_Data!$A$3:$A$502)-2))),"—"))</f>
        <v/>
      </c>
      <c r="K160" s="25" t="str">
        <f aca="false">IF(A160="","",IFERROR(INDEX(SCD_Data!$F$3:$F$502,SUMPRODUCT((SCD_Data!$A$3:$A$502=B160)*(IFERROR(DATEVALUE(SCD_Data!$H$3:$H$502&amp;""),SCD_Data!$H$3:$H$502)&lt;=IFERROR(DATEVALUE(A160&amp;""),A160))*(IFERROR(DATEVALUE(SCD_Data!$I$3:$I$502&amp;""),SCD_Data!$I$3:$I$502)&gt;=IFERROR(DATEVALUE(A160&amp;""),A160))*(ROW(SCD_Data!$A$3:$A$502)-2))),"—"))</f>
        <v/>
      </c>
      <c r="L160" s="25" t="str">
        <f aca="false">IF(A160="","",IFERROR(INDEX(SCD_Data!$G$3:$G$502,SUMPRODUCT((SCD_Data!$A$3:$A$502=B160)*(IFERROR(DATEVALUE(SCD_Data!$H$3:$H$502&amp;""),SCD_Data!$H$3:$H$502)&lt;=IFERROR(DATEVALUE(A160&amp;""),A160))*(IFERROR(DATEVALUE(SCD_Data!$I$3:$I$502&amp;""),SCD_Data!$I$3:$I$502)&gt;=IFERROR(DATEVALUE(A160&amp;""),A160))*(ROW(SCD_Data!$A$3:$A$502)-2))),"—"))</f>
        <v/>
      </c>
      <c r="M160" s="27" t="str">
        <f aca="false">IF(A160="","",IF(H160="—","—",IF(C160&amp;""=H160&amp;"","✓","✗")))</f>
        <v/>
      </c>
      <c r="N160" s="27" t="str">
        <f aca="false">IF(A160="","",IF(H160="—","—",IF(D160&amp;""=I160&amp;"","✓","✗")))</f>
        <v/>
      </c>
      <c r="O160" s="27" t="str">
        <f aca="false">IF(A160="","",IF(H160="—","—",IF(ABS(E160-J160)&lt;0.01,"✓","✗")))</f>
        <v/>
      </c>
      <c r="P160" s="27" t="str">
        <f aca="false">IF(A160="","",IF(H160="—","—",IF(F160&amp;""=K160&amp;"","✓","✗")))</f>
        <v/>
      </c>
      <c r="Q160" s="27" t="str">
        <f aca="false">IF(A160="","",IF(H160="—","—",IF(G160&amp;""=L160&amp;"","✓","✗")))</f>
        <v/>
      </c>
      <c r="R160" s="27" t="str">
        <f aca="false">IF(A160="","",IF(COUNTIF(M160:Q160,"—")=5,"⚠ NO SCD ROW",IF(COUNTIF(M160:Q160,"✗")&gt;0,"❌ MISMATCH","✅ MATCH")))</f>
        <v/>
      </c>
    </row>
    <row r="161" customFormat="false" ht="15" hidden="false" customHeight="true" outlineLevel="0" collapsed="false">
      <c r="A161" s="22" t="str">
        <f aca="false">IF(Daily_Data!A160="","",Daily_Data!A160)</f>
        <v/>
      </c>
      <c r="B161" s="23" t="str">
        <f aca="false">IF(Daily_Data!B160="","",Daily_Data!B160)</f>
        <v/>
      </c>
      <c r="C161" s="23" t="str">
        <f aca="false">IF(A161="","",Daily_Data!C160)</f>
        <v/>
      </c>
      <c r="D161" s="23" t="str">
        <f aca="false">IF(A161="","",Daily_Data!D160)</f>
        <v/>
      </c>
      <c r="E161" s="24" t="str">
        <f aca="false">IF(A161="","",Daily_Data!E160)</f>
        <v/>
      </c>
      <c r="F161" s="23" t="str">
        <f aca="false">IF(A161="","",Daily_Data!F160)</f>
        <v/>
      </c>
      <c r="G161" s="23" t="str">
        <f aca="false">IF(A161="","",Daily_Data!G160)</f>
        <v/>
      </c>
      <c r="H161" s="25" t="str">
        <f aca="false">IF(A161="","",IFERROR(INDEX(SCD_Data!$C$3:$C$502,SUMPRODUCT((SCD_Data!$A$3:$A$502=B161)*(IFERROR(DATEVALUE(SCD_Data!$H$3:$H$502&amp;""),SCD_Data!$H$3:$H$502)&lt;=IFERROR(DATEVALUE(A161&amp;""),A161))*(IFERROR(DATEVALUE(SCD_Data!$I$3:$I$502&amp;""),SCD_Data!$I$3:$I$502)&gt;=IFERROR(DATEVALUE(A161&amp;""),A161))*(ROW(SCD_Data!$A$3:$A$502)-2))),"—"))</f>
        <v/>
      </c>
      <c r="I161" s="25" t="str">
        <f aca="false">IF(A161="","",IFERROR(INDEX(SCD_Data!$D$3:$D$502,SUMPRODUCT((SCD_Data!$A$3:$A$502=B161)*(IFERROR(DATEVALUE(SCD_Data!$H$3:$H$502&amp;""),SCD_Data!$H$3:$H$502)&lt;=IFERROR(DATEVALUE(A161&amp;""),A161))*(IFERROR(DATEVALUE(SCD_Data!$I$3:$I$502&amp;""),SCD_Data!$I$3:$I$502)&gt;=IFERROR(DATEVALUE(A161&amp;""),A161))*(ROW(SCD_Data!$A$3:$A$502)-2))),"—"))</f>
        <v/>
      </c>
      <c r="J161" s="26" t="str">
        <f aca="false">IF(A161="","",IFERROR(INDEX(SCD_Data!$E$3:$E$502,SUMPRODUCT((SCD_Data!$A$3:$A$502=B161)*(IFERROR(DATEVALUE(SCD_Data!$H$3:$H$502&amp;""),SCD_Data!$H$3:$H$502)&lt;=IFERROR(DATEVALUE(A161&amp;""),A161))*(IFERROR(DATEVALUE(SCD_Data!$I$3:$I$502&amp;""),SCD_Data!$I$3:$I$502)&gt;=IFERROR(DATEVALUE(A161&amp;""),A161))*(ROW(SCD_Data!$A$3:$A$502)-2))),"—"))</f>
        <v/>
      </c>
      <c r="K161" s="25" t="str">
        <f aca="false">IF(A161="","",IFERROR(INDEX(SCD_Data!$F$3:$F$502,SUMPRODUCT((SCD_Data!$A$3:$A$502=B161)*(IFERROR(DATEVALUE(SCD_Data!$H$3:$H$502&amp;""),SCD_Data!$H$3:$H$502)&lt;=IFERROR(DATEVALUE(A161&amp;""),A161))*(IFERROR(DATEVALUE(SCD_Data!$I$3:$I$502&amp;""),SCD_Data!$I$3:$I$502)&gt;=IFERROR(DATEVALUE(A161&amp;""),A161))*(ROW(SCD_Data!$A$3:$A$502)-2))),"—"))</f>
        <v/>
      </c>
      <c r="L161" s="25" t="str">
        <f aca="false">IF(A161="","",IFERROR(INDEX(SCD_Data!$G$3:$G$502,SUMPRODUCT((SCD_Data!$A$3:$A$502=B161)*(IFERROR(DATEVALUE(SCD_Data!$H$3:$H$502&amp;""),SCD_Data!$H$3:$H$502)&lt;=IFERROR(DATEVALUE(A161&amp;""),A161))*(IFERROR(DATEVALUE(SCD_Data!$I$3:$I$502&amp;""),SCD_Data!$I$3:$I$502)&gt;=IFERROR(DATEVALUE(A161&amp;""),A161))*(ROW(SCD_Data!$A$3:$A$502)-2))),"—"))</f>
        <v/>
      </c>
      <c r="M161" s="27" t="str">
        <f aca="false">IF(A161="","",IF(H161="—","—",IF(C161&amp;""=H161&amp;"","✓","✗")))</f>
        <v/>
      </c>
      <c r="N161" s="27" t="str">
        <f aca="false">IF(A161="","",IF(H161="—","—",IF(D161&amp;""=I161&amp;"","✓","✗")))</f>
        <v/>
      </c>
      <c r="O161" s="27" t="str">
        <f aca="false">IF(A161="","",IF(H161="—","—",IF(ABS(E161-J161)&lt;0.01,"✓","✗")))</f>
        <v/>
      </c>
      <c r="P161" s="27" t="str">
        <f aca="false">IF(A161="","",IF(H161="—","—",IF(F161&amp;""=K161&amp;"","✓","✗")))</f>
        <v/>
      </c>
      <c r="Q161" s="27" t="str">
        <f aca="false">IF(A161="","",IF(H161="—","—",IF(G161&amp;""=L161&amp;"","✓","✗")))</f>
        <v/>
      </c>
      <c r="R161" s="27" t="str">
        <f aca="false">IF(A161="","",IF(COUNTIF(M161:Q161,"—")=5,"⚠ NO SCD ROW",IF(COUNTIF(M161:Q161,"✗")&gt;0,"❌ MISMATCH","✅ MATCH")))</f>
        <v/>
      </c>
    </row>
    <row r="162" customFormat="false" ht="15" hidden="false" customHeight="true" outlineLevel="0" collapsed="false">
      <c r="A162" s="22" t="str">
        <f aca="false">IF(Daily_Data!A161="","",Daily_Data!A161)</f>
        <v/>
      </c>
      <c r="B162" s="23" t="str">
        <f aca="false">IF(Daily_Data!B161="","",Daily_Data!B161)</f>
        <v/>
      </c>
      <c r="C162" s="23" t="str">
        <f aca="false">IF(A162="","",Daily_Data!C161)</f>
        <v/>
      </c>
      <c r="D162" s="23" t="str">
        <f aca="false">IF(A162="","",Daily_Data!D161)</f>
        <v/>
      </c>
      <c r="E162" s="24" t="str">
        <f aca="false">IF(A162="","",Daily_Data!E161)</f>
        <v/>
      </c>
      <c r="F162" s="23" t="str">
        <f aca="false">IF(A162="","",Daily_Data!F161)</f>
        <v/>
      </c>
      <c r="G162" s="23" t="str">
        <f aca="false">IF(A162="","",Daily_Data!G161)</f>
        <v/>
      </c>
      <c r="H162" s="25" t="str">
        <f aca="false">IF(A162="","",IFERROR(INDEX(SCD_Data!$C$3:$C$502,SUMPRODUCT((SCD_Data!$A$3:$A$502=B162)*(IFERROR(DATEVALUE(SCD_Data!$H$3:$H$502&amp;""),SCD_Data!$H$3:$H$502)&lt;=IFERROR(DATEVALUE(A162&amp;""),A162))*(IFERROR(DATEVALUE(SCD_Data!$I$3:$I$502&amp;""),SCD_Data!$I$3:$I$502)&gt;=IFERROR(DATEVALUE(A162&amp;""),A162))*(ROW(SCD_Data!$A$3:$A$502)-2))),"—"))</f>
        <v/>
      </c>
      <c r="I162" s="25" t="str">
        <f aca="false">IF(A162="","",IFERROR(INDEX(SCD_Data!$D$3:$D$502,SUMPRODUCT((SCD_Data!$A$3:$A$502=B162)*(IFERROR(DATEVALUE(SCD_Data!$H$3:$H$502&amp;""),SCD_Data!$H$3:$H$502)&lt;=IFERROR(DATEVALUE(A162&amp;""),A162))*(IFERROR(DATEVALUE(SCD_Data!$I$3:$I$502&amp;""),SCD_Data!$I$3:$I$502)&gt;=IFERROR(DATEVALUE(A162&amp;""),A162))*(ROW(SCD_Data!$A$3:$A$502)-2))),"—"))</f>
        <v/>
      </c>
      <c r="J162" s="26" t="str">
        <f aca="false">IF(A162="","",IFERROR(INDEX(SCD_Data!$E$3:$E$502,SUMPRODUCT((SCD_Data!$A$3:$A$502=B162)*(IFERROR(DATEVALUE(SCD_Data!$H$3:$H$502&amp;""),SCD_Data!$H$3:$H$502)&lt;=IFERROR(DATEVALUE(A162&amp;""),A162))*(IFERROR(DATEVALUE(SCD_Data!$I$3:$I$502&amp;""),SCD_Data!$I$3:$I$502)&gt;=IFERROR(DATEVALUE(A162&amp;""),A162))*(ROW(SCD_Data!$A$3:$A$502)-2))),"—"))</f>
        <v/>
      </c>
      <c r="K162" s="25" t="str">
        <f aca="false">IF(A162="","",IFERROR(INDEX(SCD_Data!$F$3:$F$502,SUMPRODUCT((SCD_Data!$A$3:$A$502=B162)*(IFERROR(DATEVALUE(SCD_Data!$H$3:$H$502&amp;""),SCD_Data!$H$3:$H$502)&lt;=IFERROR(DATEVALUE(A162&amp;""),A162))*(IFERROR(DATEVALUE(SCD_Data!$I$3:$I$502&amp;""),SCD_Data!$I$3:$I$502)&gt;=IFERROR(DATEVALUE(A162&amp;""),A162))*(ROW(SCD_Data!$A$3:$A$502)-2))),"—"))</f>
        <v/>
      </c>
      <c r="L162" s="25" t="str">
        <f aca="false">IF(A162="","",IFERROR(INDEX(SCD_Data!$G$3:$G$502,SUMPRODUCT((SCD_Data!$A$3:$A$502=B162)*(IFERROR(DATEVALUE(SCD_Data!$H$3:$H$502&amp;""),SCD_Data!$H$3:$H$502)&lt;=IFERROR(DATEVALUE(A162&amp;""),A162))*(IFERROR(DATEVALUE(SCD_Data!$I$3:$I$502&amp;""),SCD_Data!$I$3:$I$502)&gt;=IFERROR(DATEVALUE(A162&amp;""),A162))*(ROW(SCD_Data!$A$3:$A$502)-2))),"—"))</f>
        <v/>
      </c>
      <c r="M162" s="27" t="str">
        <f aca="false">IF(A162="","",IF(H162="—","—",IF(C162&amp;""=H162&amp;"","✓","✗")))</f>
        <v/>
      </c>
      <c r="N162" s="27" t="str">
        <f aca="false">IF(A162="","",IF(H162="—","—",IF(D162&amp;""=I162&amp;"","✓","✗")))</f>
        <v/>
      </c>
      <c r="O162" s="27" t="str">
        <f aca="false">IF(A162="","",IF(H162="—","—",IF(ABS(E162-J162)&lt;0.01,"✓","✗")))</f>
        <v/>
      </c>
      <c r="P162" s="27" t="str">
        <f aca="false">IF(A162="","",IF(H162="—","—",IF(F162&amp;""=K162&amp;"","✓","✗")))</f>
        <v/>
      </c>
      <c r="Q162" s="27" t="str">
        <f aca="false">IF(A162="","",IF(H162="—","—",IF(G162&amp;""=L162&amp;"","✓","✗")))</f>
        <v/>
      </c>
      <c r="R162" s="27" t="str">
        <f aca="false">IF(A162="","",IF(COUNTIF(M162:Q162,"—")=5,"⚠ NO SCD ROW",IF(COUNTIF(M162:Q162,"✗")&gt;0,"❌ MISMATCH","✅ MATCH")))</f>
        <v/>
      </c>
    </row>
    <row r="163" customFormat="false" ht="15" hidden="false" customHeight="true" outlineLevel="0" collapsed="false">
      <c r="A163" s="22" t="str">
        <f aca="false">IF(Daily_Data!A162="","",Daily_Data!A162)</f>
        <v/>
      </c>
      <c r="B163" s="23" t="str">
        <f aca="false">IF(Daily_Data!B162="","",Daily_Data!B162)</f>
        <v/>
      </c>
      <c r="C163" s="23" t="str">
        <f aca="false">IF(A163="","",Daily_Data!C162)</f>
        <v/>
      </c>
      <c r="D163" s="23" t="str">
        <f aca="false">IF(A163="","",Daily_Data!D162)</f>
        <v/>
      </c>
      <c r="E163" s="24" t="str">
        <f aca="false">IF(A163="","",Daily_Data!E162)</f>
        <v/>
      </c>
      <c r="F163" s="23" t="str">
        <f aca="false">IF(A163="","",Daily_Data!F162)</f>
        <v/>
      </c>
      <c r="G163" s="23" t="str">
        <f aca="false">IF(A163="","",Daily_Data!G162)</f>
        <v/>
      </c>
      <c r="H163" s="25" t="str">
        <f aca="false">IF(A163="","",IFERROR(INDEX(SCD_Data!$C$3:$C$502,SUMPRODUCT((SCD_Data!$A$3:$A$502=B163)*(IFERROR(DATEVALUE(SCD_Data!$H$3:$H$502&amp;""),SCD_Data!$H$3:$H$502)&lt;=IFERROR(DATEVALUE(A163&amp;""),A163))*(IFERROR(DATEVALUE(SCD_Data!$I$3:$I$502&amp;""),SCD_Data!$I$3:$I$502)&gt;=IFERROR(DATEVALUE(A163&amp;""),A163))*(ROW(SCD_Data!$A$3:$A$502)-2))),"—"))</f>
        <v/>
      </c>
      <c r="I163" s="25" t="str">
        <f aca="false">IF(A163="","",IFERROR(INDEX(SCD_Data!$D$3:$D$502,SUMPRODUCT((SCD_Data!$A$3:$A$502=B163)*(IFERROR(DATEVALUE(SCD_Data!$H$3:$H$502&amp;""),SCD_Data!$H$3:$H$502)&lt;=IFERROR(DATEVALUE(A163&amp;""),A163))*(IFERROR(DATEVALUE(SCD_Data!$I$3:$I$502&amp;""),SCD_Data!$I$3:$I$502)&gt;=IFERROR(DATEVALUE(A163&amp;""),A163))*(ROW(SCD_Data!$A$3:$A$502)-2))),"—"))</f>
        <v/>
      </c>
      <c r="J163" s="26" t="str">
        <f aca="false">IF(A163="","",IFERROR(INDEX(SCD_Data!$E$3:$E$502,SUMPRODUCT((SCD_Data!$A$3:$A$502=B163)*(IFERROR(DATEVALUE(SCD_Data!$H$3:$H$502&amp;""),SCD_Data!$H$3:$H$502)&lt;=IFERROR(DATEVALUE(A163&amp;""),A163))*(IFERROR(DATEVALUE(SCD_Data!$I$3:$I$502&amp;""),SCD_Data!$I$3:$I$502)&gt;=IFERROR(DATEVALUE(A163&amp;""),A163))*(ROW(SCD_Data!$A$3:$A$502)-2))),"—"))</f>
        <v/>
      </c>
      <c r="K163" s="25" t="str">
        <f aca="false">IF(A163="","",IFERROR(INDEX(SCD_Data!$F$3:$F$502,SUMPRODUCT((SCD_Data!$A$3:$A$502=B163)*(IFERROR(DATEVALUE(SCD_Data!$H$3:$H$502&amp;""),SCD_Data!$H$3:$H$502)&lt;=IFERROR(DATEVALUE(A163&amp;""),A163))*(IFERROR(DATEVALUE(SCD_Data!$I$3:$I$502&amp;""),SCD_Data!$I$3:$I$502)&gt;=IFERROR(DATEVALUE(A163&amp;""),A163))*(ROW(SCD_Data!$A$3:$A$502)-2))),"—"))</f>
        <v/>
      </c>
      <c r="L163" s="25" t="str">
        <f aca="false">IF(A163="","",IFERROR(INDEX(SCD_Data!$G$3:$G$502,SUMPRODUCT((SCD_Data!$A$3:$A$502=B163)*(IFERROR(DATEVALUE(SCD_Data!$H$3:$H$502&amp;""),SCD_Data!$H$3:$H$502)&lt;=IFERROR(DATEVALUE(A163&amp;""),A163))*(IFERROR(DATEVALUE(SCD_Data!$I$3:$I$502&amp;""),SCD_Data!$I$3:$I$502)&gt;=IFERROR(DATEVALUE(A163&amp;""),A163))*(ROW(SCD_Data!$A$3:$A$502)-2))),"—"))</f>
        <v/>
      </c>
      <c r="M163" s="27" t="str">
        <f aca="false">IF(A163="","",IF(H163="—","—",IF(C163&amp;""=H163&amp;"","✓","✗")))</f>
        <v/>
      </c>
      <c r="N163" s="27" t="str">
        <f aca="false">IF(A163="","",IF(H163="—","—",IF(D163&amp;""=I163&amp;"","✓","✗")))</f>
        <v/>
      </c>
      <c r="O163" s="27" t="str">
        <f aca="false">IF(A163="","",IF(H163="—","—",IF(ABS(E163-J163)&lt;0.01,"✓","✗")))</f>
        <v/>
      </c>
      <c r="P163" s="27" t="str">
        <f aca="false">IF(A163="","",IF(H163="—","—",IF(F163&amp;""=K163&amp;"","✓","✗")))</f>
        <v/>
      </c>
      <c r="Q163" s="27" t="str">
        <f aca="false">IF(A163="","",IF(H163="—","—",IF(G163&amp;""=L163&amp;"","✓","✗")))</f>
        <v/>
      </c>
      <c r="R163" s="27" t="str">
        <f aca="false">IF(A163="","",IF(COUNTIF(M163:Q163,"—")=5,"⚠ NO SCD ROW",IF(COUNTIF(M163:Q163,"✗")&gt;0,"❌ MISMATCH","✅ MATCH")))</f>
        <v/>
      </c>
    </row>
    <row r="164" customFormat="false" ht="15" hidden="false" customHeight="true" outlineLevel="0" collapsed="false">
      <c r="A164" s="22" t="str">
        <f aca="false">IF(Daily_Data!A163="","",Daily_Data!A163)</f>
        <v/>
      </c>
      <c r="B164" s="23" t="str">
        <f aca="false">IF(Daily_Data!B163="","",Daily_Data!B163)</f>
        <v/>
      </c>
      <c r="C164" s="23" t="str">
        <f aca="false">IF(A164="","",Daily_Data!C163)</f>
        <v/>
      </c>
      <c r="D164" s="23" t="str">
        <f aca="false">IF(A164="","",Daily_Data!D163)</f>
        <v/>
      </c>
      <c r="E164" s="24" t="str">
        <f aca="false">IF(A164="","",Daily_Data!E163)</f>
        <v/>
      </c>
      <c r="F164" s="23" t="str">
        <f aca="false">IF(A164="","",Daily_Data!F163)</f>
        <v/>
      </c>
      <c r="G164" s="23" t="str">
        <f aca="false">IF(A164="","",Daily_Data!G163)</f>
        <v/>
      </c>
      <c r="H164" s="25" t="str">
        <f aca="false">IF(A164="","",IFERROR(INDEX(SCD_Data!$C$3:$C$502,SUMPRODUCT((SCD_Data!$A$3:$A$502=B164)*(IFERROR(DATEVALUE(SCD_Data!$H$3:$H$502&amp;""),SCD_Data!$H$3:$H$502)&lt;=IFERROR(DATEVALUE(A164&amp;""),A164))*(IFERROR(DATEVALUE(SCD_Data!$I$3:$I$502&amp;""),SCD_Data!$I$3:$I$502)&gt;=IFERROR(DATEVALUE(A164&amp;""),A164))*(ROW(SCD_Data!$A$3:$A$502)-2))),"—"))</f>
        <v/>
      </c>
      <c r="I164" s="25" t="str">
        <f aca="false">IF(A164="","",IFERROR(INDEX(SCD_Data!$D$3:$D$502,SUMPRODUCT((SCD_Data!$A$3:$A$502=B164)*(IFERROR(DATEVALUE(SCD_Data!$H$3:$H$502&amp;""),SCD_Data!$H$3:$H$502)&lt;=IFERROR(DATEVALUE(A164&amp;""),A164))*(IFERROR(DATEVALUE(SCD_Data!$I$3:$I$502&amp;""),SCD_Data!$I$3:$I$502)&gt;=IFERROR(DATEVALUE(A164&amp;""),A164))*(ROW(SCD_Data!$A$3:$A$502)-2))),"—"))</f>
        <v/>
      </c>
      <c r="J164" s="26" t="str">
        <f aca="false">IF(A164="","",IFERROR(INDEX(SCD_Data!$E$3:$E$502,SUMPRODUCT((SCD_Data!$A$3:$A$502=B164)*(IFERROR(DATEVALUE(SCD_Data!$H$3:$H$502&amp;""),SCD_Data!$H$3:$H$502)&lt;=IFERROR(DATEVALUE(A164&amp;""),A164))*(IFERROR(DATEVALUE(SCD_Data!$I$3:$I$502&amp;""),SCD_Data!$I$3:$I$502)&gt;=IFERROR(DATEVALUE(A164&amp;""),A164))*(ROW(SCD_Data!$A$3:$A$502)-2))),"—"))</f>
        <v/>
      </c>
      <c r="K164" s="25" t="str">
        <f aca="false">IF(A164="","",IFERROR(INDEX(SCD_Data!$F$3:$F$502,SUMPRODUCT((SCD_Data!$A$3:$A$502=B164)*(IFERROR(DATEVALUE(SCD_Data!$H$3:$H$502&amp;""),SCD_Data!$H$3:$H$502)&lt;=IFERROR(DATEVALUE(A164&amp;""),A164))*(IFERROR(DATEVALUE(SCD_Data!$I$3:$I$502&amp;""),SCD_Data!$I$3:$I$502)&gt;=IFERROR(DATEVALUE(A164&amp;""),A164))*(ROW(SCD_Data!$A$3:$A$502)-2))),"—"))</f>
        <v/>
      </c>
      <c r="L164" s="25" t="str">
        <f aca="false">IF(A164="","",IFERROR(INDEX(SCD_Data!$G$3:$G$502,SUMPRODUCT((SCD_Data!$A$3:$A$502=B164)*(IFERROR(DATEVALUE(SCD_Data!$H$3:$H$502&amp;""),SCD_Data!$H$3:$H$502)&lt;=IFERROR(DATEVALUE(A164&amp;""),A164))*(IFERROR(DATEVALUE(SCD_Data!$I$3:$I$502&amp;""),SCD_Data!$I$3:$I$502)&gt;=IFERROR(DATEVALUE(A164&amp;""),A164))*(ROW(SCD_Data!$A$3:$A$502)-2))),"—"))</f>
        <v/>
      </c>
      <c r="M164" s="27" t="str">
        <f aca="false">IF(A164="","",IF(H164="—","—",IF(C164&amp;""=H164&amp;"","✓","✗")))</f>
        <v/>
      </c>
      <c r="N164" s="27" t="str">
        <f aca="false">IF(A164="","",IF(H164="—","—",IF(D164&amp;""=I164&amp;"","✓","✗")))</f>
        <v/>
      </c>
      <c r="O164" s="27" t="str">
        <f aca="false">IF(A164="","",IF(H164="—","—",IF(ABS(E164-J164)&lt;0.01,"✓","✗")))</f>
        <v/>
      </c>
      <c r="P164" s="27" t="str">
        <f aca="false">IF(A164="","",IF(H164="—","—",IF(F164&amp;""=K164&amp;"","✓","✗")))</f>
        <v/>
      </c>
      <c r="Q164" s="27" t="str">
        <f aca="false">IF(A164="","",IF(H164="—","—",IF(G164&amp;""=L164&amp;"","✓","✗")))</f>
        <v/>
      </c>
      <c r="R164" s="27" t="str">
        <f aca="false">IF(A164="","",IF(COUNTIF(M164:Q164,"—")=5,"⚠ NO SCD ROW",IF(COUNTIF(M164:Q164,"✗")&gt;0,"❌ MISMATCH","✅ MATCH")))</f>
        <v/>
      </c>
    </row>
    <row r="165" customFormat="false" ht="15" hidden="false" customHeight="true" outlineLevel="0" collapsed="false">
      <c r="A165" s="22" t="str">
        <f aca="false">IF(Daily_Data!A164="","",Daily_Data!A164)</f>
        <v/>
      </c>
      <c r="B165" s="23" t="str">
        <f aca="false">IF(Daily_Data!B164="","",Daily_Data!B164)</f>
        <v/>
      </c>
      <c r="C165" s="23" t="str">
        <f aca="false">IF(A165="","",Daily_Data!C164)</f>
        <v/>
      </c>
      <c r="D165" s="23" t="str">
        <f aca="false">IF(A165="","",Daily_Data!D164)</f>
        <v/>
      </c>
      <c r="E165" s="24" t="str">
        <f aca="false">IF(A165="","",Daily_Data!E164)</f>
        <v/>
      </c>
      <c r="F165" s="23" t="str">
        <f aca="false">IF(A165="","",Daily_Data!F164)</f>
        <v/>
      </c>
      <c r="G165" s="23" t="str">
        <f aca="false">IF(A165="","",Daily_Data!G164)</f>
        <v/>
      </c>
      <c r="H165" s="25" t="str">
        <f aca="false">IF(A165="","",IFERROR(INDEX(SCD_Data!$C$3:$C$502,SUMPRODUCT((SCD_Data!$A$3:$A$502=B165)*(IFERROR(DATEVALUE(SCD_Data!$H$3:$H$502&amp;""),SCD_Data!$H$3:$H$502)&lt;=IFERROR(DATEVALUE(A165&amp;""),A165))*(IFERROR(DATEVALUE(SCD_Data!$I$3:$I$502&amp;""),SCD_Data!$I$3:$I$502)&gt;=IFERROR(DATEVALUE(A165&amp;""),A165))*(ROW(SCD_Data!$A$3:$A$502)-2))),"—"))</f>
        <v/>
      </c>
      <c r="I165" s="25" t="str">
        <f aca="false">IF(A165="","",IFERROR(INDEX(SCD_Data!$D$3:$D$502,SUMPRODUCT((SCD_Data!$A$3:$A$502=B165)*(IFERROR(DATEVALUE(SCD_Data!$H$3:$H$502&amp;""),SCD_Data!$H$3:$H$502)&lt;=IFERROR(DATEVALUE(A165&amp;""),A165))*(IFERROR(DATEVALUE(SCD_Data!$I$3:$I$502&amp;""),SCD_Data!$I$3:$I$502)&gt;=IFERROR(DATEVALUE(A165&amp;""),A165))*(ROW(SCD_Data!$A$3:$A$502)-2))),"—"))</f>
        <v/>
      </c>
      <c r="J165" s="26" t="str">
        <f aca="false">IF(A165="","",IFERROR(INDEX(SCD_Data!$E$3:$E$502,SUMPRODUCT((SCD_Data!$A$3:$A$502=B165)*(IFERROR(DATEVALUE(SCD_Data!$H$3:$H$502&amp;""),SCD_Data!$H$3:$H$502)&lt;=IFERROR(DATEVALUE(A165&amp;""),A165))*(IFERROR(DATEVALUE(SCD_Data!$I$3:$I$502&amp;""),SCD_Data!$I$3:$I$502)&gt;=IFERROR(DATEVALUE(A165&amp;""),A165))*(ROW(SCD_Data!$A$3:$A$502)-2))),"—"))</f>
        <v/>
      </c>
      <c r="K165" s="25" t="str">
        <f aca="false">IF(A165="","",IFERROR(INDEX(SCD_Data!$F$3:$F$502,SUMPRODUCT((SCD_Data!$A$3:$A$502=B165)*(IFERROR(DATEVALUE(SCD_Data!$H$3:$H$502&amp;""),SCD_Data!$H$3:$H$502)&lt;=IFERROR(DATEVALUE(A165&amp;""),A165))*(IFERROR(DATEVALUE(SCD_Data!$I$3:$I$502&amp;""),SCD_Data!$I$3:$I$502)&gt;=IFERROR(DATEVALUE(A165&amp;""),A165))*(ROW(SCD_Data!$A$3:$A$502)-2))),"—"))</f>
        <v/>
      </c>
      <c r="L165" s="25" t="str">
        <f aca="false">IF(A165="","",IFERROR(INDEX(SCD_Data!$G$3:$G$502,SUMPRODUCT((SCD_Data!$A$3:$A$502=B165)*(IFERROR(DATEVALUE(SCD_Data!$H$3:$H$502&amp;""),SCD_Data!$H$3:$H$502)&lt;=IFERROR(DATEVALUE(A165&amp;""),A165))*(IFERROR(DATEVALUE(SCD_Data!$I$3:$I$502&amp;""),SCD_Data!$I$3:$I$502)&gt;=IFERROR(DATEVALUE(A165&amp;""),A165))*(ROW(SCD_Data!$A$3:$A$502)-2))),"—"))</f>
        <v/>
      </c>
      <c r="M165" s="27" t="str">
        <f aca="false">IF(A165="","",IF(H165="—","—",IF(C165&amp;""=H165&amp;"","✓","✗")))</f>
        <v/>
      </c>
      <c r="N165" s="27" t="str">
        <f aca="false">IF(A165="","",IF(H165="—","—",IF(D165&amp;""=I165&amp;"","✓","✗")))</f>
        <v/>
      </c>
      <c r="O165" s="27" t="str">
        <f aca="false">IF(A165="","",IF(H165="—","—",IF(ABS(E165-J165)&lt;0.01,"✓","✗")))</f>
        <v/>
      </c>
      <c r="P165" s="27" t="str">
        <f aca="false">IF(A165="","",IF(H165="—","—",IF(F165&amp;""=K165&amp;"","✓","✗")))</f>
        <v/>
      </c>
      <c r="Q165" s="27" t="str">
        <f aca="false">IF(A165="","",IF(H165="—","—",IF(G165&amp;""=L165&amp;"","✓","✗")))</f>
        <v/>
      </c>
      <c r="R165" s="27" t="str">
        <f aca="false">IF(A165="","",IF(COUNTIF(M165:Q165,"—")=5,"⚠ NO SCD ROW",IF(COUNTIF(M165:Q165,"✗")&gt;0,"❌ MISMATCH","✅ MATCH")))</f>
        <v/>
      </c>
    </row>
    <row r="166" customFormat="false" ht="15" hidden="false" customHeight="true" outlineLevel="0" collapsed="false">
      <c r="A166" s="22" t="str">
        <f aca="false">IF(Daily_Data!A165="","",Daily_Data!A165)</f>
        <v/>
      </c>
      <c r="B166" s="23" t="str">
        <f aca="false">IF(Daily_Data!B165="","",Daily_Data!B165)</f>
        <v/>
      </c>
      <c r="C166" s="23" t="str">
        <f aca="false">IF(A166="","",Daily_Data!C165)</f>
        <v/>
      </c>
      <c r="D166" s="23" t="str">
        <f aca="false">IF(A166="","",Daily_Data!D165)</f>
        <v/>
      </c>
      <c r="E166" s="24" t="str">
        <f aca="false">IF(A166="","",Daily_Data!E165)</f>
        <v/>
      </c>
      <c r="F166" s="23" t="str">
        <f aca="false">IF(A166="","",Daily_Data!F165)</f>
        <v/>
      </c>
      <c r="G166" s="23" t="str">
        <f aca="false">IF(A166="","",Daily_Data!G165)</f>
        <v/>
      </c>
      <c r="H166" s="25" t="str">
        <f aca="false">IF(A166="","",IFERROR(INDEX(SCD_Data!$C$3:$C$502,SUMPRODUCT((SCD_Data!$A$3:$A$502=B166)*(IFERROR(DATEVALUE(SCD_Data!$H$3:$H$502&amp;""),SCD_Data!$H$3:$H$502)&lt;=IFERROR(DATEVALUE(A166&amp;""),A166))*(IFERROR(DATEVALUE(SCD_Data!$I$3:$I$502&amp;""),SCD_Data!$I$3:$I$502)&gt;=IFERROR(DATEVALUE(A166&amp;""),A166))*(ROW(SCD_Data!$A$3:$A$502)-2))),"—"))</f>
        <v/>
      </c>
      <c r="I166" s="25" t="str">
        <f aca="false">IF(A166="","",IFERROR(INDEX(SCD_Data!$D$3:$D$502,SUMPRODUCT((SCD_Data!$A$3:$A$502=B166)*(IFERROR(DATEVALUE(SCD_Data!$H$3:$H$502&amp;""),SCD_Data!$H$3:$H$502)&lt;=IFERROR(DATEVALUE(A166&amp;""),A166))*(IFERROR(DATEVALUE(SCD_Data!$I$3:$I$502&amp;""),SCD_Data!$I$3:$I$502)&gt;=IFERROR(DATEVALUE(A166&amp;""),A166))*(ROW(SCD_Data!$A$3:$A$502)-2))),"—"))</f>
        <v/>
      </c>
      <c r="J166" s="26" t="str">
        <f aca="false">IF(A166="","",IFERROR(INDEX(SCD_Data!$E$3:$E$502,SUMPRODUCT((SCD_Data!$A$3:$A$502=B166)*(IFERROR(DATEVALUE(SCD_Data!$H$3:$H$502&amp;""),SCD_Data!$H$3:$H$502)&lt;=IFERROR(DATEVALUE(A166&amp;""),A166))*(IFERROR(DATEVALUE(SCD_Data!$I$3:$I$502&amp;""),SCD_Data!$I$3:$I$502)&gt;=IFERROR(DATEVALUE(A166&amp;""),A166))*(ROW(SCD_Data!$A$3:$A$502)-2))),"—"))</f>
        <v/>
      </c>
      <c r="K166" s="25" t="str">
        <f aca="false">IF(A166="","",IFERROR(INDEX(SCD_Data!$F$3:$F$502,SUMPRODUCT((SCD_Data!$A$3:$A$502=B166)*(IFERROR(DATEVALUE(SCD_Data!$H$3:$H$502&amp;""),SCD_Data!$H$3:$H$502)&lt;=IFERROR(DATEVALUE(A166&amp;""),A166))*(IFERROR(DATEVALUE(SCD_Data!$I$3:$I$502&amp;""),SCD_Data!$I$3:$I$502)&gt;=IFERROR(DATEVALUE(A166&amp;""),A166))*(ROW(SCD_Data!$A$3:$A$502)-2))),"—"))</f>
        <v/>
      </c>
      <c r="L166" s="25" t="str">
        <f aca="false">IF(A166="","",IFERROR(INDEX(SCD_Data!$G$3:$G$502,SUMPRODUCT((SCD_Data!$A$3:$A$502=B166)*(IFERROR(DATEVALUE(SCD_Data!$H$3:$H$502&amp;""),SCD_Data!$H$3:$H$502)&lt;=IFERROR(DATEVALUE(A166&amp;""),A166))*(IFERROR(DATEVALUE(SCD_Data!$I$3:$I$502&amp;""),SCD_Data!$I$3:$I$502)&gt;=IFERROR(DATEVALUE(A166&amp;""),A166))*(ROW(SCD_Data!$A$3:$A$502)-2))),"—"))</f>
        <v/>
      </c>
      <c r="M166" s="27" t="str">
        <f aca="false">IF(A166="","",IF(H166="—","—",IF(C166&amp;""=H166&amp;"","✓","✗")))</f>
        <v/>
      </c>
      <c r="N166" s="27" t="str">
        <f aca="false">IF(A166="","",IF(H166="—","—",IF(D166&amp;""=I166&amp;"","✓","✗")))</f>
        <v/>
      </c>
      <c r="O166" s="27" t="str">
        <f aca="false">IF(A166="","",IF(H166="—","—",IF(ABS(E166-J166)&lt;0.01,"✓","✗")))</f>
        <v/>
      </c>
      <c r="P166" s="27" t="str">
        <f aca="false">IF(A166="","",IF(H166="—","—",IF(F166&amp;""=K166&amp;"","✓","✗")))</f>
        <v/>
      </c>
      <c r="Q166" s="27" t="str">
        <f aca="false">IF(A166="","",IF(H166="—","—",IF(G166&amp;""=L166&amp;"","✓","✗")))</f>
        <v/>
      </c>
      <c r="R166" s="27" t="str">
        <f aca="false">IF(A166="","",IF(COUNTIF(M166:Q166,"—")=5,"⚠ NO SCD ROW",IF(COUNTIF(M166:Q166,"✗")&gt;0,"❌ MISMATCH","✅ MATCH")))</f>
        <v/>
      </c>
    </row>
    <row r="167" customFormat="false" ht="15" hidden="false" customHeight="true" outlineLevel="0" collapsed="false">
      <c r="A167" s="22" t="str">
        <f aca="false">IF(Daily_Data!A166="","",Daily_Data!A166)</f>
        <v/>
      </c>
      <c r="B167" s="23" t="str">
        <f aca="false">IF(Daily_Data!B166="","",Daily_Data!B166)</f>
        <v/>
      </c>
      <c r="C167" s="23" t="str">
        <f aca="false">IF(A167="","",Daily_Data!C166)</f>
        <v/>
      </c>
      <c r="D167" s="23" t="str">
        <f aca="false">IF(A167="","",Daily_Data!D166)</f>
        <v/>
      </c>
      <c r="E167" s="24" t="str">
        <f aca="false">IF(A167="","",Daily_Data!E166)</f>
        <v/>
      </c>
      <c r="F167" s="23" t="str">
        <f aca="false">IF(A167="","",Daily_Data!F166)</f>
        <v/>
      </c>
      <c r="G167" s="23" t="str">
        <f aca="false">IF(A167="","",Daily_Data!G166)</f>
        <v/>
      </c>
      <c r="H167" s="25" t="str">
        <f aca="false">IF(A167="","",IFERROR(INDEX(SCD_Data!$C$3:$C$502,SUMPRODUCT((SCD_Data!$A$3:$A$502=B167)*(IFERROR(DATEVALUE(SCD_Data!$H$3:$H$502&amp;""),SCD_Data!$H$3:$H$502)&lt;=IFERROR(DATEVALUE(A167&amp;""),A167))*(IFERROR(DATEVALUE(SCD_Data!$I$3:$I$502&amp;""),SCD_Data!$I$3:$I$502)&gt;=IFERROR(DATEVALUE(A167&amp;""),A167))*(ROW(SCD_Data!$A$3:$A$502)-2))),"—"))</f>
        <v/>
      </c>
      <c r="I167" s="25" t="str">
        <f aca="false">IF(A167="","",IFERROR(INDEX(SCD_Data!$D$3:$D$502,SUMPRODUCT((SCD_Data!$A$3:$A$502=B167)*(IFERROR(DATEVALUE(SCD_Data!$H$3:$H$502&amp;""),SCD_Data!$H$3:$H$502)&lt;=IFERROR(DATEVALUE(A167&amp;""),A167))*(IFERROR(DATEVALUE(SCD_Data!$I$3:$I$502&amp;""),SCD_Data!$I$3:$I$502)&gt;=IFERROR(DATEVALUE(A167&amp;""),A167))*(ROW(SCD_Data!$A$3:$A$502)-2))),"—"))</f>
        <v/>
      </c>
      <c r="J167" s="26" t="str">
        <f aca="false">IF(A167="","",IFERROR(INDEX(SCD_Data!$E$3:$E$502,SUMPRODUCT((SCD_Data!$A$3:$A$502=B167)*(IFERROR(DATEVALUE(SCD_Data!$H$3:$H$502&amp;""),SCD_Data!$H$3:$H$502)&lt;=IFERROR(DATEVALUE(A167&amp;""),A167))*(IFERROR(DATEVALUE(SCD_Data!$I$3:$I$502&amp;""),SCD_Data!$I$3:$I$502)&gt;=IFERROR(DATEVALUE(A167&amp;""),A167))*(ROW(SCD_Data!$A$3:$A$502)-2))),"—"))</f>
        <v/>
      </c>
      <c r="K167" s="25" t="str">
        <f aca="false">IF(A167="","",IFERROR(INDEX(SCD_Data!$F$3:$F$502,SUMPRODUCT((SCD_Data!$A$3:$A$502=B167)*(IFERROR(DATEVALUE(SCD_Data!$H$3:$H$502&amp;""),SCD_Data!$H$3:$H$502)&lt;=IFERROR(DATEVALUE(A167&amp;""),A167))*(IFERROR(DATEVALUE(SCD_Data!$I$3:$I$502&amp;""),SCD_Data!$I$3:$I$502)&gt;=IFERROR(DATEVALUE(A167&amp;""),A167))*(ROW(SCD_Data!$A$3:$A$502)-2))),"—"))</f>
        <v/>
      </c>
      <c r="L167" s="25" t="str">
        <f aca="false">IF(A167="","",IFERROR(INDEX(SCD_Data!$G$3:$G$502,SUMPRODUCT((SCD_Data!$A$3:$A$502=B167)*(IFERROR(DATEVALUE(SCD_Data!$H$3:$H$502&amp;""),SCD_Data!$H$3:$H$502)&lt;=IFERROR(DATEVALUE(A167&amp;""),A167))*(IFERROR(DATEVALUE(SCD_Data!$I$3:$I$502&amp;""),SCD_Data!$I$3:$I$502)&gt;=IFERROR(DATEVALUE(A167&amp;""),A167))*(ROW(SCD_Data!$A$3:$A$502)-2))),"—"))</f>
        <v/>
      </c>
      <c r="M167" s="27" t="str">
        <f aca="false">IF(A167="","",IF(H167="—","—",IF(C167&amp;""=H167&amp;"","✓","✗")))</f>
        <v/>
      </c>
      <c r="N167" s="27" t="str">
        <f aca="false">IF(A167="","",IF(H167="—","—",IF(D167&amp;""=I167&amp;"","✓","✗")))</f>
        <v/>
      </c>
      <c r="O167" s="27" t="str">
        <f aca="false">IF(A167="","",IF(H167="—","—",IF(ABS(E167-J167)&lt;0.01,"✓","✗")))</f>
        <v/>
      </c>
      <c r="P167" s="27" t="str">
        <f aca="false">IF(A167="","",IF(H167="—","—",IF(F167&amp;""=K167&amp;"","✓","✗")))</f>
        <v/>
      </c>
      <c r="Q167" s="27" t="str">
        <f aca="false">IF(A167="","",IF(H167="—","—",IF(G167&amp;""=L167&amp;"","✓","✗")))</f>
        <v/>
      </c>
      <c r="R167" s="27" t="str">
        <f aca="false">IF(A167="","",IF(COUNTIF(M167:Q167,"—")=5,"⚠ NO SCD ROW",IF(COUNTIF(M167:Q167,"✗")&gt;0,"❌ MISMATCH","✅ MATCH")))</f>
        <v/>
      </c>
    </row>
    <row r="168" customFormat="false" ht="15" hidden="false" customHeight="true" outlineLevel="0" collapsed="false">
      <c r="A168" s="22" t="str">
        <f aca="false">IF(Daily_Data!A167="","",Daily_Data!A167)</f>
        <v/>
      </c>
      <c r="B168" s="23" t="str">
        <f aca="false">IF(Daily_Data!B167="","",Daily_Data!B167)</f>
        <v/>
      </c>
      <c r="C168" s="23" t="str">
        <f aca="false">IF(A168="","",Daily_Data!C167)</f>
        <v/>
      </c>
      <c r="D168" s="23" t="str">
        <f aca="false">IF(A168="","",Daily_Data!D167)</f>
        <v/>
      </c>
      <c r="E168" s="24" t="str">
        <f aca="false">IF(A168="","",Daily_Data!E167)</f>
        <v/>
      </c>
      <c r="F168" s="23" t="str">
        <f aca="false">IF(A168="","",Daily_Data!F167)</f>
        <v/>
      </c>
      <c r="G168" s="23" t="str">
        <f aca="false">IF(A168="","",Daily_Data!G167)</f>
        <v/>
      </c>
      <c r="H168" s="25" t="str">
        <f aca="false">IF(A168="","",IFERROR(INDEX(SCD_Data!$C$3:$C$502,SUMPRODUCT((SCD_Data!$A$3:$A$502=B168)*(IFERROR(DATEVALUE(SCD_Data!$H$3:$H$502&amp;""),SCD_Data!$H$3:$H$502)&lt;=IFERROR(DATEVALUE(A168&amp;""),A168))*(IFERROR(DATEVALUE(SCD_Data!$I$3:$I$502&amp;""),SCD_Data!$I$3:$I$502)&gt;=IFERROR(DATEVALUE(A168&amp;""),A168))*(ROW(SCD_Data!$A$3:$A$502)-2))),"—"))</f>
        <v/>
      </c>
      <c r="I168" s="25" t="str">
        <f aca="false">IF(A168="","",IFERROR(INDEX(SCD_Data!$D$3:$D$502,SUMPRODUCT((SCD_Data!$A$3:$A$502=B168)*(IFERROR(DATEVALUE(SCD_Data!$H$3:$H$502&amp;""),SCD_Data!$H$3:$H$502)&lt;=IFERROR(DATEVALUE(A168&amp;""),A168))*(IFERROR(DATEVALUE(SCD_Data!$I$3:$I$502&amp;""),SCD_Data!$I$3:$I$502)&gt;=IFERROR(DATEVALUE(A168&amp;""),A168))*(ROW(SCD_Data!$A$3:$A$502)-2))),"—"))</f>
        <v/>
      </c>
      <c r="J168" s="26" t="str">
        <f aca="false">IF(A168="","",IFERROR(INDEX(SCD_Data!$E$3:$E$502,SUMPRODUCT((SCD_Data!$A$3:$A$502=B168)*(IFERROR(DATEVALUE(SCD_Data!$H$3:$H$502&amp;""),SCD_Data!$H$3:$H$502)&lt;=IFERROR(DATEVALUE(A168&amp;""),A168))*(IFERROR(DATEVALUE(SCD_Data!$I$3:$I$502&amp;""),SCD_Data!$I$3:$I$502)&gt;=IFERROR(DATEVALUE(A168&amp;""),A168))*(ROW(SCD_Data!$A$3:$A$502)-2))),"—"))</f>
        <v/>
      </c>
      <c r="K168" s="25" t="str">
        <f aca="false">IF(A168="","",IFERROR(INDEX(SCD_Data!$F$3:$F$502,SUMPRODUCT((SCD_Data!$A$3:$A$502=B168)*(IFERROR(DATEVALUE(SCD_Data!$H$3:$H$502&amp;""),SCD_Data!$H$3:$H$502)&lt;=IFERROR(DATEVALUE(A168&amp;""),A168))*(IFERROR(DATEVALUE(SCD_Data!$I$3:$I$502&amp;""),SCD_Data!$I$3:$I$502)&gt;=IFERROR(DATEVALUE(A168&amp;""),A168))*(ROW(SCD_Data!$A$3:$A$502)-2))),"—"))</f>
        <v/>
      </c>
      <c r="L168" s="25" t="str">
        <f aca="false">IF(A168="","",IFERROR(INDEX(SCD_Data!$G$3:$G$502,SUMPRODUCT((SCD_Data!$A$3:$A$502=B168)*(IFERROR(DATEVALUE(SCD_Data!$H$3:$H$502&amp;""),SCD_Data!$H$3:$H$502)&lt;=IFERROR(DATEVALUE(A168&amp;""),A168))*(IFERROR(DATEVALUE(SCD_Data!$I$3:$I$502&amp;""),SCD_Data!$I$3:$I$502)&gt;=IFERROR(DATEVALUE(A168&amp;""),A168))*(ROW(SCD_Data!$A$3:$A$502)-2))),"—"))</f>
        <v/>
      </c>
      <c r="M168" s="27" t="str">
        <f aca="false">IF(A168="","",IF(H168="—","—",IF(C168&amp;""=H168&amp;"","✓","✗")))</f>
        <v/>
      </c>
      <c r="N168" s="27" t="str">
        <f aca="false">IF(A168="","",IF(H168="—","—",IF(D168&amp;""=I168&amp;"","✓","✗")))</f>
        <v/>
      </c>
      <c r="O168" s="27" t="str">
        <f aca="false">IF(A168="","",IF(H168="—","—",IF(ABS(E168-J168)&lt;0.01,"✓","✗")))</f>
        <v/>
      </c>
      <c r="P168" s="27" t="str">
        <f aca="false">IF(A168="","",IF(H168="—","—",IF(F168&amp;""=K168&amp;"","✓","✗")))</f>
        <v/>
      </c>
      <c r="Q168" s="27" t="str">
        <f aca="false">IF(A168="","",IF(H168="—","—",IF(G168&amp;""=L168&amp;"","✓","✗")))</f>
        <v/>
      </c>
      <c r="R168" s="27" t="str">
        <f aca="false">IF(A168="","",IF(COUNTIF(M168:Q168,"—")=5,"⚠ NO SCD ROW",IF(COUNTIF(M168:Q168,"✗")&gt;0,"❌ MISMATCH","✅ MATCH")))</f>
        <v/>
      </c>
    </row>
    <row r="169" customFormat="false" ht="15" hidden="false" customHeight="true" outlineLevel="0" collapsed="false">
      <c r="A169" s="22" t="str">
        <f aca="false">IF(Daily_Data!A168="","",Daily_Data!A168)</f>
        <v/>
      </c>
      <c r="B169" s="23" t="str">
        <f aca="false">IF(Daily_Data!B168="","",Daily_Data!B168)</f>
        <v/>
      </c>
      <c r="C169" s="23" t="str">
        <f aca="false">IF(A169="","",Daily_Data!C168)</f>
        <v/>
      </c>
      <c r="D169" s="23" t="str">
        <f aca="false">IF(A169="","",Daily_Data!D168)</f>
        <v/>
      </c>
      <c r="E169" s="24" t="str">
        <f aca="false">IF(A169="","",Daily_Data!E168)</f>
        <v/>
      </c>
      <c r="F169" s="23" t="str">
        <f aca="false">IF(A169="","",Daily_Data!F168)</f>
        <v/>
      </c>
      <c r="G169" s="23" t="str">
        <f aca="false">IF(A169="","",Daily_Data!G168)</f>
        <v/>
      </c>
      <c r="H169" s="25" t="str">
        <f aca="false">IF(A169="","",IFERROR(INDEX(SCD_Data!$C$3:$C$502,SUMPRODUCT((SCD_Data!$A$3:$A$502=B169)*(IFERROR(DATEVALUE(SCD_Data!$H$3:$H$502&amp;""),SCD_Data!$H$3:$H$502)&lt;=IFERROR(DATEVALUE(A169&amp;""),A169))*(IFERROR(DATEVALUE(SCD_Data!$I$3:$I$502&amp;""),SCD_Data!$I$3:$I$502)&gt;=IFERROR(DATEVALUE(A169&amp;""),A169))*(ROW(SCD_Data!$A$3:$A$502)-2))),"—"))</f>
        <v/>
      </c>
      <c r="I169" s="25" t="str">
        <f aca="false">IF(A169="","",IFERROR(INDEX(SCD_Data!$D$3:$D$502,SUMPRODUCT((SCD_Data!$A$3:$A$502=B169)*(IFERROR(DATEVALUE(SCD_Data!$H$3:$H$502&amp;""),SCD_Data!$H$3:$H$502)&lt;=IFERROR(DATEVALUE(A169&amp;""),A169))*(IFERROR(DATEVALUE(SCD_Data!$I$3:$I$502&amp;""),SCD_Data!$I$3:$I$502)&gt;=IFERROR(DATEVALUE(A169&amp;""),A169))*(ROW(SCD_Data!$A$3:$A$502)-2))),"—"))</f>
        <v/>
      </c>
      <c r="J169" s="26" t="str">
        <f aca="false">IF(A169="","",IFERROR(INDEX(SCD_Data!$E$3:$E$502,SUMPRODUCT((SCD_Data!$A$3:$A$502=B169)*(IFERROR(DATEVALUE(SCD_Data!$H$3:$H$502&amp;""),SCD_Data!$H$3:$H$502)&lt;=IFERROR(DATEVALUE(A169&amp;""),A169))*(IFERROR(DATEVALUE(SCD_Data!$I$3:$I$502&amp;""),SCD_Data!$I$3:$I$502)&gt;=IFERROR(DATEVALUE(A169&amp;""),A169))*(ROW(SCD_Data!$A$3:$A$502)-2))),"—"))</f>
        <v/>
      </c>
      <c r="K169" s="25" t="str">
        <f aca="false">IF(A169="","",IFERROR(INDEX(SCD_Data!$F$3:$F$502,SUMPRODUCT((SCD_Data!$A$3:$A$502=B169)*(IFERROR(DATEVALUE(SCD_Data!$H$3:$H$502&amp;""),SCD_Data!$H$3:$H$502)&lt;=IFERROR(DATEVALUE(A169&amp;""),A169))*(IFERROR(DATEVALUE(SCD_Data!$I$3:$I$502&amp;""),SCD_Data!$I$3:$I$502)&gt;=IFERROR(DATEVALUE(A169&amp;""),A169))*(ROW(SCD_Data!$A$3:$A$502)-2))),"—"))</f>
        <v/>
      </c>
      <c r="L169" s="25" t="str">
        <f aca="false">IF(A169="","",IFERROR(INDEX(SCD_Data!$G$3:$G$502,SUMPRODUCT((SCD_Data!$A$3:$A$502=B169)*(IFERROR(DATEVALUE(SCD_Data!$H$3:$H$502&amp;""),SCD_Data!$H$3:$H$502)&lt;=IFERROR(DATEVALUE(A169&amp;""),A169))*(IFERROR(DATEVALUE(SCD_Data!$I$3:$I$502&amp;""),SCD_Data!$I$3:$I$502)&gt;=IFERROR(DATEVALUE(A169&amp;""),A169))*(ROW(SCD_Data!$A$3:$A$502)-2))),"—"))</f>
        <v/>
      </c>
      <c r="M169" s="27" t="str">
        <f aca="false">IF(A169="","",IF(H169="—","—",IF(C169&amp;""=H169&amp;"","✓","✗")))</f>
        <v/>
      </c>
      <c r="N169" s="27" t="str">
        <f aca="false">IF(A169="","",IF(H169="—","—",IF(D169&amp;""=I169&amp;"","✓","✗")))</f>
        <v/>
      </c>
      <c r="O169" s="27" t="str">
        <f aca="false">IF(A169="","",IF(H169="—","—",IF(ABS(E169-J169)&lt;0.01,"✓","✗")))</f>
        <v/>
      </c>
      <c r="P169" s="27" t="str">
        <f aca="false">IF(A169="","",IF(H169="—","—",IF(F169&amp;""=K169&amp;"","✓","✗")))</f>
        <v/>
      </c>
      <c r="Q169" s="27" t="str">
        <f aca="false">IF(A169="","",IF(H169="—","—",IF(G169&amp;""=L169&amp;"","✓","✗")))</f>
        <v/>
      </c>
      <c r="R169" s="27" t="str">
        <f aca="false">IF(A169="","",IF(COUNTIF(M169:Q169,"—")=5,"⚠ NO SCD ROW",IF(COUNTIF(M169:Q169,"✗")&gt;0,"❌ MISMATCH","✅ MATCH")))</f>
        <v/>
      </c>
    </row>
    <row r="170" customFormat="false" ht="15" hidden="false" customHeight="true" outlineLevel="0" collapsed="false">
      <c r="A170" s="22" t="str">
        <f aca="false">IF(Daily_Data!A169="","",Daily_Data!A169)</f>
        <v/>
      </c>
      <c r="B170" s="23" t="str">
        <f aca="false">IF(Daily_Data!B169="","",Daily_Data!B169)</f>
        <v/>
      </c>
      <c r="C170" s="23" t="str">
        <f aca="false">IF(A170="","",Daily_Data!C169)</f>
        <v/>
      </c>
      <c r="D170" s="23" t="str">
        <f aca="false">IF(A170="","",Daily_Data!D169)</f>
        <v/>
      </c>
      <c r="E170" s="24" t="str">
        <f aca="false">IF(A170="","",Daily_Data!E169)</f>
        <v/>
      </c>
      <c r="F170" s="23" t="str">
        <f aca="false">IF(A170="","",Daily_Data!F169)</f>
        <v/>
      </c>
      <c r="G170" s="23" t="str">
        <f aca="false">IF(A170="","",Daily_Data!G169)</f>
        <v/>
      </c>
      <c r="H170" s="25" t="str">
        <f aca="false">IF(A170="","",IFERROR(INDEX(SCD_Data!$C$3:$C$502,SUMPRODUCT((SCD_Data!$A$3:$A$502=B170)*(IFERROR(DATEVALUE(SCD_Data!$H$3:$H$502&amp;""),SCD_Data!$H$3:$H$502)&lt;=IFERROR(DATEVALUE(A170&amp;""),A170))*(IFERROR(DATEVALUE(SCD_Data!$I$3:$I$502&amp;""),SCD_Data!$I$3:$I$502)&gt;=IFERROR(DATEVALUE(A170&amp;""),A170))*(ROW(SCD_Data!$A$3:$A$502)-2))),"—"))</f>
        <v/>
      </c>
      <c r="I170" s="25" t="str">
        <f aca="false">IF(A170="","",IFERROR(INDEX(SCD_Data!$D$3:$D$502,SUMPRODUCT((SCD_Data!$A$3:$A$502=B170)*(IFERROR(DATEVALUE(SCD_Data!$H$3:$H$502&amp;""),SCD_Data!$H$3:$H$502)&lt;=IFERROR(DATEVALUE(A170&amp;""),A170))*(IFERROR(DATEVALUE(SCD_Data!$I$3:$I$502&amp;""),SCD_Data!$I$3:$I$502)&gt;=IFERROR(DATEVALUE(A170&amp;""),A170))*(ROW(SCD_Data!$A$3:$A$502)-2))),"—"))</f>
        <v/>
      </c>
      <c r="J170" s="26" t="str">
        <f aca="false">IF(A170="","",IFERROR(INDEX(SCD_Data!$E$3:$E$502,SUMPRODUCT((SCD_Data!$A$3:$A$502=B170)*(IFERROR(DATEVALUE(SCD_Data!$H$3:$H$502&amp;""),SCD_Data!$H$3:$H$502)&lt;=IFERROR(DATEVALUE(A170&amp;""),A170))*(IFERROR(DATEVALUE(SCD_Data!$I$3:$I$502&amp;""),SCD_Data!$I$3:$I$502)&gt;=IFERROR(DATEVALUE(A170&amp;""),A170))*(ROW(SCD_Data!$A$3:$A$502)-2))),"—"))</f>
        <v/>
      </c>
      <c r="K170" s="25" t="str">
        <f aca="false">IF(A170="","",IFERROR(INDEX(SCD_Data!$F$3:$F$502,SUMPRODUCT((SCD_Data!$A$3:$A$502=B170)*(IFERROR(DATEVALUE(SCD_Data!$H$3:$H$502&amp;""),SCD_Data!$H$3:$H$502)&lt;=IFERROR(DATEVALUE(A170&amp;""),A170))*(IFERROR(DATEVALUE(SCD_Data!$I$3:$I$502&amp;""),SCD_Data!$I$3:$I$502)&gt;=IFERROR(DATEVALUE(A170&amp;""),A170))*(ROW(SCD_Data!$A$3:$A$502)-2))),"—"))</f>
        <v/>
      </c>
      <c r="L170" s="25" t="str">
        <f aca="false">IF(A170="","",IFERROR(INDEX(SCD_Data!$G$3:$G$502,SUMPRODUCT((SCD_Data!$A$3:$A$502=B170)*(IFERROR(DATEVALUE(SCD_Data!$H$3:$H$502&amp;""),SCD_Data!$H$3:$H$502)&lt;=IFERROR(DATEVALUE(A170&amp;""),A170))*(IFERROR(DATEVALUE(SCD_Data!$I$3:$I$502&amp;""),SCD_Data!$I$3:$I$502)&gt;=IFERROR(DATEVALUE(A170&amp;""),A170))*(ROW(SCD_Data!$A$3:$A$502)-2))),"—"))</f>
        <v/>
      </c>
      <c r="M170" s="27" t="str">
        <f aca="false">IF(A170="","",IF(H170="—","—",IF(C170&amp;""=H170&amp;"","✓","✗")))</f>
        <v/>
      </c>
      <c r="N170" s="27" t="str">
        <f aca="false">IF(A170="","",IF(H170="—","—",IF(D170&amp;""=I170&amp;"","✓","✗")))</f>
        <v/>
      </c>
      <c r="O170" s="27" t="str">
        <f aca="false">IF(A170="","",IF(H170="—","—",IF(ABS(E170-J170)&lt;0.01,"✓","✗")))</f>
        <v/>
      </c>
      <c r="P170" s="27" t="str">
        <f aca="false">IF(A170="","",IF(H170="—","—",IF(F170&amp;""=K170&amp;"","✓","✗")))</f>
        <v/>
      </c>
      <c r="Q170" s="27" t="str">
        <f aca="false">IF(A170="","",IF(H170="—","—",IF(G170&amp;""=L170&amp;"","✓","✗")))</f>
        <v/>
      </c>
      <c r="R170" s="27" t="str">
        <f aca="false">IF(A170="","",IF(COUNTIF(M170:Q170,"—")=5,"⚠ NO SCD ROW",IF(COUNTIF(M170:Q170,"✗")&gt;0,"❌ MISMATCH","✅ MATCH")))</f>
        <v/>
      </c>
    </row>
    <row r="171" customFormat="false" ht="15" hidden="false" customHeight="true" outlineLevel="0" collapsed="false">
      <c r="A171" s="22" t="str">
        <f aca="false">IF(Daily_Data!A170="","",Daily_Data!A170)</f>
        <v/>
      </c>
      <c r="B171" s="23" t="str">
        <f aca="false">IF(Daily_Data!B170="","",Daily_Data!B170)</f>
        <v/>
      </c>
      <c r="C171" s="23" t="str">
        <f aca="false">IF(A171="","",Daily_Data!C170)</f>
        <v/>
      </c>
      <c r="D171" s="23" t="str">
        <f aca="false">IF(A171="","",Daily_Data!D170)</f>
        <v/>
      </c>
      <c r="E171" s="24" t="str">
        <f aca="false">IF(A171="","",Daily_Data!E170)</f>
        <v/>
      </c>
      <c r="F171" s="23" t="str">
        <f aca="false">IF(A171="","",Daily_Data!F170)</f>
        <v/>
      </c>
      <c r="G171" s="23" t="str">
        <f aca="false">IF(A171="","",Daily_Data!G170)</f>
        <v/>
      </c>
      <c r="H171" s="25" t="str">
        <f aca="false">IF(A171="","",IFERROR(INDEX(SCD_Data!$C$3:$C$502,SUMPRODUCT((SCD_Data!$A$3:$A$502=B171)*(IFERROR(DATEVALUE(SCD_Data!$H$3:$H$502&amp;""),SCD_Data!$H$3:$H$502)&lt;=IFERROR(DATEVALUE(A171&amp;""),A171))*(IFERROR(DATEVALUE(SCD_Data!$I$3:$I$502&amp;""),SCD_Data!$I$3:$I$502)&gt;=IFERROR(DATEVALUE(A171&amp;""),A171))*(ROW(SCD_Data!$A$3:$A$502)-2))),"—"))</f>
        <v/>
      </c>
      <c r="I171" s="25" t="str">
        <f aca="false">IF(A171="","",IFERROR(INDEX(SCD_Data!$D$3:$D$502,SUMPRODUCT((SCD_Data!$A$3:$A$502=B171)*(IFERROR(DATEVALUE(SCD_Data!$H$3:$H$502&amp;""),SCD_Data!$H$3:$H$502)&lt;=IFERROR(DATEVALUE(A171&amp;""),A171))*(IFERROR(DATEVALUE(SCD_Data!$I$3:$I$502&amp;""),SCD_Data!$I$3:$I$502)&gt;=IFERROR(DATEVALUE(A171&amp;""),A171))*(ROW(SCD_Data!$A$3:$A$502)-2))),"—"))</f>
        <v/>
      </c>
      <c r="J171" s="26" t="str">
        <f aca="false">IF(A171="","",IFERROR(INDEX(SCD_Data!$E$3:$E$502,SUMPRODUCT((SCD_Data!$A$3:$A$502=B171)*(IFERROR(DATEVALUE(SCD_Data!$H$3:$H$502&amp;""),SCD_Data!$H$3:$H$502)&lt;=IFERROR(DATEVALUE(A171&amp;""),A171))*(IFERROR(DATEVALUE(SCD_Data!$I$3:$I$502&amp;""),SCD_Data!$I$3:$I$502)&gt;=IFERROR(DATEVALUE(A171&amp;""),A171))*(ROW(SCD_Data!$A$3:$A$502)-2))),"—"))</f>
        <v/>
      </c>
      <c r="K171" s="25" t="str">
        <f aca="false">IF(A171="","",IFERROR(INDEX(SCD_Data!$F$3:$F$502,SUMPRODUCT((SCD_Data!$A$3:$A$502=B171)*(IFERROR(DATEVALUE(SCD_Data!$H$3:$H$502&amp;""),SCD_Data!$H$3:$H$502)&lt;=IFERROR(DATEVALUE(A171&amp;""),A171))*(IFERROR(DATEVALUE(SCD_Data!$I$3:$I$502&amp;""),SCD_Data!$I$3:$I$502)&gt;=IFERROR(DATEVALUE(A171&amp;""),A171))*(ROW(SCD_Data!$A$3:$A$502)-2))),"—"))</f>
        <v/>
      </c>
      <c r="L171" s="25" t="str">
        <f aca="false">IF(A171="","",IFERROR(INDEX(SCD_Data!$G$3:$G$502,SUMPRODUCT((SCD_Data!$A$3:$A$502=B171)*(IFERROR(DATEVALUE(SCD_Data!$H$3:$H$502&amp;""),SCD_Data!$H$3:$H$502)&lt;=IFERROR(DATEVALUE(A171&amp;""),A171))*(IFERROR(DATEVALUE(SCD_Data!$I$3:$I$502&amp;""),SCD_Data!$I$3:$I$502)&gt;=IFERROR(DATEVALUE(A171&amp;""),A171))*(ROW(SCD_Data!$A$3:$A$502)-2))),"—"))</f>
        <v/>
      </c>
      <c r="M171" s="27" t="str">
        <f aca="false">IF(A171="","",IF(H171="—","—",IF(C171&amp;""=H171&amp;"","✓","✗")))</f>
        <v/>
      </c>
      <c r="N171" s="27" t="str">
        <f aca="false">IF(A171="","",IF(H171="—","—",IF(D171&amp;""=I171&amp;"","✓","✗")))</f>
        <v/>
      </c>
      <c r="O171" s="27" t="str">
        <f aca="false">IF(A171="","",IF(H171="—","—",IF(ABS(E171-J171)&lt;0.01,"✓","✗")))</f>
        <v/>
      </c>
      <c r="P171" s="27" t="str">
        <f aca="false">IF(A171="","",IF(H171="—","—",IF(F171&amp;""=K171&amp;"","✓","✗")))</f>
        <v/>
      </c>
      <c r="Q171" s="27" t="str">
        <f aca="false">IF(A171="","",IF(H171="—","—",IF(G171&amp;""=L171&amp;"","✓","✗")))</f>
        <v/>
      </c>
      <c r="R171" s="27" t="str">
        <f aca="false">IF(A171="","",IF(COUNTIF(M171:Q171,"—")=5,"⚠ NO SCD ROW",IF(COUNTIF(M171:Q171,"✗")&gt;0,"❌ MISMATCH","✅ MATCH")))</f>
        <v/>
      </c>
    </row>
    <row r="172" customFormat="false" ht="15" hidden="false" customHeight="true" outlineLevel="0" collapsed="false">
      <c r="A172" s="22" t="str">
        <f aca="false">IF(Daily_Data!A171="","",Daily_Data!A171)</f>
        <v/>
      </c>
      <c r="B172" s="23" t="str">
        <f aca="false">IF(Daily_Data!B171="","",Daily_Data!B171)</f>
        <v/>
      </c>
      <c r="C172" s="23" t="str">
        <f aca="false">IF(A172="","",Daily_Data!C171)</f>
        <v/>
      </c>
      <c r="D172" s="23" t="str">
        <f aca="false">IF(A172="","",Daily_Data!D171)</f>
        <v/>
      </c>
      <c r="E172" s="24" t="str">
        <f aca="false">IF(A172="","",Daily_Data!E171)</f>
        <v/>
      </c>
      <c r="F172" s="23" t="str">
        <f aca="false">IF(A172="","",Daily_Data!F171)</f>
        <v/>
      </c>
      <c r="G172" s="23" t="str">
        <f aca="false">IF(A172="","",Daily_Data!G171)</f>
        <v/>
      </c>
      <c r="H172" s="25" t="str">
        <f aca="false">IF(A172="","",IFERROR(INDEX(SCD_Data!$C$3:$C$502,SUMPRODUCT((SCD_Data!$A$3:$A$502=B172)*(IFERROR(DATEVALUE(SCD_Data!$H$3:$H$502&amp;""),SCD_Data!$H$3:$H$502)&lt;=IFERROR(DATEVALUE(A172&amp;""),A172))*(IFERROR(DATEVALUE(SCD_Data!$I$3:$I$502&amp;""),SCD_Data!$I$3:$I$502)&gt;=IFERROR(DATEVALUE(A172&amp;""),A172))*(ROW(SCD_Data!$A$3:$A$502)-2))),"—"))</f>
        <v/>
      </c>
      <c r="I172" s="25" t="str">
        <f aca="false">IF(A172="","",IFERROR(INDEX(SCD_Data!$D$3:$D$502,SUMPRODUCT((SCD_Data!$A$3:$A$502=B172)*(IFERROR(DATEVALUE(SCD_Data!$H$3:$H$502&amp;""),SCD_Data!$H$3:$H$502)&lt;=IFERROR(DATEVALUE(A172&amp;""),A172))*(IFERROR(DATEVALUE(SCD_Data!$I$3:$I$502&amp;""),SCD_Data!$I$3:$I$502)&gt;=IFERROR(DATEVALUE(A172&amp;""),A172))*(ROW(SCD_Data!$A$3:$A$502)-2))),"—"))</f>
        <v/>
      </c>
      <c r="J172" s="26" t="str">
        <f aca="false">IF(A172="","",IFERROR(INDEX(SCD_Data!$E$3:$E$502,SUMPRODUCT((SCD_Data!$A$3:$A$502=B172)*(IFERROR(DATEVALUE(SCD_Data!$H$3:$H$502&amp;""),SCD_Data!$H$3:$H$502)&lt;=IFERROR(DATEVALUE(A172&amp;""),A172))*(IFERROR(DATEVALUE(SCD_Data!$I$3:$I$502&amp;""),SCD_Data!$I$3:$I$502)&gt;=IFERROR(DATEVALUE(A172&amp;""),A172))*(ROW(SCD_Data!$A$3:$A$502)-2))),"—"))</f>
        <v/>
      </c>
      <c r="K172" s="25" t="str">
        <f aca="false">IF(A172="","",IFERROR(INDEX(SCD_Data!$F$3:$F$502,SUMPRODUCT((SCD_Data!$A$3:$A$502=B172)*(IFERROR(DATEVALUE(SCD_Data!$H$3:$H$502&amp;""),SCD_Data!$H$3:$H$502)&lt;=IFERROR(DATEVALUE(A172&amp;""),A172))*(IFERROR(DATEVALUE(SCD_Data!$I$3:$I$502&amp;""),SCD_Data!$I$3:$I$502)&gt;=IFERROR(DATEVALUE(A172&amp;""),A172))*(ROW(SCD_Data!$A$3:$A$502)-2))),"—"))</f>
        <v/>
      </c>
      <c r="L172" s="25" t="str">
        <f aca="false">IF(A172="","",IFERROR(INDEX(SCD_Data!$G$3:$G$502,SUMPRODUCT((SCD_Data!$A$3:$A$502=B172)*(IFERROR(DATEVALUE(SCD_Data!$H$3:$H$502&amp;""),SCD_Data!$H$3:$H$502)&lt;=IFERROR(DATEVALUE(A172&amp;""),A172))*(IFERROR(DATEVALUE(SCD_Data!$I$3:$I$502&amp;""),SCD_Data!$I$3:$I$502)&gt;=IFERROR(DATEVALUE(A172&amp;""),A172))*(ROW(SCD_Data!$A$3:$A$502)-2))),"—"))</f>
        <v/>
      </c>
      <c r="M172" s="27" t="str">
        <f aca="false">IF(A172="","",IF(H172="—","—",IF(C172&amp;""=H172&amp;"","✓","✗")))</f>
        <v/>
      </c>
      <c r="N172" s="27" t="str">
        <f aca="false">IF(A172="","",IF(H172="—","—",IF(D172&amp;""=I172&amp;"","✓","✗")))</f>
        <v/>
      </c>
      <c r="O172" s="27" t="str">
        <f aca="false">IF(A172="","",IF(H172="—","—",IF(ABS(E172-J172)&lt;0.01,"✓","✗")))</f>
        <v/>
      </c>
      <c r="P172" s="27" t="str">
        <f aca="false">IF(A172="","",IF(H172="—","—",IF(F172&amp;""=K172&amp;"","✓","✗")))</f>
        <v/>
      </c>
      <c r="Q172" s="27" t="str">
        <f aca="false">IF(A172="","",IF(H172="—","—",IF(G172&amp;""=L172&amp;"","✓","✗")))</f>
        <v/>
      </c>
      <c r="R172" s="27" t="str">
        <f aca="false">IF(A172="","",IF(COUNTIF(M172:Q172,"—")=5,"⚠ NO SCD ROW",IF(COUNTIF(M172:Q172,"✗")&gt;0,"❌ MISMATCH","✅ MATCH")))</f>
        <v/>
      </c>
    </row>
    <row r="173" customFormat="false" ht="15" hidden="false" customHeight="true" outlineLevel="0" collapsed="false">
      <c r="A173" s="22" t="str">
        <f aca="false">IF(Daily_Data!A172="","",Daily_Data!A172)</f>
        <v/>
      </c>
      <c r="B173" s="23" t="str">
        <f aca="false">IF(Daily_Data!B172="","",Daily_Data!B172)</f>
        <v/>
      </c>
      <c r="C173" s="23" t="str">
        <f aca="false">IF(A173="","",Daily_Data!C172)</f>
        <v/>
      </c>
      <c r="D173" s="23" t="str">
        <f aca="false">IF(A173="","",Daily_Data!D172)</f>
        <v/>
      </c>
      <c r="E173" s="24" t="str">
        <f aca="false">IF(A173="","",Daily_Data!E172)</f>
        <v/>
      </c>
      <c r="F173" s="23" t="str">
        <f aca="false">IF(A173="","",Daily_Data!F172)</f>
        <v/>
      </c>
      <c r="G173" s="23" t="str">
        <f aca="false">IF(A173="","",Daily_Data!G172)</f>
        <v/>
      </c>
      <c r="H173" s="25" t="str">
        <f aca="false">IF(A173="","",IFERROR(INDEX(SCD_Data!$C$3:$C$502,SUMPRODUCT((SCD_Data!$A$3:$A$502=B173)*(IFERROR(DATEVALUE(SCD_Data!$H$3:$H$502&amp;""),SCD_Data!$H$3:$H$502)&lt;=IFERROR(DATEVALUE(A173&amp;""),A173))*(IFERROR(DATEVALUE(SCD_Data!$I$3:$I$502&amp;""),SCD_Data!$I$3:$I$502)&gt;=IFERROR(DATEVALUE(A173&amp;""),A173))*(ROW(SCD_Data!$A$3:$A$502)-2))),"—"))</f>
        <v/>
      </c>
      <c r="I173" s="25" t="str">
        <f aca="false">IF(A173="","",IFERROR(INDEX(SCD_Data!$D$3:$D$502,SUMPRODUCT((SCD_Data!$A$3:$A$502=B173)*(IFERROR(DATEVALUE(SCD_Data!$H$3:$H$502&amp;""),SCD_Data!$H$3:$H$502)&lt;=IFERROR(DATEVALUE(A173&amp;""),A173))*(IFERROR(DATEVALUE(SCD_Data!$I$3:$I$502&amp;""),SCD_Data!$I$3:$I$502)&gt;=IFERROR(DATEVALUE(A173&amp;""),A173))*(ROW(SCD_Data!$A$3:$A$502)-2))),"—"))</f>
        <v/>
      </c>
      <c r="J173" s="26" t="str">
        <f aca="false">IF(A173="","",IFERROR(INDEX(SCD_Data!$E$3:$E$502,SUMPRODUCT((SCD_Data!$A$3:$A$502=B173)*(IFERROR(DATEVALUE(SCD_Data!$H$3:$H$502&amp;""),SCD_Data!$H$3:$H$502)&lt;=IFERROR(DATEVALUE(A173&amp;""),A173))*(IFERROR(DATEVALUE(SCD_Data!$I$3:$I$502&amp;""),SCD_Data!$I$3:$I$502)&gt;=IFERROR(DATEVALUE(A173&amp;""),A173))*(ROW(SCD_Data!$A$3:$A$502)-2))),"—"))</f>
        <v/>
      </c>
      <c r="K173" s="25" t="str">
        <f aca="false">IF(A173="","",IFERROR(INDEX(SCD_Data!$F$3:$F$502,SUMPRODUCT((SCD_Data!$A$3:$A$502=B173)*(IFERROR(DATEVALUE(SCD_Data!$H$3:$H$502&amp;""),SCD_Data!$H$3:$H$502)&lt;=IFERROR(DATEVALUE(A173&amp;""),A173))*(IFERROR(DATEVALUE(SCD_Data!$I$3:$I$502&amp;""),SCD_Data!$I$3:$I$502)&gt;=IFERROR(DATEVALUE(A173&amp;""),A173))*(ROW(SCD_Data!$A$3:$A$502)-2))),"—"))</f>
        <v/>
      </c>
      <c r="L173" s="25" t="str">
        <f aca="false">IF(A173="","",IFERROR(INDEX(SCD_Data!$G$3:$G$502,SUMPRODUCT((SCD_Data!$A$3:$A$502=B173)*(IFERROR(DATEVALUE(SCD_Data!$H$3:$H$502&amp;""),SCD_Data!$H$3:$H$502)&lt;=IFERROR(DATEVALUE(A173&amp;""),A173))*(IFERROR(DATEVALUE(SCD_Data!$I$3:$I$502&amp;""),SCD_Data!$I$3:$I$502)&gt;=IFERROR(DATEVALUE(A173&amp;""),A173))*(ROW(SCD_Data!$A$3:$A$502)-2))),"—"))</f>
        <v/>
      </c>
      <c r="M173" s="27" t="str">
        <f aca="false">IF(A173="","",IF(H173="—","—",IF(C173&amp;""=H173&amp;"","✓","✗")))</f>
        <v/>
      </c>
      <c r="N173" s="27" t="str">
        <f aca="false">IF(A173="","",IF(H173="—","—",IF(D173&amp;""=I173&amp;"","✓","✗")))</f>
        <v/>
      </c>
      <c r="O173" s="27" t="str">
        <f aca="false">IF(A173="","",IF(H173="—","—",IF(ABS(E173-J173)&lt;0.01,"✓","✗")))</f>
        <v/>
      </c>
      <c r="P173" s="27" t="str">
        <f aca="false">IF(A173="","",IF(H173="—","—",IF(F173&amp;""=K173&amp;"","✓","✗")))</f>
        <v/>
      </c>
      <c r="Q173" s="27" t="str">
        <f aca="false">IF(A173="","",IF(H173="—","—",IF(G173&amp;""=L173&amp;"","✓","✗")))</f>
        <v/>
      </c>
      <c r="R173" s="27" t="str">
        <f aca="false">IF(A173="","",IF(COUNTIF(M173:Q173,"—")=5,"⚠ NO SCD ROW",IF(COUNTIF(M173:Q173,"✗")&gt;0,"❌ MISMATCH","✅ MATCH")))</f>
        <v/>
      </c>
    </row>
    <row r="174" customFormat="false" ht="15" hidden="false" customHeight="true" outlineLevel="0" collapsed="false">
      <c r="A174" s="22" t="str">
        <f aca="false">IF(Daily_Data!A173="","",Daily_Data!A173)</f>
        <v/>
      </c>
      <c r="B174" s="23" t="str">
        <f aca="false">IF(Daily_Data!B173="","",Daily_Data!B173)</f>
        <v/>
      </c>
      <c r="C174" s="23" t="str">
        <f aca="false">IF(A174="","",Daily_Data!C173)</f>
        <v/>
      </c>
      <c r="D174" s="23" t="str">
        <f aca="false">IF(A174="","",Daily_Data!D173)</f>
        <v/>
      </c>
      <c r="E174" s="24" t="str">
        <f aca="false">IF(A174="","",Daily_Data!E173)</f>
        <v/>
      </c>
      <c r="F174" s="23" t="str">
        <f aca="false">IF(A174="","",Daily_Data!F173)</f>
        <v/>
      </c>
      <c r="G174" s="23" t="str">
        <f aca="false">IF(A174="","",Daily_Data!G173)</f>
        <v/>
      </c>
      <c r="H174" s="25" t="str">
        <f aca="false">IF(A174="","",IFERROR(INDEX(SCD_Data!$C$3:$C$502,SUMPRODUCT((SCD_Data!$A$3:$A$502=B174)*(IFERROR(DATEVALUE(SCD_Data!$H$3:$H$502&amp;""),SCD_Data!$H$3:$H$502)&lt;=IFERROR(DATEVALUE(A174&amp;""),A174))*(IFERROR(DATEVALUE(SCD_Data!$I$3:$I$502&amp;""),SCD_Data!$I$3:$I$502)&gt;=IFERROR(DATEVALUE(A174&amp;""),A174))*(ROW(SCD_Data!$A$3:$A$502)-2))),"—"))</f>
        <v/>
      </c>
      <c r="I174" s="25" t="str">
        <f aca="false">IF(A174="","",IFERROR(INDEX(SCD_Data!$D$3:$D$502,SUMPRODUCT((SCD_Data!$A$3:$A$502=B174)*(IFERROR(DATEVALUE(SCD_Data!$H$3:$H$502&amp;""),SCD_Data!$H$3:$H$502)&lt;=IFERROR(DATEVALUE(A174&amp;""),A174))*(IFERROR(DATEVALUE(SCD_Data!$I$3:$I$502&amp;""),SCD_Data!$I$3:$I$502)&gt;=IFERROR(DATEVALUE(A174&amp;""),A174))*(ROW(SCD_Data!$A$3:$A$502)-2))),"—"))</f>
        <v/>
      </c>
      <c r="J174" s="26" t="str">
        <f aca="false">IF(A174="","",IFERROR(INDEX(SCD_Data!$E$3:$E$502,SUMPRODUCT((SCD_Data!$A$3:$A$502=B174)*(IFERROR(DATEVALUE(SCD_Data!$H$3:$H$502&amp;""),SCD_Data!$H$3:$H$502)&lt;=IFERROR(DATEVALUE(A174&amp;""),A174))*(IFERROR(DATEVALUE(SCD_Data!$I$3:$I$502&amp;""),SCD_Data!$I$3:$I$502)&gt;=IFERROR(DATEVALUE(A174&amp;""),A174))*(ROW(SCD_Data!$A$3:$A$502)-2))),"—"))</f>
        <v/>
      </c>
      <c r="K174" s="25" t="str">
        <f aca="false">IF(A174="","",IFERROR(INDEX(SCD_Data!$F$3:$F$502,SUMPRODUCT((SCD_Data!$A$3:$A$502=B174)*(IFERROR(DATEVALUE(SCD_Data!$H$3:$H$502&amp;""),SCD_Data!$H$3:$H$502)&lt;=IFERROR(DATEVALUE(A174&amp;""),A174))*(IFERROR(DATEVALUE(SCD_Data!$I$3:$I$502&amp;""),SCD_Data!$I$3:$I$502)&gt;=IFERROR(DATEVALUE(A174&amp;""),A174))*(ROW(SCD_Data!$A$3:$A$502)-2))),"—"))</f>
        <v/>
      </c>
      <c r="L174" s="25" t="str">
        <f aca="false">IF(A174="","",IFERROR(INDEX(SCD_Data!$G$3:$G$502,SUMPRODUCT((SCD_Data!$A$3:$A$502=B174)*(IFERROR(DATEVALUE(SCD_Data!$H$3:$H$502&amp;""),SCD_Data!$H$3:$H$502)&lt;=IFERROR(DATEVALUE(A174&amp;""),A174))*(IFERROR(DATEVALUE(SCD_Data!$I$3:$I$502&amp;""),SCD_Data!$I$3:$I$502)&gt;=IFERROR(DATEVALUE(A174&amp;""),A174))*(ROW(SCD_Data!$A$3:$A$502)-2))),"—"))</f>
        <v/>
      </c>
      <c r="M174" s="27" t="str">
        <f aca="false">IF(A174="","",IF(H174="—","—",IF(C174&amp;""=H174&amp;"","✓","✗")))</f>
        <v/>
      </c>
      <c r="N174" s="27" t="str">
        <f aca="false">IF(A174="","",IF(H174="—","—",IF(D174&amp;""=I174&amp;"","✓","✗")))</f>
        <v/>
      </c>
      <c r="O174" s="27" t="str">
        <f aca="false">IF(A174="","",IF(H174="—","—",IF(ABS(E174-J174)&lt;0.01,"✓","✗")))</f>
        <v/>
      </c>
      <c r="P174" s="27" t="str">
        <f aca="false">IF(A174="","",IF(H174="—","—",IF(F174&amp;""=K174&amp;"","✓","✗")))</f>
        <v/>
      </c>
      <c r="Q174" s="27" t="str">
        <f aca="false">IF(A174="","",IF(H174="—","—",IF(G174&amp;""=L174&amp;"","✓","✗")))</f>
        <v/>
      </c>
      <c r="R174" s="27" t="str">
        <f aca="false">IF(A174="","",IF(COUNTIF(M174:Q174,"—")=5,"⚠ NO SCD ROW",IF(COUNTIF(M174:Q174,"✗")&gt;0,"❌ MISMATCH","✅ MATCH")))</f>
        <v/>
      </c>
    </row>
    <row r="175" customFormat="false" ht="15" hidden="false" customHeight="true" outlineLevel="0" collapsed="false">
      <c r="A175" s="22" t="str">
        <f aca="false">IF(Daily_Data!A174="","",Daily_Data!A174)</f>
        <v/>
      </c>
      <c r="B175" s="23" t="str">
        <f aca="false">IF(Daily_Data!B174="","",Daily_Data!B174)</f>
        <v/>
      </c>
      <c r="C175" s="23" t="str">
        <f aca="false">IF(A175="","",Daily_Data!C174)</f>
        <v/>
      </c>
      <c r="D175" s="23" t="str">
        <f aca="false">IF(A175="","",Daily_Data!D174)</f>
        <v/>
      </c>
      <c r="E175" s="24" t="str">
        <f aca="false">IF(A175="","",Daily_Data!E174)</f>
        <v/>
      </c>
      <c r="F175" s="23" t="str">
        <f aca="false">IF(A175="","",Daily_Data!F174)</f>
        <v/>
      </c>
      <c r="G175" s="23" t="str">
        <f aca="false">IF(A175="","",Daily_Data!G174)</f>
        <v/>
      </c>
      <c r="H175" s="25" t="str">
        <f aca="false">IF(A175="","",IFERROR(INDEX(SCD_Data!$C$3:$C$502,SUMPRODUCT((SCD_Data!$A$3:$A$502=B175)*(IFERROR(DATEVALUE(SCD_Data!$H$3:$H$502&amp;""),SCD_Data!$H$3:$H$502)&lt;=IFERROR(DATEVALUE(A175&amp;""),A175))*(IFERROR(DATEVALUE(SCD_Data!$I$3:$I$502&amp;""),SCD_Data!$I$3:$I$502)&gt;=IFERROR(DATEVALUE(A175&amp;""),A175))*(ROW(SCD_Data!$A$3:$A$502)-2))),"—"))</f>
        <v/>
      </c>
      <c r="I175" s="25" t="str">
        <f aca="false">IF(A175="","",IFERROR(INDEX(SCD_Data!$D$3:$D$502,SUMPRODUCT((SCD_Data!$A$3:$A$502=B175)*(IFERROR(DATEVALUE(SCD_Data!$H$3:$H$502&amp;""),SCD_Data!$H$3:$H$502)&lt;=IFERROR(DATEVALUE(A175&amp;""),A175))*(IFERROR(DATEVALUE(SCD_Data!$I$3:$I$502&amp;""),SCD_Data!$I$3:$I$502)&gt;=IFERROR(DATEVALUE(A175&amp;""),A175))*(ROW(SCD_Data!$A$3:$A$502)-2))),"—"))</f>
        <v/>
      </c>
      <c r="J175" s="26" t="str">
        <f aca="false">IF(A175="","",IFERROR(INDEX(SCD_Data!$E$3:$E$502,SUMPRODUCT((SCD_Data!$A$3:$A$502=B175)*(IFERROR(DATEVALUE(SCD_Data!$H$3:$H$502&amp;""),SCD_Data!$H$3:$H$502)&lt;=IFERROR(DATEVALUE(A175&amp;""),A175))*(IFERROR(DATEVALUE(SCD_Data!$I$3:$I$502&amp;""),SCD_Data!$I$3:$I$502)&gt;=IFERROR(DATEVALUE(A175&amp;""),A175))*(ROW(SCD_Data!$A$3:$A$502)-2))),"—"))</f>
        <v/>
      </c>
      <c r="K175" s="25" t="str">
        <f aca="false">IF(A175="","",IFERROR(INDEX(SCD_Data!$F$3:$F$502,SUMPRODUCT((SCD_Data!$A$3:$A$502=B175)*(IFERROR(DATEVALUE(SCD_Data!$H$3:$H$502&amp;""),SCD_Data!$H$3:$H$502)&lt;=IFERROR(DATEVALUE(A175&amp;""),A175))*(IFERROR(DATEVALUE(SCD_Data!$I$3:$I$502&amp;""),SCD_Data!$I$3:$I$502)&gt;=IFERROR(DATEVALUE(A175&amp;""),A175))*(ROW(SCD_Data!$A$3:$A$502)-2))),"—"))</f>
        <v/>
      </c>
      <c r="L175" s="25" t="str">
        <f aca="false">IF(A175="","",IFERROR(INDEX(SCD_Data!$G$3:$G$502,SUMPRODUCT((SCD_Data!$A$3:$A$502=B175)*(IFERROR(DATEVALUE(SCD_Data!$H$3:$H$502&amp;""),SCD_Data!$H$3:$H$502)&lt;=IFERROR(DATEVALUE(A175&amp;""),A175))*(IFERROR(DATEVALUE(SCD_Data!$I$3:$I$502&amp;""),SCD_Data!$I$3:$I$502)&gt;=IFERROR(DATEVALUE(A175&amp;""),A175))*(ROW(SCD_Data!$A$3:$A$502)-2))),"—"))</f>
        <v/>
      </c>
      <c r="M175" s="27" t="str">
        <f aca="false">IF(A175="","",IF(H175="—","—",IF(C175&amp;""=H175&amp;"","✓","✗")))</f>
        <v/>
      </c>
      <c r="N175" s="27" t="str">
        <f aca="false">IF(A175="","",IF(H175="—","—",IF(D175&amp;""=I175&amp;"","✓","✗")))</f>
        <v/>
      </c>
      <c r="O175" s="27" t="str">
        <f aca="false">IF(A175="","",IF(H175="—","—",IF(ABS(E175-J175)&lt;0.01,"✓","✗")))</f>
        <v/>
      </c>
      <c r="P175" s="27" t="str">
        <f aca="false">IF(A175="","",IF(H175="—","—",IF(F175&amp;""=K175&amp;"","✓","✗")))</f>
        <v/>
      </c>
      <c r="Q175" s="27" t="str">
        <f aca="false">IF(A175="","",IF(H175="—","—",IF(G175&amp;""=L175&amp;"","✓","✗")))</f>
        <v/>
      </c>
      <c r="R175" s="27" t="str">
        <f aca="false">IF(A175="","",IF(COUNTIF(M175:Q175,"—")=5,"⚠ NO SCD ROW",IF(COUNTIF(M175:Q175,"✗")&gt;0,"❌ MISMATCH","✅ MATCH")))</f>
        <v/>
      </c>
    </row>
    <row r="176" customFormat="false" ht="15" hidden="false" customHeight="true" outlineLevel="0" collapsed="false">
      <c r="A176" s="22" t="str">
        <f aca="false">IF(Daily_Data!A175="","",Daily_Data!A175)</f>
        <v/>
      </c>
      <c r="B176" s="23" t="str">
        <f aca="false">IF(Daily_Data!B175="","",Daily_Data!B175)</f>
        <v/>
      </c>
      <c r="C176" s="23" t="str">
        <f aca="false">IF(A176="","",Daily_Data!C175)</f>
        <v/>
      </c>
      <c r="D176" s="23" t="str">
        <f aca="false">IF(A176="","",Daily_Data!D175)</f>
        <v/>
      </c>
      <c r="E176" s="24" t="str">
        <f aca="false">IF(A176="","",Daily_Data!E175)</f>
        <v/>
      </c>
      <c r="F176" s="23" t="str">
        <f aca="false">IF(A176="","",Daily_Data!F175)</f>
        <v/>
      </c>
      <c r="G176" s="23" t="str">
        <f aca="false">IF(A176="","",Daily_Data!G175)</f>
        <v/>
      </c>
      <c r="H176" s="25" t="str">
        <f aca="false">IF(A176="","",IFERROR(INDEX(SCD_Data!$C$3:$C$502,SUMPRODUCT((SCD_Data!$A$3:$A$502=B176)*(IFERROR(DATEVALUE(SCD_Data!$H$3:$H$502&amp;""),SCD_Data!$H$3:$H$502)&lt;=IFERROR(DATEVALUE(A176&amp;""),A176))*(IFERROR(DATEVALUE(SCD_Data!$I$3:$I$502&amp;""),SCD_Data!$I$3:$I$502)&gt;=IFERROR(DATEVALUE(A176&amp;""),A176))*(ROW(SCD_Data!$A$3:$A$502)-2))),"—"))</f>
        <v/>
      </c>
      <c r="I176" s="25" t="str">
        <f aca="false">IF(A176="","",IFERROR(INDEX(SCD_Data!$D$3:$D$502,SUMPRODUCT((SCD_Data!$A$3:$A$502=B176)*(IFERROR(DATEVALUE(SCD_Data!$H$3:$H$502&amp;""),SCD_Data!$H$3:$H$502)&lt;=IFERROR(DATEVALUE(A176&amp;""),A176))*(IFERROR(DATEVALUE(SCD_Data!$I$3:$I$502&amp;""),SCD_Data!$I$3:$I$502)&gt;=IFERROR(DATEVALUE(A176&amp;""),A176))*(ROW(SCD_Data!$A$3:$A$502)-2))),"—"))</f>
        <v/>
      </c>
      <c r="J176" s="26" t="str">
        <f aca="false">IF(A176="","",IFERROR(INDEX(SCD_Data!$E$3:$E$502,SUMPRODUCT((SCD_Data!$A$3:$A$502=B176)*(IFERROR(DATEVALUE(SCD_Data!$H$3:$H$502&amp;""),SCD_Data!$H$3:$H$502)&lt;=IFERROR(DATEVALUE(A176&amp;""),A176))*(IFERROR(DATEVALUE(SCD_Data!$I$3:$I$502&amp;""),SCD_Data!$I$3:$I$502)&gt;=IFERROR(DATEVALUE(A176&amp;""),A176))*(ROW(SCD_Data!$A$3:$A$502)-2))),"—"))</f>
        <v/>
      </c>
      <c r="K176" s="25" t="str">
        <f aca="false">IF(A176="","",IFERROR(INDEX(SCD_Data!$F$3:$F$502,SUMPRODUCT((SCD_Data!$A$3:$A$502=B176)*(IFERROR(DATEVALUE(SCD_Data!$H$3:$H$502&amp;""),SCD_Data!$H$3:$H$502)&lt;=IFERROR(DATEVALUE(A176&amp;""),A176))*(IFERROR(DATEVALUE(SCD_Data!$I$3:$I$502&amp;""),SCD_Data!$I$3:$I$502)&gt;=IFERROR(DATEVALUE(A176&amp;""),A176))*(ROW(SCD_Data!$A$3:$A$502)-2))),"—"))</f>
        <v/>
      </c>
      <c r="L176" s="25" t="str">
        <f aca="false">IF(A176="","",IFERROR(INDEX(SCD_Data!$G$3:$G$502,SUMPRODUCT((SCD_Data!$A$3:$A$502=B176)*(IFERROR(DATEVALUE(SCD_Data!$H$3:$H$502&amp;""),SCD_Data!$H$3:$H$502)&lt;=IFERROR(DATEVALUE(A176&amp;""),A176))*(IFERROR(DATEVALUE(SCD_Data!$I$3:$I$502&amp;""),SCD_Data!$I$3:$I$502)&gt;=IFERROR(DATEVALUE(A176&amp;""),A176))*(ROW(SCD_Data!$A$3:$A$502)-2))),"—"))</f>
        <v/>
      </c>
      <c r="M176" s="27" t="str">
        <f aca="false">IF(A176="","",IF(H176="—","—",IF(C176&amp;""=H176&amp;"","✓","✗")))</f>
        <v/>
      </c>
      <c r="N176" s="27" t="str">
        <f aca="false">IF(A176="","",IF(H176="—","—",IF(D176&amp;""=I176&amp;"","✓","✗")))</f>
        <v/>
      </c>
      <c r="O176" s="27" t="str">
        <f aca="false">IF(A176="","",IF(H176="—","—",IF(ABS(E176-J176)&lt;0.01,"✓","✗")))</f>
        <v/>
      </c>
      <c r="P176" s="27" t="str">
        <f aca="false">IF(A176="","",IF(H176="—","—",IF(F176&amp;""=K176&amp;"","✓","✗")))</f>
        <v/>
      </c>
      <c r="Q176" s="27" t="str">
        <f aca="false">IF(A176="","",IF(H176="—","—",IF(G176&amp;""=L176&amp;"","✓","✗")))</f>
        <v/>
      </c>
      <c r="R176" s="27" t="str">
        <f aca="false">IF(A176="","",IF(COUNTIF(M176:Q176,"—")=5,"⚠ NO SCD ROW",IF(COUNTIF(M176:Q176,"✗")&gt;0,"❌ MISMATCH","✅ MATCH")))</f>
        <v/>
      </c>
    </row>
    <row r="177" customFormat="false" ht="15" hidden="false" customHeight="true" outlineLevel="0" collapsed="false">
      <c r="A177" s="22" t="str">
        <f aca="false">IF(Daily_Data!A176="","",Daily_Data!A176)</f>
        <v/>
      </c>
      <c r="B177" s="23" t="str">
        <f aca="false">IF(Daily_Data!B176="","",Daily_Data!B176)</f>
        <v/>
      </c>
      <c r="C177" s="23" t="str">
        <f aca="false">IF(A177="","",Daily_Data!C176)</f>
        <v/>
      </c>
      <c r="D177" s="23" t="str">
        <f aca="false">IF(A177="","",Daily_Data!D176)</f>
        <v/>
      </c>
      <c r="E177" s="24" t="str">
        <f aca="false">IF(A177="","",Daily_Data!E176)</f>
        <v/>
      </c>
      <c r="F177" s="23" t="str">
        <f aca="false">IF(A177="","",Daily_Data!F176)</f>
        <v/>
      </c>
      <c r="G177" s="23" t="str">
        <f aca="false">IF(A177="","",Daily_Data!G176)</f>
        <v/>
      </c>
      <c r="H177" s="25" t="str">
        <f aca="false">IF(A177="","",IFERROR(INDEX(SCD_Data!$C$3:$C$502,SUMPRODUCT((SCD_Data!$A$3:$A$502=B177)*(IFERROR(DATEVALUE(SCD_Data!$H$3:$H$502&amp;""),SCD_Data!$H$3:$H$502)&lt;=IFERROR(DATEVALUE(A177&amp;""),A177))*(IFERROR(DATEVALUE(SCD_Data!$I$3:$I$502&amp;""),SCD_Data!$I$3:$I$502)&gt;=IFERROR(DATEVALUE(A177&amp;""),A177))*(ROW(SCD_Data!$A$3:$A$502)-2))),"—"))</f>
        <v/>
      </c>
      <c r="I177" s="25" t="str">
        <f aca="false">IF(A177="","",IFERROR(INDEX(SCD_Data!$D$3:$D$502,SUMPRODUCT((SCD_Data!$A$3:$A$502=B177)*(IFERROR(DATEVALUE(SCD_Data!$H$3:$H$502&amp;""),SCD_Data!$H$3:$H$502)&lt;=IFERROR(DATEVALUE(A177&amp;""),A177))*(IFERROR(DATEVALUE(SCD_Data!$I$3:$I$502&amp;""),SCD_Data!$I$3:$I$502)&gt;=IFERROR(DATEVALUE(A177&amp;""),A177))*(ROW(SCD_Data!$A$3:$A$502)-2))),"—"))</f>
        <v/>
      </c>
      <c r="J177" s="26" t="str">
        <f aca="false">IF(A177="","",IFERROR(INDEX(SCD_Data!$E$3:$E$502,SUMPRODUCT((SCD_Data!$A$3:$A$502=B177)*(IFERROR(DATEVALUE(SCD_Data!$H$3:$H$502&amp;""),SCD_Data!$H$3:$H$502)&lt;=IFERROR(DATEVALUE(A177&amp;""),A177))*(IFERROR(DATEVALUE(SCD_Data!$I$3:$I$502&amp;""),SCD_Data!$I$3:$I$502)&gt;=IFERROR(DATEVALUE(A177&amp;""),A177))*(ROW(SCD_Data!$A$3:$A$502)-2))),"—"))</f>
        <v/>
      </c>
      <c r="K177" s="25" t="str">
        <f aca="false">IF(A177="","",IFERROR(INDEX(SCD_Data!$F$3:$F$502,SUMPRODUCT((SCD_Data!$A$3:$A$502=B177)*(IFERROR(DATEVALUE(SCD_Data!$H$3:$H$502&amp;""),SCD_Data!$H$3:$H$502)&lt;=IFERROR(DATEVALUE(A177&amp;""),A177))*(IFERROR(DATEVALUE(SCD_Data!$I$3:$I$502&amp;""),SCD_Data!$I$3:$I$502)&gt;=IFERROR(DATEVALUE(A177&amp;""),A177))*(ROW(SCD_Data!$A$3:$A$502)-2))),"—"))</f>
        <v/>
      </c>
      <c r="L177" s="25" t="str">
        <f aca="false">IF(A177="","",IFERROR(INDEX(SCD_Data!$G$3:$G$502,SUMPRODUCT((SCD_Data!$A$3:$A$502=B177)*(IFERROR(DATEVALUE(SCD_Data!$H$3:$H$502&amp;""),SCD_Data!$H$3:$H$502)&lt;=IFERROR(DATEVALUE(A177&amp;""),A177))*(IFERROR(DATEVALUE(SCD_Data!$I$3:$I$502&amp;""),SCD_Data!$I$3:$I$502)&gt;=IFERROR(DATEVALUE(A177&amp;""),A177))*(ROW(SCD_Data!$A$3:$A$502)-2))),"—"))</f>
        <v/>
      </c>
      <c r="M177" s="27" t="str">
        <f aca="false">IF(A177="","",IF(H177="—","—",IF(C177&amp;""=H177&amp;"","✓","✗")))</f>
        <v/>
      </c>
      <c r="N177" s="27" t="str">
        <f aca="false">IF(A177="","",IF(H177="—","—",IF(D177&amp;""=I177&amp;"","✓","✗")))</f>
        <v/>
      </c>
      <c r="O177" s="27" t="str">
        <f aca="false">IF(A177="","",IF(H177="—","—",IF(ABS(E177-J177)&lt;0.01,"✓","✗")))</f>
        <v/>
      </c>
      <c r="P177" s="27" t="str">
        <f aca="false">IF(A177="","",IF(H177="—","—",IF(F177&amp;""=K177&amp;"","✓","✗")))</f>
        <v/>
      </c>
      <c r="Q177" s="27" t="str">
        <f aca="false">IF(A177="","",IF(H177="—","—",IF(G177&amp;""=L177&amp;"","✓","✗")))</f>
        <v/>
      </c>
      <c r="R177" s="27" t="str">
        <f aca="false">IF(A177="","",IF(COUNTIF(M177:Q177,"—")=5,"⚠ NO SCD ROW",IF(COUNTIF(M177:Q177,"✗")&gt;0,"❌ MISMATCH","✅ MATCH")))</f>
        <v/>
      </c>
    </row>
    <row r="178" customFormat="false" ht="15" hidden="false" customHeight="true" outlineLevel="0" collapsed="false">
      <c r="A178" s="22" t="str">
        <f aca="false">IF(Daily_Data!A177="","",Daily_Data!A177)</f>
        <v/>
      </c>
      <c r="B178" s="23" t="str">
        <f aca="false">IF(Daily_Data!B177="","",Daily_Data!B177)</f>
        <v/>
      </c>
      <c r="C178" s="23" t="str">
        <f aca="false">IF(A178="","",Daily_Data!C177)</f>
        <v/>
      </c>
      <c r="D178" s="23" t="str">
        <f aca="false">IF(A178="","",Daily_Data!D177)</f>
        <v/>
      </c>
      <c r="E178" s="24" t="str">
        <f aca="false">IF(A178="","",Daily_Data!E177)</f>
        <v/>
      </c>
      <c r="F178" s="23" t="str">
        <f aca="false">IF(A178="","",Daily_Data!F177)</f>
        <v/>
      </c>
      <c r="G178" s="23" t="str">
        <f aca="false">IF(A178="","",Daily_Data!G177)</f>
        <v/>
      </c>
      <c r="H178" s="25" t="str">
        <f aca="false">IF(A178="","",IFERROR(INDEX(SCD_Data!$C$3:$C$502,SUMPRODUCT((SCD_Data!$A$3:$A$502=B178)*(IFERROR(DATEVALUE(SCD_Data!$H$3:$H$502&amp;""),SCD_Data!$H$3:$H$502)&lt;=IFERROR(DATEVALUE(A178&amp;""),A178))*(IFERROR(DATEVALUE(SCD_Data!$I$3:$I$502&amp;""),SCD_Data!$I$3:$I$502)&gt;=IFERROR(DATEVALUE(A178&amp;""),A178))*(ROW(SCD_Data!$A$3:$A$502)-2))),"—"))</f>
        <v/>
      </c>
      <c r="I178" s="25" t="str">
        <f aca="false">IF(A178="","",IFERROR(INDEX(SCD_Data!$D$3:$D$502,SUMPRODUCT((SCD_Data!$A$3:$A$502=B178)*(IFERROR(DATEVALUE(SCD_Data!$H$3:$H$502&amp;""),SCD_Data!$H$3:$H$502)&lt;=IFERROR(DATEVALUE(A178&amp;""),A178))*(IFERROR(DATEVALUE(SCD_Data!$I$3:$I$502&amp;""),SCD_Data!$I$3:$I$502)&gt;=IFERROR(DATEVALUE(A178&amp;""),A178))*(ROW(SCD_Data!$A$3:$A$502)-2))),"—"))</f>
        <v/>
      </c>
      <c r="J178" s="26" t="str">
        <f aca="false">IF(A178="","",IFERROR(INDEX(SCD_Data!$E$3:$E$502,SUMPRODUCT((SCD_Data!$A$3:$A$502=B178)*(IFERROR(DATEVALUE(SCD_Data!$H$3:$H$502&amp;""),SCD_Data!$H$3:$H$502)&lt;=IFERROR(DATEVALUE(A178&amp;""),A178))*(IFERROR(DATEVALUE(SCD_Data!$I$3:$I$502&amp;""),SCD_Data!$I$3:$I$502)&gt;=IFERROR(DATEVALUE(A178&amp;""),A178))*(ROW(SCD_Data!$A$3:$A$502)-2))),"—"))</f>
        <v/>
      </c>
      <c r="K178" s="25" t="str">
        <f aca="false">IF(A178="","",IFERROR(INDEX(SCD_Data!$F$3:$F$502,SUMPRODUCT((SCD_Data!$A$3:$A$502=B178)*(IFERROR(DATEVALUE(SCD_Data!$H$3:$H$502&amp;""),SCD_Data!$H$3:$H$502)&lt;=IFERROR(DATEVALUE(A178&amp;""),A178))*(IFERROR(DATEVALUE(SCD_Data!$I$3:$I$502&amp;""),SCD_Data!$I$3:$I$502)&gt;=IFERROR(DATEVALUE(A178&amp;""),A178))*(ROW(SCD_Data!$A$3:$A$502)-2))),"—"))</f>
        <v/>
      </c>
      <c r="L178" s="25" t="str">
        <f aca="false">IF(A178="","",IFERROR(INDEX(SCD_Data!$G$3:$G$502,SUMPRODUCT((SCD_Data!$A$3:$A$502=B178)*(IFERROR(DATEVALUE(SCD_Data!$H$3:$H$502&amp;""),SCD_Data!$H$3:$H$502)&lt;=IFERROR(DATEVALUE(A178&amp;""),A178))*(IFERROR(DATEVALUE(SCD_Data!$I$3:$I$502&amp;""),SCD_Data!$I$3:$I$502)&gt;=IFERROR(DATEVALUE(A178&amp;""),A178))*(ROW(SCD_Data!$A$3:$A$502)-2))),"—"))</f>
        <v/>
      </c>
      <c r="M178" s="27" t="str">
        <f aca="false">IF(A178="","",IF(H178="—","—",IF(C178&amp;""=H178&amp;"","✓","✗")))</f>
        <v/>
      </c>
      <c r="N178" s="27" t="str">
        <f aca="false">IF(A178="","",IF(H178="—","—",IF(D178&amp;""=I178&amp;"","✓","✗")))</f>
        <v/>
      </c>
      <c r="O178" s="27" t="str">
        <f aca="false">IF(A178="","",IF(H178="—","—",IF(ABS(E178-J178)&lt;0.01,"✓","✗")))</f>
        <v/>
      </c>
      <c r="P178" s="27" t="str">
        <f aca="false">IF(A178="","",IF(H178="—","—",IF(F178&amp;""=K178&amp;"","✓","✗")))</f>
        <v/>
      </c>
      <c r="Q178" s="27" t="str">
        <f aca="false">IF(A178="","",IF(H178="—","—",IF(G178&amp;""=L178&amp;"","✓","✗")))</f>
        <v/>
      </c>
      <c r="R178" s="27" t="str">
        <f aca="false">IF(A178="","",IF(COUNTIF(M178:Q178,"—")=5,"⚠ NO SCD ROW",IF(COUNTIF(M178:Q178,"✗")&gt;0,"❌ MISMATCH","✅ MATCH")))</f>
        <v/>
      </c>
    </row>
    <row r="179" customFormat="false" ht="15" hidden="false" customHeight="true" outlineLevel="0" collapsed="false">
      <c r="A179" s="22" t="str">
        <f aca="false">IF(Daily_Data!A178="","",Daily_Data!A178)</f>
        <v/>
      </c>
      <c r="B179" s="23" t="str">
        <f aca="false">IF(Daily_Data!B178="","",Daily_Data!B178)</f>
        <v/>
      </c>
      <c r="C179" s="23" t="str">
        <f aca="false">IF(A179="","",Daily_Data!C178)</f>
        <v/>
      </c>
      <c r="D179" s="23" t="str">
        <f aca="false">IF(A179="","",Daily_Data!D178)</f>
        <v/>
      </c>
      <c r="E179" s="24" t="str">
        <f aca="false">IF(A179="","",Daily_Data!E178)</f>
        <v/>
      </c>
      <c r="F179" s="23" t="str">
        <f aca="false">IF(A179="","",Daily_Data!F178)</f>
        <v/>
      </c>
      <c r="G179" s="23" t="str">
        <f aca="false">IF(A179="","",Daily_Data!G178)</f>
        <v/>
      </c>
      <c r="H179" s="25" t="str">
        <f aca="false">IF(A179="","",IFERROR(INDEX(SCD_Data!$C$3:$C$502,SUMPRODUCT((SCD_Data!$A$3:$A$502=B179)*(IFERROR(DATEVALUE(SCD_Data!$H$3:$H$502&amp;""),SCD_Data!$H$3:$H$502)&lt;=IFERROR(DATEVALUE(A179&amp;""),A179))*(IFERROR(DATEVALUE(SCD_Data!$I$3:$I$502&amp;""),SCD_Data!$I$3:$I$502)&gt;=IFERROR(DATEVALUE(A179&amp;""),A179))*(ROW(SCD_Data!$A$3:$A$502)-2))),"—"))</f>
        <v/>
      </c>
      <c r="I179" s="25" t="str">
        <f aca="false">IF(A179="","",IFERROR(INDEX(SCD_Data!$D$3:$D$502,SUMPRODUCT((SCD_Data!$A$3:$A$502=B179)*(IFERROR(DATEVALUE(SCD_Data!$H$3:$H$502&amp;""),SCD_Data!$H$3:$H$502)&lt;=IFERROR(DATEVALUE(A179&amp;""),A179))*(IFERROR(DATEVALUE(SCD_Data!$I$3:$I$502&amp;""),SCD_Data!$I$3:$I$502)&gt;=IFERROR(DATEVALUE(A179&amp;""),A179))*(ROW(SCD_Data!$A$3:$A$502)-2))),"—"))</f>
        <v/>
      </c>
      <c r="J179" s="26" t="str">
        <f aca="false">IF(A179="","",IFERROR(INDEX(SCD_Data!$E$3:$E$502,SUMPRODUCT((SCD_Data!$A$3:$A$502=B179)*(IFERROR(DATEVALUE(SCD_Data!$H$3:$H$502&amp;""),SCD_Data!$H$3:$H$502)&lt;=IFERROR(DATEVALUE(A179&amp;""),A179))*(IFERROR(DATEVALUE(SCD_Data!$I$3:$I$502&amp;""),SCD_Data!$I$3:$I$502)&gt;=IFERROR(DATEVALUE(A179&amp;""),A179))*(ROW(SCD_Data!$A$3:$A$502)-2))),"—"))</f>
        <v/>
      </c>
      <c r="K179" s="25" t="str">
        <f aca="false">IF(A179="","",IFERROR(INDEX(SCD_Data!$F$3:$F$502,SUMPRODUCT((SCD_Data!$A$3:$A$502=B179)*(IFERROR(DATEVALUE(SCD_Data!$H$3:$H$502&amp;""),SCD_Data!$H$3:$H$502)&lt;=IFERROR(DATEVALUE(A179&amp;""),A179))*(IFERROR(DATEVALUE(SCD_Data!$I$3:$I$502&amp;""),SCD_Data!$I$3:$I$502)&gt;=IFERROR(DATEVALUE(A179&amp;""),A179))*(ROW(SCD_Data!$A$3:$A$502)-2))),"—"))</f>
        <v/>
      </c>
      <c r="L179" s="25" t="str">
        <f aca="false">IF(A179="","",IFERROR(INDEX(SCD_Data!$G$3:$G$502,SUMPRODUCT((SCD_Data!$A$3:$A$502=B179)*(IFERROR(DATEVALUE(SCD_Data!$H$3:$H$502&amp;""),SCD_Data!$H$3:$H$502)&lt;=IFERROR(DATEVALUE(A179&amp;""),A179))*(IFERROR(DATEVALUE(SCD_Data!$I$3:$I$502&amp;""),SCD_Data!$I$3:$I$502)&gt;=IFERROR(DATEVALUE(A179&amp;""),A179))*(ROW(SCD_Data!$A$3:$A$502)-2))),"—"))</f>
        <v/>
      </c>
      <c r="M179" s="27" t="str">
        <f aca="false">IF(A179="","",IF(H179="—","—",IF(C179&amp;""=H179&amp;"","✓","✗")))</f>
        <v/>
      </c>
      <c r="N179" s="27" t="str">
        <f aca="false">IF(A179="","",IF(H179="—","—",IF(D179&amp;""=I179&amp;"","✓","✗")))</f>
        <v/>
      </c>
      <c r="O179" s="27" t="str">
        <f aca="false">IF(A179="","",IF(H179="—","—",IF(ABS(E179-J179)&lt;0.01,"✓","✗")))</f>
        <v/>
      </c>
      <c r="P179" s="27" t="str">
        <f aca="false">IF(A179="","",IF(H179="—","—",IF(F179&amp;""=K179&amp;"","✓","✗")))</f>
        <v/>
      </c>
      <c r="Q179" s="27" t="str">
        <f aca="false">IF(A179="","",IF(H179="—","—",IF(G179&amp;""=L179&amp;"","✓","✗")))</f>
        <v/>
      </c>
      <c r="R179" s="27" t="str">
        <f aca="false">IF(A179="","",IF(COUNTIF(M179:Q179,"—")=5,"⚠ NO SCD ROW",IF(COUNTIF(M179:Q179,"✗")&gt;0,"❌ MISMATCH","✅ MATCH")))</f>
        <v/>
      </c>
    </row>
    <row r="180" customFormat="false" ht="15" hidden="false" customHeight="true" outlineLevel="0" collapsed="false">
      <c r="A180" s="22" t="str">
        <f aca="false">IF(Daily_Data!A179="","",Daily_Data!A179)</f>
        <v/>
      </c>
      <c r="B180" s="23" t="str">
        <f aca="false">IF(Daily_Data!B179="","",Daily_Data!B179)</f>
        <v/>
      </c>
      <c r="C180" s="23" t="str">
        <f aca="false">IF(A180="","",Daily_Data!C179)</f>
        <v/>
      </c>
      <c r="D180" s="23" t="str">
        <f aca="false">IF(A180="","",Daily_Data!D179)</f>
        <v/>
      </c>
      <c r="E180" s="24" t="str">
        <f aca="false">IF(A180="","",Daily_Data!E179)</f>
        <v/>
      </c>
      <c r="F180" s="23" t="str">
        <f aca="false">IF(A180="","",Daily_Data!F179)</f>
        <v/>
      </c>
      <c r="G180" s="23" t="str">
        <f aca="false">IF(A180="","",Daily_Data!G179)</f>
        <v/>
      </c>
      <c r="H180" s="25" t="str">
        <f aca="false">IF(A180="","",IFERROR(INDEX(SCD_Data!$C$3:$C$502,SUMPRODUCT((SCD_Data!$A$3:$A$502=B180)*(IFERROR(DATEVALUE(SCD_Data!$H$3:$H$502&amp;""),SCD_Data!$H$3:$H$502)&lt;=IFERROR(DATEVALUE(A180&amp;""),A180))*(IFERROR(DATEVALUE(SCD_Data!$I$3:$I$502&amp;""),SCD_Data!$I$3:$I$502)&gt;=IFERROR(DATEVALUE(A180&amp;""),A180))*(ROW(SCD_Data!$A$3:$A$502)-2))),"—"))</f>
        <v/>
      </c>
      <c r="I180" s="25" t="str">
        <f aca="false">IF(A180="","",IFERROR(INDEX(SCD_Data!$D$3:$D$502,SUMPRODUCT((SCD_Data!$A$3:$A$502=B180)*(IFERROR(DATEVALUE(SCD_Data!$H$3:$H$502&amp;""),SCD_Data!$H$3:$H$502)&lt;=IFERROR(DATEVALUE(A180&amp;""),A180))*(IFERROR(DATEVALUE(SCD_Data!$I$3:$I$502&amp;""),SCD_Data!$I$3:$I$502)&gt;=IFERROR(DATEVALUE(A180&amp;""),A180))*(ROW(SCD_Data!$A$3:$A$502)-2))),"—"))</f>
        <v/>
      </c>
      <c r="J180" s="26" t="str">
        <f aca="false">IF(A180="","",IFERROR(INDEX(SCD_Data!$E$3:$E$502,SUMPRODUCT((SCD_Data!$A$3:$A$502=B180)*(IFERROR(DATEVALUE(SCD_Data!$H$3:$H$502&amp;""),SCD_Data!$H$3:$H$502)&lt;=IFERROR(DATEVALUE(A180&amp;""),A180))*(IFERROR(DATEVALUE(SCD_Data!$I$3:$I$502&amp;""),SCD_Data!$I$3:$I$502)&gt;=IFERROR(DATEVALUE(A180&amp;""),A180))*(ROW(SCD_Data!$A$3:$A$502)-2))),"—"))</f>
        <v/>
      </c>
      <c r="K180" s="25" t="str">
        <f aca="false">IF(A180="","",IFERROR(INDEX(SCD_Data!$F$3:$F$502,SUMPRODUCT((SCD_Data!$A$3:$A$502=B180)*(IFERROR(DATEVALUE(SCD_Data!$H$3:$H$502&amp;""),SCD_Data!$H$3:$H$502)&lt;=IFERROR(DATEVALUE(A180&amp;""),A180))*(IFERROR(DATEVALUE(SCD_Data!$I$3:$I$502&amp;""),SCD_Data!$I$3:$I$502)&gt;=IFERROR(DATEVALUE(A180&amp;""),A180))*(ROW(SCD_Data!$A$3:$A$502)-2))),"—"))</f>
        <v/>
      </c>
      <c r="L180" s="25" t="str">
        <f aca="false">IF(A180="","",IFERROR(INDEX(SCD_Data!$G$3:$G$502,SUMPRODUCT((SCD_Data!$A$3:$A$502=B180)*(IFERROR(DATEVALUE(SCD_Data!$H$3:$H$502&amp;""),SCD_Data!$H$3:$H$502)&lt;=IFERROR(DATEVALUE(A180&amp;""),A180))*(IFERROR(DATEVALUE(SCD_Data!$I$3:$I$502&amp;""),SCD_Data!$I$3:$I$502)&gt;=IFERROR(DATEVALUE(A180&amp;""),A180))*(ROW(SCD_Data!$A$3:$A$502)-2))),"—"))</f>
        <v/>
      </c>
      <c r="M180" s="27" t="str">
        <f aca="false">IF(A180="","",IF(H180="—","—",IF(C180&amp;""=H180&amp;"","✓","✗")))</f>
        <v/>
      </c>
      <c r="N180" s="27" t="str">
        <f aca="false">IF(A180="","",IF(H180="—","—",IF(D180&amp;""=I180&amp;"","✓","✗")))</f>
        <v/>
      </c>
      <c r="O180" s="27" t="str">
        <f aca="false">IF(A180="","",IF(H180="—","—",IF(ABS(E180-J180)&lt;0.01,"✓","✗")))</f>
        <v/>
      </c>
      <c r="P180" s="27" t="str">
        <f aca="false">IF(A180="","",IF(H180="—","—",IF(F180&amp;""=K180&amp;"","✓","✗")))</f>
        <v/>
      </c>
      <c r="Q180" s="27" t="str">
        <f aca="false">IF(A180="","",IF(H180="—","—",IF(G180&amp;""=L180&amp;"","✓","✗")))</f>
        <v/>
      </c>
      <c r="R180" s="27" t="str">
        <f aca="false">IF(A180="","",IF(COUNTIF(M180:Q180,"—")=5,"⚠ NO SCD ROW",IF(COUNTIF(M180:Q180,"✗")&gt;0,"❌ MISMATCH","✅ MATCH")))</f>
        <v/>
      </c>
    </row>
    <row r="181" customFormat="false" ht="15" hidden="false" customHeight="true" outlineLevel="0" collapsed="false">
      <c r="A181" s="22" t="str">
        <f aca="false">IF(Daily_Data!A180="","",Daily_Data!A180)</f>
        <v/>
      </c>
      <c r="B181" s="23" t="str">
        <f aca="false">IF(Daily_Data!B180="","",Daily_Data!B180)</f>
        <v/>
      </c>
      <c r="C181" s="23" t="str">
        <f aca="false">IF(A181="","",Daily_Data!C180)</f>
        <v/>
      </c>
      <c r="D181" s="23" t="str">
        <f aca="false">IF(A181="","",Daily_Data!D180)</f>
        <v/>
      </c>
      <c r="E181" s="24" t="str">
        <f aca="false">IF(A181="","",Daily_Data!E180)</f>
        <v/>
      </c>
      <c r="F181" s="23" t="str">
        <f aca="false">IF(A181="","",Daily_Data!F180)</f>
        <v/>
      </c>
      <c r="G181" s="23" t="str">
        <f aca="false">IF(A181="","",Daily_Data!G180)</f>
        <v/>
      </c>
      <c r="H181" s="25" t="str">
        <f aca="false">IF(A181="","",IFERROR(INDEX(SCD_Data!$C$3:$C$502,SUMPRODUCT((SCD_Data!$A$3:$A$502=B181)*(IFERROR(DATEVALUE(SCD_Data!$H$3:$H$502&amp;""),SCD_Data!$H$3:$H$502)&lt;=IFERROR(DATEVALUE(A181&amp;""),A181))*(IFERROR(DATEVALUE(SCD_Data!$I$3:$I$502&amp;""),SCD_Data!$I$3:$I$502)&gt;=IFERROR(DATEVALUE(A181&amp;""),A181))*(ROW(SCD_Data!$A$3:$A$502)-2))),"—"))</f>
        <v/>
      </c>
      <c r="I181" s="25" t="str">
        <f aca="false">IF(A181="","",IFERROR(INDEX(SCD_Data!$D$3:$D$502,SUMPRODUCT((SCD_Data!$A$3:$A$502=B181)*(IFERROR(DATEVALUE(SCD_Data!$H$3:$H$502&amp;""),SCD_Data!$H$3:$H$502)&lt;=IFERROR(DATEVALUE(A181&amp;""),A181))*(IFERROR(DATEVALUE(SCD_Data!$I$3:$I$502&amp;""),SCD_Data!$I$3:$I$502)&gt;=IFERROR(DATEVALUE(A181&amp;""),A181))*(ROW(SCD_Data!$A$3:$A$502)-2))),"—"))</f>
        <v/>
      </c>
      <c r="J181" s="26" t="str">
        <f aca="false">IF(A181="","",IFERROR(INDEX(SCD_Data!$E$3:$E$502,SUMPRODUCT((SCD_Data!$A$3:$A$502=B181)*(IFERROR(DATEVALUE(SCD_Data!$H$3:$H$502&amp;""),SCD_Data!$H$3:$H$502)&lt;=IFERROR(DATEVALUE(A181&amp;""),A181))*(IFERROR(DATEVALUE(SCD_Data!$I$3:$I$502&amp;""),SCD_Data!$I$3:$I$502)&gt;=IFERROR(DATEVALUE(A181&amp;""),A181))*(ROW(SCD_Data!$A$3:$A$502)-2))),"—"))</f>
        <v/>
      </c>
      <c r="K181" s="25" t="str">
        <f aca="false">IF(A181="","",IFERROR(INDEX(SCD_Data!$F$3:$F$502,SUMPRODUCT((SCD_Data!$A$3:$A$502=B181)*(IFERROR(DATEVALUE(SCD_Data!$H$3:$H$502&amp;""),SCD_Data!$H$3:$H$502)&lt;=IFERROR(DATEVALUE(A181&amp;""),A181))*(IFERROR(DATEVALUE(SCD_Data!$I$3:$I$502&amp;""),SCD_Data!$I$3:$I$502)&gt;=IFERROR(DATEVALUE(A181&amp;""),A181))*(ROW(SCD_Data!$A$3:$A$502)-2))),"—"))</f>
        <v/>
      </c>
      <c r="L181" s="25" t="str">
        <f aca="false">IF(A181="","",IFERROR(INDEX(SCD_Data!$G$3:$G$502,SUMPRODUCT((SCD_Data!$A$3:$A$502=B181)*(IFERROR(DATEVALUE(SCD_Data!$H$3:$H$502&amp;""),SCD_Data!$H$3:$H$502)&lt;=IFERROR(DATEVALUE(A181&amp;""),A181))*(IFERROR(DATEVALUE(SCD_Data!$I$3:$I$502&amp;""),SCD_Data!$I$3:$I$502)&gt;=IFERROR(DATEVALUE(A181&amp;""),A181))*(ROW(SCD_Data!$A$3:$A$502)-2))),"—"))</f>
        <v/>
      </c>
      <c r="M181" s="27" t="str">
        <f aca="false">IF(A181="","",IF(H181="—","—",IF(C181&amp;""=H181&amp;"","✓","✗")))</f>
        <v/>
      </c>
      <c r="N181" s="27" t="str">
        <f aca="false">IF(A181="","",IF(H181="—","—",IF(D181&amp;""=I181&amp;"","✓","✗")))</f>
        <v/>
      </c>
      <c r="O181" s="27" t="str">
        <f aca="false">IF(A181="","",IF(H181="—","—",IF(ABS(E181-J181)&lt;0.01,"✓","✗")))</f>
        <v/>
      </c>
      <c r="P181" s="27" t="str">
        <f aca="false">IF(A181="","",IF(H181="—","—",IF(F181&amp;""=K181&amp;"","✓","✗")))</f>
        <v/>
      </c>
      <c r="Q181" s="27" t="str">
        <f aca="false">IF(A181="","",IF(H181="—","—",IF(G181&amp;""=L181&amp;"","✓","✗")))</f>
        <v/>
      </c>
      <c r="R181" s="27" t="str">
        <f aca="false">IF(A181="","",IF(COUNTIF(M181:Q181,"—")=5,"⚠ NO SCD ROW",IF(COUNTIF(M181:Q181,"✗")&gt;0,"❌ MISMATCH","✅ MATCH")))</f>
        <v/>
      </c>
    </row>
    <row r="182" customFormat="false" ht="15" hidden="false" customHeight="true" outlineLevel="0" collapsed="false">
      <c r="A182" s="22" t="str">
        <f aca="false">IF(Daily_Data!A181="","",Daily_Data!A181)</f>
        <v/>
      </c>
      <c r="B182" s="23" t="str">
        <f aca="false">IF(Daily_Data!B181="","",Daily_Data!B181)</f>
        <v/>
      </c>
      <c r="C182" s="23" t="str">
        <f aca="false">IF(A182="","",Daily_Data!C181)</f>
        <v/>
      </c>
      <c r="D182" s="23" t="str">
        <f aca="false">IF(A182="","",Daily_Data!D181)</f>
        <v/>
      </c>
      <c r="E182" s="24" t="str">
        <f aca="false">IF(A182="","",Daily_Data!E181)</f>
        <v/>
      </c>
      <c r="F182" s="23" t="str">
        <f aca="false">IF(A182="","",Daily_Data!F181)</f>
        <v/>
      </c>
      <c r="G182" s="23" t="str">
        <f aca="false">IF(A182="","",Daily_Data!G181)</f>
        <v/>
      </c>
      <c r="H182" s="25" t="str">
        <f aca="false">IF(A182="","",IFERROR(INDEX(SCD_Data!$C$3:$C$502,SUMPRODUCT((SCD_Data!$A$3:$A$502=B182)*(IFERROR(DATEVALUE(SCD_Data!$H$3:$H$502&amp;""),SCD_Data!$H$3:$H$502)&lt;=IFERROR(DATEVALUE(A182&amp;""),A182))*(IFERROR(DATEVALUE(SCD_Data!$I$3:$I$502&amp;""),SCD_Data!$I$3:$I$502)&gt;=IFERROR(DATEVALUE(A182&amp;""),A182))*(ROW(SCD_Data!$A$3:$A$502)-2))),"—"))</f>
        <v/>
      </c>
      <c r="I182" s="25" t="str">
        <f aca="false">IF(A182="","",IFERROR(INDEX(SCD_Data!$D$3:$D$502,SUMPRODUCT((SCD_Data!$A$3:$A$502=B182)*(IFERROR(DATEVALUE(SCD_Data!$H$3:$H$502&amp;""),SCD_Data!$H$3:$H$502)&lt;=IFERROR(DATEVALUE(A182&amp;""),A182))*(IFERROR(DATEVALUE(SCD_Data!$I$3:$I$502&amp;""),SCD_Data!$I$3:$I$502)&gt;=IFERROR(DATEVALUE(A182&amp;""),A182))*(ROW(SCD_Data!$A$3:$A$502)-2))),"—"))</f>
        <v/>
      </c>
      <c r="J182" s="26" t="str">
        <f aca="false">IF(A182="","",IFERROR(INDEX(SCD_Data!$E$3:$E$502,SUMPRODUCT((SCD_Data!$A$3:$A$502=B182)*(IFERROR(DATEVALUE(SCD_Data!$H$3:$H$502&amp;""),SCD_Data!$H$3:$H$502)&lt;=IFERROR(DATEVALUE(A182&amp;""),A182))*(IFERROR(DATEVALUE(SCD_Data!$I$3:$I$502&amp;""),SCD_Data!$I$3:$I$502)&gt;=IFERROR(DATEVALUE(A182&amp;""),A182))*(ROW(SCD_Data!$A$3:$A$502)-2))),"—"))</f>
        <v/>
      </c>
      <c r="K182" s="25" t="str">
        <f aca="false">IF(A182="","",IFERROR(INDEX(SCD_Data!$F$3:$F$502,SUMPRODUCT((SCD_Data!$A$3:$A$502=B182)*(IFERROR(DATEVALUE(SCD_Data!$H$3:$H$502&amp;""),SCD_Data!$H$3:$H$502)&lt;=IFERROR(DATEVALUE(A182&amp;""),A182))*(IFERROR(DATEVALUE(SCD_Data!$I$3:$I$502&amp;""),SCD_Data!$I$3:$I$502)&gt;=IFERROR(DATEVALUE(A182&amp;""),A182))*(ROW(SCD_Data!$A$3:$A$502)-2))),"—"))</f>
        <v/>
      </c>
      <c r="L182" s="25" t="str">
        <f aca="false">IF(A182="","",IFERROR(INDEX(SCD_Data!$G$3:$G$502,SUMPRODUCT((SCD_Data!$A$3:$A$502=B182)*(IFERROR(DATEVALUE(SCD_Data!$H$3:$H$502&amp;""),SCD_Data!$H$3:$H$502)&lt;=IFERROR(DATEVALUE(A182&amp;""),A182))*(IFERROR(DATEVALUE(SCD_Data!$I$3:$I$502&amp;""),SCD_Data!$I$3:$I$502)&gt;=IFERROR(DATEVALUE(A182&amp;""),A182))*(ROW(SCD_Data!$A$3:$A$502)-2))),"—"))</f>
        <v/>
      </c>
      <c r="M182" s="27" t="str">
        <f aca="false">IF(A182="","",IF(H182="—","—",IF(C182&amp;""=H182&amp;"","✓","✗")))</f>
        <v/>
      </c>
      <c r="N182" s="27" t="str">
        <f aca="false">IF(A182="","",IF(H182="—","—",IF(D182&amp;""=I182&amp;"","✓","✗")))</f>
        <v/>
      </c>
      <c r="O182" s="27" t="str">
        <f aca="false">IF(A182="","",IF(H182="—","—",IF(ABS(E182-J182)&lt;0.01,"✓","✗")))</f>
        <v/>
      </c>
      <c r="P182" s="27" t="str">
        <f aca="false">IF(A182="","",IF(H182="—","—",IF(F182&amp;""=K182&amp;"","✓","✗")))</f>
        <v/>
      </c>
      <c r="Q182" s="27" t="str">
        <f aca="false">IF(A182="","",IF(H182="—","—",IF(G182&amp;""=L182&amp;"","✓","✗")))</f>
        <v/>
      </c>
      <c r="R182" s="27" t="str">
        <f aca="false">IF(A182="","",IF(COUNTIF(M182:Q182,"—")=5,"⚠ NO SCD ROW",IF(COUNTIF(M182:Q182,"✗")&gt;0,"❌ MISMATCH","✅ MATCH")))</f>
        <v/>
      </c>
    </row>
    <row r="183" customFormat="false" ht="15" hidden="false" customHeight="true" outlineLevel="0" collapsed="false">
      <c r="A183" s="22" t="str">
        <f aca="false">IF(Daily_Data!A182="","",Daily_Data!A182)</f>
        <v/>
      </c>
      <c r="B183" s="23" t="str">
        <f aca="false">IF(Daily_Data!B182="","",Daily_Data!B182)</f>
        <v/>
      </c>
      <c r="C183" s="23" t="str">
        <f aca="false">IF(A183="","",Daily_Data!C182)</f>
        <v/>
      </c>
      <c r="D183" s="23" t="str">
        <f aca="false">IF(A183="","",Daily_Data!D182)</f>
        <v/>
      </c>
      <c r="E183" s="24" t="str">
        <f aca="false">IF(A183="","",Daily_Data!E182)</f>
        <v/>
      </c>
      <c r="F183" s="23" t="str">
        <f aca="false">IF(A183="","",Daily_Data!F182)</f>
        <v/>
      </c>
      <c r="G183" s="23" t="str">
        <f aca="false">IF(A183="","",Daily_Data!G182)</f>
        <v/>
      </c>
      <c r="H183" s="25" t="str">
        <f aca="false">IF(A183="","",IFERROR(INDEX(SCD_Data!$C$3:$C$502,SUMPRODUCT((SCD_Data!$A$3:$A$502=B183)*(IFERROR(DATEVALUE(SCD_Data!$H$3:$H$502&amp;""),SCD_Data!$H$3:$H$502)&lt;=IFERROR(DATEVALUE(A183&amp;""),A183))*(IFERROR(DATEVALUE(SCD_Data!$I$3:$I$502&amp;""),SCD_Data!$I$3:$I$502)&gt;=IFERROR(DATEVALUE(A183&amp;""),A183))*(ROW(SCD_Data!$A$3:$A$502)-2))),"—"))</f>
        <v/>
      </c>
      <c r="I183" s="25" t="str">
        <f aca="false">IF(A183="","",IFERROR(INDEX(SCD_Data!$D$3:$D$502,SUMPRODUCT((SCD_Data!$A$3:$A$502=B183)*(IFERROR(DATEVALUE(SCD_Data!$H$3:$H$502&amp;""),SCD_Data!$H$3:$H$502)&lt;=IFERROR(DATEVALUE(A183&amp;""),A183))*(IFERROR(DATEVALUE(SCD_Data!$I$3:$I$502&amp;""),SCD_Data!$I$3:$I$502)&gt;=IFERROR(DATEVALUE(A183&amp;""),A183))*(ROW(SCD_Data!$A$3:$A$502)-2))),"—"))</f>
        <v/>
      </c>
      <c r="J183" s="26" t="str">
        <f aca="false">IF(A183="","",IFERROR(INDEX(SCD_Data!$E$3:$E$502,SUMPRODUCT((SCD_Data!$A$3:$A$502=B183)*(IFERROR(DATEVALUE(SCD_Data!$H$3:$H$502&amp;""),SCD_Data!$H$3:$H$502)&lt;=IFERROR(DATEVALUE(A183&amp;""),A183))*(IFERROR(DATEVALUE(SCD_Data!$I$3:$I$502&amp;""),SCD_Data!$I$3:$I$502)&gt;=IFERROR(DATEVALUE(A183&amp;""),A183))*(ROW(SCD_Data!$A$3:$A$502)-2))),"—"))</f>
        <v/>
      </c>
      <c r="K183" s="25" t="str">
        <f aca="false">IF(A183="","",IFERROR(INDEX(SCD_Data!$F$3:$F$502,SUMPRODUCT((SCD_Data!$A$3:$A$502=B183)*(IFERROR(DATEVALUE(SCD_Data!$H$3:$H$502&amp;""),SCD_Data!$H$3:$H$502)&lt;=IFERROR(DATEVALUE(A183&amp;""),A183))*(IFERROR(DATEVALUE(SCD_Data!$I$3:$I$502&amp;""),SCD_Data!$I$3:$I$502)&gt;=IFERROR(DATEVALUE(A183&amp;""),A183))*(ROW(SCD_Data!$A$3:$A$502)-2))),"—"))</f>
        <v/>
      </c>
      <c r="L183" s="25" t="str">
        <f aca="false">IF(A183="","",IFERROR(INDEX(SCD_Data!$G$3:$G$502,SUMPRODUCT((SCD_Data!$A$3:$A$502=B183)*(IFERROR(DATEVALUE(SCD_Data!$H$3:$H$502&amp;""),SCD_Data!$H$3:$H$502)&lt;=IFERROR(DATEVALUE(A183&amp;""),A183))*(IFERROR(DATEVALUE(SCD_Data!$I$3:$I$502&amp;""),SCD_Data!$I$3:$I$502)&gt;=IFERROR(DATEVALUE(A183&amp;""),A183))*(ROW(SCD_Data!$A$3:$A$502)-2))),"—"))</f>
        <v/>
      </c>
      <c r="M183" s="27" t="str">
        <f aca="false">IF(A183="","",IF(H183="—","—",IF(C183&amp;""=H183&amp;"","✓","✗")))</f>
        <v/>
      </c>
      <c r="N183" s="27" t="str">
        <f aca="false">IF(A183="","",IF(H183="—","—",IF(D183&amp;""=I183&amp;"","✓","✗")))</f>
        <v/>
      </c>
      <c r="O183" s="27" t="str">
        <f aca="false">IF(A183="","",IF(H183="—","—",IF(ABS(E183-J183)&lt;0.01,"✓","✗")))</f>
        <v/>
      </c>
      <c r="P183" s="27" t="str">
        <f aca="false">IF(A183="","",IF(H183="—","—",IF(F183&amp;""=K183&amp;"","✓","✗")))</f>
        <v/>
      </c>
      <c r="Q183" s="27" t="str">
        <f aca="false">IF(A183="","",IF(H183="—","—",IF(G183&amp;""=L183&amp;"","✓","✗")))</f>
        <v/>
      </c>
      <c r="R183" s="27" t="str">
        <f aca="false">IF(A183="","",IF(COUNTIF(M183:Q183,"—")=5,"⚠ NO SCD ROW",IF(COUNTIF(M183:Q183,"✗")&gt;0,"❌ MISMATCH","✅ MATCH")))</f>
        <v/>
      </c>
    </row>
    <row r="184" customFormat="false" ht="15" hidden="false" customHeight="true" outlineLevel="0" collapsed="false">
      <c r="A184" s="22" t="str">
        <f aca="false">IF(Daily_Data!A183="","",Daily_Data!A183)</f>
        <v/>
      </c>
      <c r="B184" s="23" t="str">
        <f aca="false">IF(Daily_Data!B183="","",Daily_Data!B183)</f>
        <v/>
      </c>
      <c r="C184" s="23" t="str">
        <f aca="false">IF(A184="","",Daily_Data!C183)</f>
        <v/>
      </c>
      <c r="D184" s="23" t="str">
        <f aca="false">IF(A184="","",Daily_Data!D183)</f>
        <v/>
      </c>
      <c r="E184" s="24" t="str">
        <f aca="false">IF(A184="","",Daily_Data!E183)</f>
        <v/>
      </c>
      <c r="F184" s="23" t="str">
        <f aca="false">IF(A184="","",Daily_Data!F183)</f>
        <v/>
      </c>
      <c r="G184" s="23" t="str">
        <f aca="false">IF(A184="","",Daily_Data!G183)</f>
        <v/>
      </c>
      <c r="H184" s="25" t="str">
        <f aca="false">IF(A184="","",IFERROR(INDEX(SCD_Data!$C$3:$C$502,SUMPRODUCT((SCD_Data!$A$3:$A$502=B184)*(IFERROR(DATEVALUE(SCD_Data!$H$3:$H$502&amp;""),SCD_Data!$H$3:$H$502)&lt;=IFERROR(DATEVALUE(A184&amp;""),A184))*(IFERROR(DATEVALUE(SCD_Data!$I$3:$I$502&amp;""),SCD_Data!$I$3:$I$502)&gt;=IFERROR(DATEVALUE(A184&amp;""),A184))*(ROW(SCD_Data!$A$3:$A$502)-2))),"—"))</f>
        <v/>
      </c>
      <c r="I184" s="25" t="str">
        <f aca="false">IF(A184="","",IFERROR(INDEX(SCD_Data!$D$3:$D$502,SUMPRODUCT((SCD_Data!$A$3:$A$502=B184)*(IFERROR(DATEVALUE(SCD_Data!$H$3:$H$502&amp;""),SCD_Data!$H$3:$H$502)&lt;=IFERROR(DATEVALUE(A184&amp;""),A184))*(IFERROR(DATEVALUE(SCD_Data!$I$3:$I$502&amp;""),SCD_Data!$I$3:$I$502)&gt;=IFERROR(DATEVALUE(A184&amp;""),A184))*(ROW(SCD_Data!$A$3:$A$502)-2))),"—"))</f>
        <v/>
      </c>
      <c r="J184" s="26" t="str">
        <f aca="false">IF(A184="","",IFERROR(INDEX(SCD_Data!$E$3:$E$502,SUMPRODUCT((SCD_Data!$A$3:$A$502=B184)*(IFERROR(DATEVALUE(SCD_Data!$H$3:$H$502&amp;""),SCD_Data!$H$3:$H$502)&lt;=IFERROR(DATEVALUE(A184&amp;""),A184))*(IFERROR(DATEVALUE(SCD_Data!$I$3:$I$502&amp;""),SCD_Data!$I$3:$I$502)&gt;=IFERROR(DATEVALUE(A184&amp;""),A184))*(ROW(SCD_Data!$A$3:$A$502)-2))),"—"))</f>
        <v/>
      </c>
      <c r="K184" s="25" t="str">
        <f aca="false">IF(A184="","",IFERROR(INDEX(SCD_Data!$F$3:$F$502,SUMPRODUCT((SCD_Data!$A$3:$A$502=B184)*(IFERROR(DATEVALUE(SCD_Data!$H$3:$H$502&amp;""),SCD_Data!$H$3:$H$502)&lt;=IFERROR(DATEVALUE(A184&amp;""),A184))*(IFERROR(DATEVALUE(SCD_Data!$I$3:$I$502&amp;""),SCD_Data!$I$3:$I$502)&gt;=IFERROR(DATEVALUE(A184&amp;""),A184))*(ROW(SCD_Data!$A$3:$A$502)-2))),"—"))</f>
        <v/>
      </c>
      <c r="L184" s="25" t="str">
        <f aca="false">IF(A184="","",IFERROR(INDEX(SCD_Data!$G$3:$G$502,SUMPRODUCT((SCD_Data!$A$3:$A$502=B184)*(IFERROR(DATEVALUE(SCD_Data!$H$3:$H$502&amp;""),SCD_Data!$H$3:$H$502)&lt;=IFERROR(DATEVALUE(A184&amp;""),A184))*(IFERROR(DATEVALUE(SCD_Data!$I$3:$I$502&amp;""),SCD_Data!$I$3:$I$502)&gt;=IFERROR(DATEVALUE(A184&amp;""),A184))*(ROW(SCD_Data!$A$3:$A$502)-2))),"—"))</f>
        <v/>
      </c>
      <c r="M184" s="27" t="str">
        <f aca="false">IF(A184="","",IF(H184="—","—",IF(C184&amp;""=H184&amp;"","✓","✗")))</f>
        <v/>
      </c>
      <c r="N184" s="27" t="str">
        <f aca="false">IF(A184="","",IF(H184="—","—",IF(D184&amp;""=I184&amp;"","✓","✗")))</f>
        <v/>
      </c>
      <c r="O184" s="27" t="str">
        <f aca="false">IF(A184="","",IF(H184="—","—",IF(ABS(E184-J184)&lt;0.01,"✓","✗")))</f>
        <v/>
      </c>
      <c r="P184" s="27" t="str">
        <f aca="false">IF(A184="","",IF(H184="—","—",IF(F184&amp;""=K184&amp;"","✓","✗")))</f>
        <v/>
      </c>
      <c r="Q184" s="27" t="str">
        <f aca="false">IF(A184="","",IF(H184="—","—",IF(G184&amp;""=L184&amp;"","✓","✗")))</f>
        <v/>
      </c>
      <c r="R184" s="27" t="str">
        <f aca="false">IF(A184="","",IF(COUNTIF(M184:Q184,"—")=5,"⚠ NO SCD ROW",IF(COUNTIF(M184:Q184,"✗")&gt;0,"❌ MISMATCH","✅ MATCH")))</f>
        <v/>
      </c>
    </row>
    <row r="185" customFormat="false" ht="15" hidden="false" customHeight="true" outlineLevel="0" collapsed="false">
      <c r="A185" s="22" t="str">
        <f aca="false">IF(Daily_Data!A184="","",Daily_Data!A184)</f>
        <v/>
      </c>
      <c r="B185" s="23" t="str">
        <f aca="false">IF(Daily_Data!B184="","",Daily_Data!B184)</f>
        <v/>
      </c>
      <c r="C185" s="23" t="str">
        <f aca="false">IF(A185="","",Daily_Data!C184)</f>
        <v/>
      </c>
      <c r="D185" s="23" t="str">
        <f aca="false">IF(A185="","",Daily_Data!D184)</f>
        <v/>
      </c>
      <c r="E185" s="24" t="str">
        <f aca="false">IF(A185="","",Daily_Data!E184)</f>
        <v/>
      </c>
      <c r="F185" s="23" t="str">
        <f aca="false">IF(A185="","",Daily_Data!F184)</f>
        <v/>
      </c>
      <c r="G185" s="23" t="str">
        <f aca="false">IF(A185="","",Daily_Data!G184)</f>
        <v/>
      </c>
      <c r="H185" s="25" t="str">
        <f aca="false">IF(A185="","",IFERROR(INDEX(SCD_Data!$C$3:$C$502,SUMPRODUCT((SCD_Data!$A$3:$A$502=B185)*(IFERROR(DATEVALUE(SCD_Data!$H$3:$H$502&amp;""),SCD_Data!$H$3:$H$502)&lt;=IFERROR(DATEVALUE(A185&amp;""),A185))*(IFERROR(DATEVALUE(SCD_Data!$I$3:$I$502&amp;""),SCD_Data!$I$3:$I$502)&gt;=IFERROR(DATEVALUE(A185&amp;""),A185))*(ROW(SCD_Data!$A$3:$A$502)-2))),"—"))</f>
        <v/>
      </c>
      <c r="I185" s="25" t="str">
        <f aca="false">IF(A185="","",IFERROR(INDEX(SCD_Data!$D$3:$D$502,SUMPRODUCT((SCD_Data!$A$3:$A$502=B185)*(IFERROR(DATEVALUE(SCD_Data!$H$3:$H$502&amp;""),SCD_Data!$H$3:$H$502)&lt;=IFERROR(DATEVALUE(A185&amp;""),A185))*(IFERROR(DATEVALUE(SCD_Data!$I$3:$I$502&amp;""),SCD_Data!$I$3:$I$502)&gt;=IFERROR(DATEVALUE(A185&amp;""),A185))*(ROW(SCD_Data!$A$3:$A$502)-2))),"—"))</f>
        <v/>
      </c>
      <c r="J185" s="26" t="str">
        <f aca="false">IF(A185="","",IFERROR(INDEX(SCD_Data!$E$3:$E$502,SUMPRODUCT((SCD_Data!$A$3:$A$502=B185)*(IFERROR(DATEVALUE(SCD_Data!$H$3:$H$502&amp;""),SCD_Data!$H$3:$H$502)&lt;=IFERROR(DATEVALUE(A185&amp;""),A185))*(IFERROR(DATEVALUE(SCD_Data!$I$3:$I$502&amp;""),SCD_Data!$I$3:$I$502)&gt;=IFERROR(DATEVALUE(A185&amp;""),A185))*(ROW(SCD_Data!$A$3:$A$502)-2))),"—"))</f>
        <v/>
      </c>
      <c r="K185" s="25" t="str">
        <f aca="false">IF(A185="","",IFERROR(INDEX(SCD_Data!$F$3:$F$502,SUMPRODUCT((SCD_Data!$A$3:$A$502=B185)*(IFERROR(DATEVALUE(SCD_Data!$H$3:$H$502&amp;""),SCD_Data!$H$3:$H$502)&lt;=IFERROR(DATEVALUE(A185&amp;""),A185))*(IFERROR(DATEVALUE(SCD_Data!$I$3:$I$502&amp;""),SCD_Data!$I$3:$I$502)&gt;=IFERROR(DATEVALUE(A185&amp;""),A185))*(ROW(SCD_Data!$A$3:$A$502)-2))),"—"))</f>
        <v/>
      </c>
      <c r="L185" s="25" t="str">
        <f aca="false">IF(A185="","",IFERROR(INDEX(SCD_Data!$G$3:$G$502,SUMPRODUCT((SCD_Data!$A$3:$A$502=B185)*(IFERROR(DATEVALUE(SCD_Data!$H$3:$H$502&amp;""),SCD_Data!$H$3:$H$502)&lt;=IFERROR(DATEVALUE(A185&amp;""),A185))*(IFERROR(DATEVALUE(SCD_Data!$I$3:$I$502&amp;""),SCD_Data!$I$3:$I$502)&gt;=IFERROR(DATEVALUE(A185&amp;""),A185))*(ROW(SCD_Data!$A$3:$A$502)-2))),"—"))</f>
        <v/>
      </c>
      <c r="M185" s="27" t="str">
        <f aca="false">IF(A185="","",IF(H185="—","—",IF(C185&amp;""=H185&amp;"","✓","✗")))</f>
        <v/>
      </c>
      <c r="N185" s="27" t="str">
        <f aca="false">IF(A185="","",IF(H185="—","—",IF(D185&amp;""=I185&amp;"","✓","✗")))</f>
        <v/>
      </c>
      <c r="O185" s="27" t="str">
        <f aca="false">IF(A185="","",IF(H185="—","—",IF(ABS(E185-J185)&lt;0.01,"✓","✗")))</f>
        <v/>
      </c>
      <c r="P185" s="27" t="str">
        <f aca="false">IF(A185="","",IF(H185="—","—",IF(F185&amp;""=K185&amp;"","✓","✗")))</f>
        <v/>
      </c>
      <c r="Q185" s="27" t="str">
        <f aca="false">IF(A185="","",IF(H185="—","—",IF(G185&amp;""=L185&amp;"","✓","✗")))</f>
        <v/>
      </c>
      <c r="R185" s="27" t="str">
        <f aca="false">IF(A185="","",IF(COUNTIF(M185:Q185,"—")=5,"⚠ NO SCD ROW",IF(COUNTIF(M185:Q185,"✗")&gt;0,"❌ MISMATCH","✅ MATCH")))</f>
        <v/>
      </c>
    </row>
    <row r="186" customFormat="false" ht="15" hidden="false" customHeight="true" outlineLevel="0" collapsed="false">
      <c r="A186" s="22" t="str">
        <f aca="false">IF(Daily_Data!A185="","",Daily_Data!A185)</f>
        <v/>
      </c>
      <c r="B186" s="23" t="str">
        <f aca="false">IF(Daily_Data!B185="","",Daily_Data!B185)</f>
        <v/>
      </c>
      <c r="C186" s="23" t="str">
        <f aca="false">IF(A186="","",Daily_Data!C185)</f>
        <v/>
      </c>
      <c r="D186" s="23" t="str">
        <f aca="false">IF(A186="","",Daily_Data!D185)</f>
        <v/>
      </c>
      <c r="E186" s="24" t="str">
        <f aca="false">IF(A186="","",Daily_Data!E185)</f>
        <v/>
      </c>
      <c r="F186" s="23" t="str">
        <f aca="false">IF(A186="","",Daily_Data!F185)</f>
        <v/>
      </c>
      <c r="G186" s="23" t="str">
        <f aca="false">IF(A186="","",Daily_Data!G185)</f>
        <v/>
      </c>
      <c r="H186" s="25" t="str">
        <f aca="false">IF(A186="","",IFERROR(INDEX(SCD_Data!$C$3:$C$502,SUMPRODUCT((SCD_Data!$A$3:$A$502=B186)*(IFERROR(DATEVALUE(SCD_Data!$H$3:$H$502&amp;""),SCD_Data!$H$3:$H$502)&lt;=IFERROR(DATEVALUE(A186&amp;""),A186))*(IFERROR(DATEVALUE(SCD_Data!$I$3:$I$502&amp;""),SCD_Data!$I$3:$I$502)&gt;=IFERROR(DATEVALUE(A186&amp;""),A186))*(ROW(SCD_Data!$A$3:$A$502)-2))),"—"))</f>
        <v/>
      </c>
      <c r="I186" s="25" t="str">
        <f aca="false">IF(A186="","",IFERROR(INDEX(SCD_Data!$D$3:$D$502,SUMPRODUCT((SCD_Data!$A$3:$A$502=B186)*(IFERROR(DATEVALUE(SCD_Data!$H$3:$H$502&amp;""),SCD_Data!$H$3:$H$502)&lt;=IFERROR(DATEVALUE(A186&amp;""),A186))*(IFERROR(DATEVALUE(SCD_Data!$I$3:$I$502&amp;""),SCD_Data!$I$3:$I$502)&gt;=IFERROR(DATEVALUE(A186&amp;""),A186))*(ROW(SCD_Data!$A$3:$A$502)-2))),"—"))</f>
        <v/>
      </c>
      <c r="J186" s="26" t="str">
        <f aca="false">IF(A186="","",IFERROR(INDEX(SCD_Data!$E$3:$E$502,SUMPRODUCT((SCD_Data!$A$3:$A$502=B186)*(IFERROR(DATEVALUE(SCD_Data!$H$3:$H$502&amp;""),SCD_Data!$H$3:$H$502)&lt;=IFERROR(DATEVALUE(A186&amp;""),A186))*(IFERROR(DATEVALUE(SCD_Data!$I$3:$I$502&amp;""),SCD_Data!$I$3:$I$502)&gt;=IFERROR(DATEVALUE(A186&amp;""),A186))*(ROW(SCD_Data!$A$3:$A$502)-2))),"—"))</f>
        <v/>
      </c>
      <c r="K186" s="25" t="str">
        <f aca="false">IF(A186="","",IFERROR(INDEX(SCD_Data!$F$3:$F$502,SUMPRODUCT((SCD_Data!$A$3:$A$502=B186)*(IFERROR(DATEVALUE(SCD_Data!$H$3:$H$502&amp;""),SCD_Data!$H$3:$H$502)&lt;=IFERROR(DATEVALUE(A186&amp;""),A186))*(IFERROR(DATEVALUE(SCD_Data!$I$3:$I$502&amp;""),SCD_Data!$I$3:$I$502)&gt;=IFERROR(DATEVALUE(A186&amp;""),A186))*(ROW(SCD_Data!$A$3:$A$502)-2))),"—"))</f>
        <v/>
      </c>
      <c r="L186" s="25" t="str">
        <f aca="false">IF(A186="","",IFERROR(INDEX(SCD_Data!$G$3:$G$502,SUMPRODUCT((SCD_Data!$A$3:$A$502=B186)*(IFERROR(DATEVALUE(SCD_Data!$H$3:$H$502&amp;""),SCD_Data!$H$3:$H$502)&lt;=IFERROR(DATEVALUE(A186&amp;""),A186))*(IFERROR(DATEVALUE(SCD_Data!$I$3:$I$502&amp;""),SCD_Data!$I$3:$I$502)&gt;=IFERROR(DATEVALUE(A186&amp;""),A186))*(ROW(SCD_Data!$A$3:$A$502)-2))),"—"))</f>
        <v/>
      </c>
      <c r="M186" s="27" t="str">
        <f aca="false">IF(A186="","",IF(H186="—","—",IF(C186&amp;""=H186&amp;"","✓","✗")))</f>
        <v/>
      </c>
      <c r="N186" s="27" t="str">
        <f aca="false">IF(A186="","",IF(H186="—","—",IF(D186&amp;""=I186&amp;"","✓","✗")))</f>
        <v/>
      </c>
      <c r="O186" s="27" t="str">
        <f aca="false">IF(A186="","",IF(H186="—","—",IF(ABS(E186-J186)&lt;0.01,"✓","✗")))</f>
        <v/>
      </c>
      <c r="P186" s="27" t="str">
        <f aca="false">IF(A186="","",IF(H186="—","—",IF(F186&amp;""=K186&amp;"","✓","✗")))</f>
        <v/>
      </c>
      <c r="Q186" s="27" t="str">
        <f aca="false">IF(A186="","",IF(H186="—","—",IF(G186&amp;""=L186&amp;"","✓","✗")))</f>
        <v/>
      </c>
      <c r="R186" s="27" t="str">
        <f aca="false">IF(A186="","",IF(COUNTIF(M186:Q186,"—")=5,"⚠ NO SCD ROW",IF(COUNTIF(M186:Q186,"✗")&gt;0,"❌ MISMATCH","✅ MATCH")))</f>
        <v/>
      </c>
    </row>
    <row r="187" customFormat="false" ht="15" hidden="false" customHeight="true" outlineLevel="0" collapsed="false">
      <c r="A187" s="22" t="str">
        <f aca="false">IF(Daily_Data!A186="","",Daily_Data!A186)</f>
        <v/>
      </c>
      <c r="B187" s="23" t="str">
        <f aca="false">IF(Daily_Data!B186="","",Daily_Data!B186)</f>
        <v/>
      </c>
      <c r="C187" s="23" t="str">
        <f aca="false">IF(A187="","",Daily_Data!C186)</f>
        <v/>
      </c>
      <c r="D187" s="23" t="str">
        <f aca="false">IF(A187="","",Daily_Data!D186)</f>
        <v/>
      </c>
      <c r="E187" s="24" t="str">
        <f aca="false">IF(A187="","",Daily_Data!E186)</f>
        <v/>
      </c>
      <c r="F187" s="23" t="str">
        <f aca="false">IF(A187="","",Daily_Data!F186)</f>
        <v/>
      </c>
      <c r="G187" s="23" t="str">
        <f aca="false">IF(A187="","",Daily_Data!G186)</f>
        <v/>
      </c>
      <c r="H187" s="25" t="str">
        <f aca="false">IF(A187="","",IFERROR(INDEX(SCD_Data!$C$3:$C$502,SUMPRODUCT((SCD_Data!$A$3:$A$502=B187)*(IFERROR(DATEVALUE(SCD_Data!$H$3:$H$502&amp;""),SCD_Data!$H$3:$H$502)&lt;=IFERROR(DATEVALUE(A187&amp;""),A187))*(IFERROR(DATEVALUE(SCD_Data!$I$3:$I$502&amp;""),SCD_Data!$I$3:$I$502)&gt;=IFERROR(DATEVALUE(A187&amp;""),A187))*(ROW(SCD_Data!$A$3:$A$502)-2))),"—"))</f>
        <v/>
      </c>
      <c r="I187" s="25" t="str">
        <f aca="false">IF(A187="","",IFERROR(INDEX(SCD_Data!$D$3:$D$502,SUMPRODUCT((SCD_Data!$A$3:$A$502=B187)*(IFERROR(DATEVALUE(SCD_Data!$H$3:$H$502&amp;""),SCD_Data!$H$3:$H$502)&lt;=IFERROR(DATEVALUE(A187&amp;""),A187))*(IFERROR(DATEVALUE(SCD_Data!$I$3:$I$502&amp;""),SCD_Data!$I$3:$I$502)&gt;=IFERROR(DATEVALUE(A187&amp;""),A187))*(ROW(SCD_Data!$A$3:$A$502)-2))),"—"))</f>
        <v/>
      </c>
      <c r="J187" s="26" t="str">
        <f aca="false">IF(A187="","",IFERROR(INDEX(SCD_Data!$E$3:$E$502,SUMPRODUCT((SCD_Data!$A$3:$A$502=B187)*(IFERROR(DATEVALUE(SCD_Data!$H$3:$H$502&amp;""),SCD_Data!$H$3:$H$502)&lt;=IFERROR(DATEVALUE(A187&amp;""),A187))*(IFERROR(DATEVALUE(SCD_Data!$I$3:$I$502&amp;""),SCD_Data!$I$3:$I$502)&gt;=IFERROR(DATEVALUE(A187&amp;""),A187))*(ROW(SCD_Data!$A$3:$A$502)-2))),"—"))</f>
        <v/>
      </c>
      <c r="K187" s="25" t="str">
        <f aca="false">IF(A187="","",IFERROR(INDEX(SCD_Data!$F$3:$F$502,SUMPRODUCT((SCD_Data!$A$3:$A$502=B187)*(IFERROR(DATEVALUE(SCD_Data!$H$3:$H$502&amp;""),SCD_Data!$H$3:$H$502)&lt;=IFERROR(DATEVALUE(A187&amp;""),A187))*(IFERROR(DATEVALUE(SCD_Data!$I$3:$I$502&amp;""),SCD_Data!$I$3:$I$502)&gt;=IFERROR(DATEVALUE(A187&amp;""),A187))*(ROW(SCD_Data!$A$3:$A$502)-2))),"—"))</f>
        <v/>
      </c>
      <c r="L187" s="25" t="str">
        <f aca="false">IF(A187="","",IFERROR(INDEX(SCD_Data!$G$3:$G$502,SUMPRODUCT((SCD_Data!$A$3:$A$502=B187)*(IFERROR(DATEVALUE(SCD_Data!$H$3:$H$502&amp;""),SCD_Data!$H$3:$H$502)&lt;=IFERROR(DATEVALUE(A187&amp;""),A187))*(IFERROR(DATEVALUE(SCD_Data!$I$3:$I$502&amp;""),SCD_Data!$I$3:$I$502)&gt;=IFERROR(DATEVALUE(A187&amp;""),A187))*(ROW(SCD_Data!$A$3:$A$502)-2))),"—"))</f>
        <v/>
      </c>
      <c r="M187" s="27" t="str">
        <f aca="false">IF(A187="","",IF(H187="—","—",IF(C187&amp;""=H187&amp;"","✓","✗")))</f>
        <v/>
      </c>
      <c r="N187" s="27" t="str">
        <f aca="false">IF(A187="","",IF(H187="—","—",IF(D187&amp;""=I187&amp;"","✓","✗")))</f>
        <v/>
      </c>
      <c r="O187" s="27" t="str">
        <f aca="false">IF(A187="","",IF(H187="—","—",IF(ABS(E187-J187)&lt;0.01,"✓","✗")))</f>
        <v/>
      </c>
      <c r="P187" s="27" t="str">
        <f aca="false">IF(A187="","",IF(H187="—","—",IF(F187&amp;""=K187&amp;"","✓","✗")))</f>
        <v/>
      </c>
      <c r="Q187" s="27" t="str">
        <f aca="false">IF(A187="","",IF(H187="—","—",IF(G187&amp;""=L187&amp;"","✓","✗")))</f>
        <v/>
      </c>
      <c r="R187" s="27" t="str">
        <f aca="false">IF(A187="","",IF(COUNTIF(M187:Q187,"—")=5,"⚠ NO SCD ROW",IF(COUNTIF(M187:Q187,"✗")&gt;0,"❌ MISMATCH","✅ MATCH")))</f>
        <v/>
      </c>
    </row>
    <row r="188" customFormat="false" ht="15" hidden="false" customHeight="true" outlineLevel="0" collapsed="false">
      <c r="A188" s="22" t="str">
        <f aca="false">IF(Daily_Data!A187="","",Daily_Data!A187)</f>
        <v/>
      </c>
      <c r="B188" s="23" t="str">
        <f aca="false">IF(Daily_Data!B187="","",Daily_Data!B187)</f>
        <v/>
      </c>
      <c r="C188" s="23" t="str">
        <f aca="false">IF(A188="","",Daily_Data!C187)</f>
        <v/>
      </c>
      <c r="D188" s="23" t="str">
        <f aca="false">IF(A188="","",Daily_Data!D187)</f>
        <v/>
      </c>
      <c r="E188" s="24" t="str">
        <f aca="false">IF(A188="","",Daily_Data!E187)</f>
        <v/>
      </c>
      <c r="F188" s="23" t="str">
        <f aca="false">IF(A188="","",Daily_Data!F187)</f>
        <v/>
      </c>
      <c r="G188" s="23" t="str">
        <f aca="false">IF(A188="","",Daily_Data!G187)</f>
        <v/>
      </c>
      <c r="H188" s="25" t="str">
        <f aca="false">IF(A188="","",IFERROR(INDEX(SCD_Data!$C$3:$C$502,SUMPRODUCT((SCD_Data!$A$3:$A$502=B188)*(IFERROR(DATEVALUE(SCD_Data!$H$3:$H$502&amp;""),SCD_Data!$H$3:$H$502)&lt;=IFERROR(DATEVALUE(A188&amp;""),A188))*(IFERROR(DATEVALUE(SCD_Data!$I$3:$I$502&amp;""),SCD_Data!$I$3:$I$502)&gt;=IFERROR(DATEVALUE(A188&amp;""),A188))*(ROW(SCD_Data!$A$3:$A$502)-2))),"—"))</f>
        <v/>
      </c>
      <c r="I188" s="25" t="str">
        <f aca="false">IF(A188="","",IFERROR(INDEX(SCD_Data!$D$3:$D$502,SUMPRODUCT((SCD_Data!$A$3:$A$502=B188)*(IFERROR(DATEVALUE(SCD_Data!$H$3:$H$502&amp;""),SCD_Data!$H$3:$H$502)&lt;=IFERROR(DATEVALUE(A188&amp;""),A188))*(IFERROR(DATEVALUE(SCD_Data!$I$3:$I$502&amp;""),SCD_Data!$I$3:$I$502)&gt;=IFERROR(DATEVALUE(A188&amp;""),A188))*(ROW(SCD_Data!$A$3:$A$502)-2))),"—"))</f>
        <v/>
      </c>
      <c r="J188" s="26" t="str">
        <f aca="false">IF(A188="","",IFERROR(INDEX(SCD_Data!$E$3:$E$502,SUMPRODUCT((SCD_Data!$A$3:$A$502=B188)*(IFERROR(DATEVALUE(SCD_Data!$H$3:$H$502&amp;""),SCD_Data!$H$3:$H$502)&lt;=IFERROR(DATEVALUE(A188&amp;""),A188))*(IFERROR(DATEVALUE(SCD_Data!$I$3:$I$502&amp;""),SCD_Data!$I$3:$I$502)&gt;=IFERROR(DATEVALUE(A188&amp;""),A188))*(ROW(SCD_Data!$A$3:$A$502)-2))),"—"))</f>
        <v/>
      </c>
      <c r="K188" s="25" t="str">
        <f aca="false">IF(A188="","",IFERROR(INDEX(SCD_Data!$F$3:$F$502,SUMPRODUCT((SCD_Data!$A$3:$A$502=B188)*(IFERROR(DATEVALUE(SCD_Data!$H$3:$H$502&amp;""),SCD_Data!$H$3:$H$502)&lt;=IFERROR(DATEVALUE(A188&amp;""),A188))*(IFERROR(DATEVALUE(SCD_Data!$I$3:$I$502&amp;""),SCD_Data!$I$3:$I$502)&gt;=IFERROR(DATEVALUE(A188&amp;""),A188))*(ROW(SCD_Data!$A$3:$A$502)-2))),"—"))</f>
        <v/>
      </c>
      <c r="L188" s="25" t="str">
        <f aca="false">IF(A188="","",IFERROR(INDEX(SCD_Data!$G$3:$G$502,SUMPRODUCT((SCD_Data!$A$3:$A$502=B188)*(IFERROR(DATEVALUE(SCD_Data!$H$3:$H$502&amp;""),SCD_Data!$H$3:$H$502)&lt;=IFERROR(DATEVALUE(A188&amp;""),A188))*(IFERROR(DATEVALUE(SCD_Data!$I$3:$I$502&amp;""),SCD_Data!$I$3:$I$502)&gt;=IFERROR(DATEVALUE(A188&amp;""),A188))*(ROW(SCD_Data!$A$3:$A$502)-2))),"—"))</f>
        <v/>
      </c>
      <c r="M188" s="27" t="str">
        <f aca="false">IF(A188="","",IF(H188="—","—",IF(C188&amp;""=H188&amp;"","✓","✗")))</f>
        <v/>
      </c>
      <c r="N188" s="27" t="str">
        <f aca="false">IF(A188="","",IF(H188="—","—",IF(D188&amp;""=I188&amp;"","✓","✗")))</f>
        <v/>
      </c>
      <c r="O188" s="27" t="str">
        <f aca="false">IF(A188="","",IF(H188="—","—",IF(ABS(E188-J188)&lt;0.01,"✓","✗")))</f>
        <v/>
      </c>
      <c r="P188" s="27" t="str">
        <f aca="false">IF(A188="","",IF(H188="—","—",IF(F188&amp;""=K188&amp;"","✓","✗")))</f>
        <v/>
      </c>
      <c r="Q188" s="27" t="str">
        <f aca="false">IF(A188="","",IF(H188="—","—",IF(G188&amp;""=L188&amp;"","✓","✗")))</f>
        <v/>
      </c>
      <c r="R188" s="27" t="str">
        <f aca="false">IF(A188="","",IF(COUNTIF(M188:Q188,"—")=5,"⚠ NO SCD ROW",IF(COUNTIF(M188:Q188,"✗")&gt;0,"❌ MISMATCH","✅ MATCH")))</f>
        <v/>
      </c>
    </row>
    <row r="189" customFormat="false" ht="15" hidden="false" customHeight="true" outlineLevel="0" collapsed="false">
      <c r="A189" s="22" t="str">
        <f aca="false">IF(Daily_Data!A188="","",Daily_Data!A188)</f>
        <v/>
      </c>
      <c r="B189" s="23" t="str">
        <f aca="false">IF(Daily_Data!B188="","",Daily_Data!B188)</f>
        <v/>
      </c>
      <c r="C189" s="23" t="str">
        <f aca="false">IF(A189="","",Daily_Data!C188)</f>
        <v/>
      </c>
      <c r="D189" s="23" t="str">
        <f aca="false">IF(A189="","",Daily_Data!D188)</f>
        <v/>
      </c>
      <c r="E189" s="24" t="str">
        <f aca="false">IF(A189="","",Daily_Data!E188)</f>
        <v/>
      </c>
      <c r="F189" s="23" t="str">
        <f aca="false">IF(A189="","",Daily_Data!F188)</f>
        <v/>
      </c>
      <c r="G189" s="23" t="str">
        <f aca="false">IF(A189="","",Daily_Data!G188)</f>
        <v/>
      </c>
      <c r="H189" s="25" t="str">
        <f aca="false">IF(A189="","",IFERROR(INDEX(SCD_Data!$C$3:$C$502,SUMPRODUCT((SCD_Data!$A$3:$A$502=B189)*(IFERROR(DATEVALUE(SCD_Data!$H$3:$H$502&amp;""),SCD_Data!$H$3:$H$502)&lt;=IFERROR(DATEVALUE(A189&amp;""),A189))*(IFERROR(DATEVALUE(SCD_Data!$I$3:$I$502&amp;""),SCD_Data!$I$3:$I$502)&gt;=IFERROR(DATEVALUE(A189&amp;""),A189))*(ROW(SCD_Data!$A$3:$A$502)-2))),"—"))</f>
        <v/>
      </c>
      <c r="I189" s="25" t="str">
        <f aca="false">IF(A189="","",IFERROR(INDEX(SCD_Data!$D$3:$D$502,SUMPRODUCT((SCD_Data!$A$3:$A$502=B189)*(IFERROR(DATEVALUE(SCD_Data!$H$3:$H$502&amp;""),SCD_Data!$H$3:$H$502)&lt;=IFERROR(DATEVALUE(A189&amp;""),A189))*(IFERROR(DATEVALUE(SCD_Data!$I$3:$I$502&amp;""),SCD_Data!$I$3:$I$502)&gt;=IFERROR(DATEVALUE(A189&amp;""),A189))*(ROW(SCD_Data!$A$3:$A$502)-2))),"—"))</f>
        <v/>
      </c>
      <c r="J189" s="26" t="str">
        <f aca="false">IF(A189="","",IFERROR(INDEX(SCD_Data!$E$3:$E$502,SUMPRODUCT((SCD_Data!$A$3:$A$502=B189)*(IFERROR(DATEVALUE(SCD_Data!$H$3:$H$502&amp;""),SCD_Data!$H$3:$H$502)&lt;=IFERROR(DATEVALUE(A189&amp;""),A189))*(IFERROR(DATEVALUE(SCD_Data!$I$3:$I$502&amp;""),SCD_Data!$I$3:$I$502)&gt;=IFERROR(DATEVALUE(A189&amp;""),A189))*(ROW(SCD_Data!$A$3:$A$502)-2))),"—"))</f>
        <v/>
      </c>
      <c r="K189" s="25" t="str">
        <f aca="false">IF(A189="","",IFERROR(INDEX(SCD_Data!$F$3:$F$502,SUMPRODUCT((SCD_Data!$A$3:$A$502=B189)*(IFERROR(DATEVALUE(SCD_Data!$H$3:$H$502&amp;""),SCD_Data!$H$3:$H$502)&lt;=IFERROR(DATEVALUE(A189&amp;""),A189))*(IFERROR(DATEVALUE(SCD_Data!$I$3:$I$502&amp;""),SCD_Data!$I$3:$I$502)&gt;=IFERROR(DATEVALUE(A189&amp;""),A189))*(ROW(SCD_Data!$A$3:$A$502)-2))),"—"))</f>
        <v/>
      </c>
      <c r="L189" s="25" t="str">
        <f aca="false">IF(A189="","",IFERROR(INDEX(SCD_Data!$G$3:$G$502,SUMPRODUCT((SCD_Data!$A$3:$A$502=B189)*(IFERROR(DATEVALUE(SCD_Data!$H$3:$H$502&amp;""),SCD_Data!$H$3:$H$502)&lt;=IFERROR(DATEVALUE(A189&amp;""),A189))*(IFERROR(DATEVALUE(SCD_Data!$I$3:$I$502&amp;""),SCD_Data!$I$3:$I$502)&gt;=IFERROR(DATEVALUE(A189&amp;""),A189))*(ROW(SCD_Data!$A$3:$A$502)-2))),"—"))</f>
        <v/>
      </c>
      <c r="M189" s="27" t="str">
        <f aca="false">IF(A189="","",IF(H189="—","—",IF(C189&amp;""=H189&amp;"","✓","✗")))</f>
        <v/>
      </c>
      <c r="N189" s="27" t="str">
        <f aca="false">IF(A189="","",IF(H189="—","—",IF(D189&amp;""=I189&amp;"","✓","✗")))</f>
        <v/>
      </c>
      <c r="O189" s="27" t="str">
        <f aca="false">IF(A189="","",IF(H189="—","—",IF(ABS(E189-J189)&lt;0.01,"✓","✗")))</f>
        <v/>
      </c>
      <c r="P189" s="27" t="str">
        <f aca="false">IF(A189="","",IF(H189="—","—",IF(F189&amp;""=K189&amp;"","✓","✗")))</f>
        <v/>
      </c>
      <c r="Q189" s="27" t="str">
        <f aca="false">IF(A189="","",IF(H189="—","—",IF(G189&amp;""=L189&amp;"","✓","✗")))</f>
        <v/>
      </c>
      <c r="R189" s="27" t="str">
        <f aca="false">IF(A189="","",IF(COUNTIF(M189:Q189,"—")=5,"⚠ NO SCD ROW",IF(COUNTIF(M189:Q189,"✗")&gt;0,"❌ MISMATCH","✅ MATCH")))</f>
        <v/>
      </c>
    </row>
    <row r="190" customFormat="false" ht="15" hidden="false" customHeight="true" outlineLevel="0" collapsed="false">
      <c r="A190" s="22" t="str">
        <f aca="false">IF(Daily_Data!A189="","",Daily_Data!A189)</f>
        <v/>
      </c>
      <c r="B190" s="23" t="str">
        <f aca="false">IF(Daily_Data!B189="","",Daily_Data!B189)</f>
        <v/>
      </c>
      <c r="C190" s="23" t="str">
        <f aca="false">IF(A190="","",Daily_Data!C189)</f>
        <v/>
      </c>
      <c r="D190" s="23" t="str">
        <f aca="false">IF(A190="","",Daily_Data!D189)</f>
        <v/>
      </c>
      <c r="E190" s="24" t="str">
        <f aca="false">IF(A190="","",Daily_Data!E189)</f>
        <v/>
      </c>
      <c r="F190" s="23" t="str">
        <f aca="false">IF(A190="","",Daily_Data!F189)</f>
        <v/>
      </c>
      <c r="G190" s="23" t="str">
        <f aca="false">IF(A190="","",Daily_Data!G189)</f>
        <v/>
      </c>
      <c r="H190" s="25" t="str">
        <f aca="false">IF(A190="","",IFERROR(INDEX(SCD_Data!$C$3:$C$502,SUMPRODUCT((SCD_Data!$A$3:$A$502=B190)*(IFERROR(DATEVALUE(SCD_Data!$H$3:$H$502&amp;""),SCD_Data!$H$3:$H$502)&lt;=IFERROR(DATEVALUE(A190&amp;""),A190))*(IFERROR(DATEVALUE(SCD_Data!$I$3:$I$502&amp;""),SCD_Data!$I$3:$I$502)&gt;=IFERROR(DATEVALUE(A190&amp;""),A190))*(ROW(SCD_Data!$A$3:$A$502)-2))),"—"))</f>
        <v/>
      </c>
      <c r="I190" s="25" t="str">
        <f aca="false">IF(A190="","",IFERROR(INDEX(SCD_Data!$D$3:$D$502,SUMPRODUCT((SCD_Data!$A$3:$A$502=B190)*(IFERROR(DATEVALUE(SCD_Data!$H$3:$H$502&amp;""),SCD_Data!$H$3:$H$502)&lt;=IFERROR(DATEVALUE(A190&amp;""),A190))*(IFERROR(DATEVALUE(SCD_Data!$I$3:$I$502&amp;""),SCD_Data!$I$3:$I$502)&gt;=IFERROR(DATEVALUE(A190&amp;""),A190))*(ROW(SCD_Data!$A$3:$A$502)-2))),"—"))</f>
        <v/>
      </c>
      <c r="J190" s="26" t="str">
        <f aca="false">IF(A190="","",IFERROR(INDEX(SCD_Data!$E$3:$E$502,SUMPRODUCT((SCD_Data!$A$3:$A$502=B190)*(IFERROR(DATEVALUE(SCD_Data!$H$3:$H$502&amp;""),SCD_Data!$H$3:$H$502)&lt;=IFERROR(DATEVALUE(A190&amp;""),A190))*(IFERROR(DATEVALUE(SCD_Data!$I$3:$I$502&amp;""),SCD_Data!$I$3:$I$502)&gt;=IFERROR(DATEVALUE(A190&amp;""),A190))*(ROW(SCD_Data!$A$3:$A$502)-2))),"—"))</f>
        <v/>
      </c>
      <c r="K190" s="25" t="str">
        <f aca="false">IF(A190="","",IFERROR(INDEX(SCD_Data!$F$3:$F$502,SUMPRODUCT((SCD_Data!$A$3:$A$502=B190)*(IFERROR(DATEVALUE(SCD_Data!$H$3:$H$502&amp;""),SCD_Data!$H$3:$H$502)&lt;=IFERROR(DATEVALUE(A190&amp;""),A190))*(IFERROR(DATEVALUE(SCD_Data!$I$3:$I$502&amp;""),SCD_Data!$I$3:$I$502)&gt;=IFERROR(DATEVALUE(A190&amp;""),A190))*(ROW(SCD_Data!$A$3:$A$502)-2))),"—"))</f>
        <v/>
      </c>
      <c r="L190" s="25" t="str">
        <f aca="false">IF(A190="","",IFERROR(INDEX(SCD_Data!$G$3:$G$502,SUMPRODUCT((SCD_Data!$A$3:$A$502=B190)*(IFERROR(DATEVALUE(SCD_Data!$H$3:$H$502&amp;""),SCD_Data!$H$3:$H$502)&lt;=IFERROR(DATEVALUE(A190&amp;""),A190))*(IFERROR(DATEVALUE(SCD_Data!$I$3:$I$502&amp;""),SCD_Data!$I$3:$I$502)&gt;=IFERROR(DATEVALUE(A190&amp;""),A190))*(ROW(SCD_Data!$A$3:$A$502)-2))),"—"))</f>
        <v/>
      </c>
      <c r="M190" s="27" t="str">
        <f aca="false">IF(A190="","",IF(H190="—","—",IF(C190&amp;""=H190&amp;"","✓","✗")))</f>
        <v/>
      </c>
      <c r="N190" s="27" t="str">
        <f aca="false">IF(A190="","",IF(H190="—","—",IF(D190&amp;""=I190&amp;"","✓","✗")))</f>
        <v/>
      </c>
      <c r="O190" s="27" t="str">
        <f aca="false">IF(A190="","",IF(H190="—","—",IF(ABS(E190-J190)&lt;0.01,"✓","✗")))</f>
        <v/>
      </c>
      <c r="P190" s="27" t="str">
        <f aca="false">IF(A190="","",IF(H190="—","—",IF(F190&amp;""=K190&amp;"","✓","✗")))</f>
        <v/>
      </c>
      <c r="Q190" s="27" t="str">
        <f aca="false">IF(A190="","",IF(H190="—","—",IF(G190&amp;""=L190&amp;"","✓","✗")))</f>
        <v/>
      </c>
      <c r="R190" s="27" t="str">
        <f aca="false">IF(A190="","",IF(COUNTIF(M190:Q190,"—")=5,"⚠ NO SCD ROW",IF(COUNTIF(M190:Q190,"✗")&gt;0,"❌ MISMATCH","✅ MATCH")))</f>
        <v/>
      </c>
    </row>
    <row r="191" customFormat="false" ht="15" hidden="false" customHeight="true" outlineLevel="0" collapsed="false">
      <c r="A191" s="22" t="str">
        <f aca="false">IF(Daily_Data!A190="","",Daily_Data!A190)</f>
        <v/>
      </c>
      <c r="B191" s="23" t="str">
        <f aca="false">IF(Daily_Data!B190="","",Daily_Data!B190)</f>
        <v/>
      </c>
      <c r="C191" s="23" t="str">
        <f aca="false">IF(A191="","",Daily_Data!C190)</f>
        <v/>
      </c>
      <c r="D191" s="23" t="str">
        <f aca="false">IF(A191="","",Daily_Data!D190)</f>
        <v/>
      </c>
      <c r="E191" s="24" t="str">
        <f aca="false">IF(A191="","",Daily_Data!E190)</f>
        <v/>
      </c>
      <c r="F191" s="23" t="str">
        <f aca="false">IF(A191="","",Daily_Data!F190)</f>
        <v/>
      </c>
      <c r="G191" s="23" t="str">
        <f aca="false">IF(A191="","",Daily_Data!G190)</f>
        <v/>
      </c>
      <c r="H191" s="25" t="str">
        <f aca="false">IF(A191="","",IFERROR(INDEX(SCD_Data!$C$3:$C$502,SUMPRODUCT((SCD_Data!$A$3:$A$502=B191)*(IFERROR(DATEVALUE(SCD_Data!$H$3:$H$502&amp;""),SCD_Data!$H$3:$H$502)&lt;=IFERROR(DATEVALUE(A191&amp;""),A191))*(IFERROR(DATEVALUE(SCD_Data!$I$3:$I$502&amp;""),SCD_Data!$I$3:$I$502)&gt;=IFERROR(DATEVALUE(A191&amp;""),A191))*(ROW(SCD_Data!$A$3:$A$502)-2))),"—"))</f>
        <v/>
      </c>
      <c r="I191" s="25" t="str">
        <f aca="false">IF(A191="","",IFERROR(INDEX(SCD_Data!$D$3:$D$502,SUMPRODUCT((SCD_Data!$A$3:$A$502=B191)*(IFERROR(DATEVALUE(SCD_Data!$H$3:$H$502&amp;""),SCD_Data!$H$3:$H$502)&lt;=IFERROR(DATEVALUE(A191&amp;""),A191))*(IFERROR(DATEVALUE(SCD_Data!$I$3:$I$502&amp;""),SCD_Data!$I$3:$I$502)&gt;=IFERROR(DATEVALUE(A191&amp;""),A191))*(ROW(SCD_Data!$A$3:$A$502)-2))),"—"))</f>
        <v/>
      </c>
      <c r="J191" s="26" t="str">
        <f aca="false">IF(A191="","",IFERROR(INDEX(SCD_Data!$E$3:$E$502,SUMPRODUCT((SCD_Data!$A$3:$A$502=B191)*(IFERROR(DATEVALUE(SCD_Data!$H$3:$H$502&amp;""),SCD_Data!$H$3:$H$502)&lt;=IFERROR(DATEVALUE(A191&amp;""),A191))*(IFERROR(DATEVALUE(SCD_Data!$I$3:$I$502&amp;""),SCD_Data!$I$3:$I$502)&gt;=IFERROR(DATEVALUE(A191&amp;""),A191))*(ROW(SCD_Data!$A$3:$A$502)-2))),"—"))</f>
        <v/>
      </c>
      <c r="K191" s="25" t="str">
        <f aca="false">IF(A191="","",IFERROR(INDEX(SCD_Data!$F$3:$F$502,SUMPRODUCT((SCD_Data!$A$3:$A$502=B191)*(IFERROR(DATEVALUE(SCD_Data!$H$3:$H$502&amp;""),SCD_Data!$H$3:$H$502)&lt;=IFERROR(DATEVALUE(A191&amp;""),A191))*(IFERROR(DATEVALUE(SCD_Data!$I$3:$I$502&amp;""),SCD_Data!$I$3:$I$502)&gt;=IFERROR(DATEVALUE(A191&amp;""),A191))*(ROW(SCD_Data!$A$3:$A$502)-2))),"—"))</f>
        <v/>
      </c>
      <c r="L191" s="25" t="str">
        <f aca="false">IF(A191="","",IFERROR(INDEX(SCD_Data!$G$3:$G$502,SUMPRODUCT((SCD_Data!$A$3:$A$502=B191)*(IFERROR(DATEVALUE(SCD_Data!$H$3:$H$502&amp;""),SCD_Data!$H$3:$H$502)&lt;=IFERROR(DATEVALUE(A191&amp;""),A191))*(IFERROR(DATEVALUE(SCD_Data!$I$3:$I$502&amp;""),SCD_Data!$I$3:$I$502)&gt;=IFERROR(DATEVALUE(A191&amp;""),A191))*(ROW(SCD_Data!$A$3:$A$502)-2))),"—"))</f>
        <v/>
      </c>
      <c r="M191" s="27" t="str">
        <f aca="false">IF(A191="","",IF(H191="—","—",IF(C191&amp;""=H191&amp;"","✓","✗")))</f>
        <v/>
      </c>
      <c r="N191" s="27" t="str">
        <f aca="false">IF(A191="","",IF(H191="—","—",IF(D191&amp;""=I191&amp;"","✓","✗")))</f>
        <v/>
      </c>
      <c r="O191" s="27" t="str">
        <f aca="false">IF(A191="","",IF(H191="—","—",IF(ABS(E191-J191)&lt;0.01,"✓","✗")))</f>
        <v/>
      </c>
      <c r="P191" s="27" t="str">
        <f aca="false">IF(A191="","",IF(H191="—","—",IF(F191&amp;""=K191&amp;"","✓","✗")))</f>
        <v/>
      </c>
      <c r="Q191" s="27" t="str">
        <f aca="false">IF(A191="","",IF(H191="—","—",IF(G191&amp;""=L191&amp;"","✓","✗")))</f>
        <v/>
      </c>
      <c r="R191" s="27" t="str">
        <f aca="false">IF(A191="","",IF(COUNTIF(M191:Q191,"—")=5,"⚠ NO SCD ROW",IF(COUNTIF(M191:Q191,"✗")&gt;0,"❌ MISMATCH","✅ MATCH")))</f>
        <v/>
      </c>
    </row>
    <row r="192" customFormat="false" ht="15" hidden="false" customHeight="true" outlineLevel="0" collapsed="false">
      <c r="A192" s="22" t="str">
        <f aca="false">IF(Daily_Data!A191="","",Daily_Data!A191)</f>
        <v/>
      </c>
      <c r="B192" s="23" t="str">
        <f aca="false">IF(Daily_Data!B191="","",Daily_Data!B191)</f>
        <v/>
      </c>
      <c r="C192" s="23" t="str">
        <f aca="false">IF(A192="","",Daily_Data!C191)</f>
        <v/>
      </c>
      <c r="D192" s="23" t="str">
        <f aca="false">IF(A192="","",Daily_Data!D191)</f>
        <v/>
      </c>
      <c r="E192" s="24" t="str">
        <f aca="false">IF(A192="","",Daily_Data!E191)</f>
        <v/>
      </c>
      <c r="F192" s="23" t="str">
        <f aca="false">IF(A192="","",Daily_Data!F191)</f>
        <v/>
      </c>
      <c r="G192" s="23" t="str">
        <f aca="false">IF(A192="","",Daily_Data!G191)</f>
        <v/>
      </c>
      <c r="H192" s="25" t="str">
        <f aca="false">IF(A192="","",IFERROR(INDEX(SCD_Data!$C$3:$C$502,SUMPRODUCT((SCD_Data!$A$3:$A$502=B192)*(IFERROR(DATEVALUE(SCD_Data!$H$3:$H$502&amp;""),SCD_Data!$H$3:$H$502)&lt;=IFERROR(DATEVALUE(A192&amp;""),A192))*(IFERROR(DATEVALUE(SCD_Data!$I$3:$I$502&amp;""),SCD_Data!$I$3:$I$502)&gt;=IFERROR(DATEVALUE(A192&amp;""),A192))*(ROW(SCD_Data!$A$3:$A$502)-2))),"—"))</f>
        <v/>
      </c>
      <c r="I192" s="25" t="str">
        <f aca="false">IF(A192="","",IFERROR(INDEX(SCD_Data!$D$3:$D$502,SUMPRODUCT((SCD_Data!$A$3:$A$502=B192)*(IFERROR(DATEVALUE(SCD_Data!$H$3:$H$502&amp;""),SCD_Data!$H$3:$H$502)&lt;=IFERROR(DATEVALUE(A192&amp;""),A192))*(IFERROR(DATEVALUE(SCD_Data!$I$3:$I$502&amp;""),SCD_Data!$I$3:$I$502)&gt;=IFERROR(DATEVALUE(A192&amp;""),A192))*(ROW(SCD_Data!$A$3:$A$502)-2))),"—"))</f>
        <v/>
      </c>
      <c r="J192" s="26" t="str">
        <f aca="false">IF(A192="","",IFERROR(INDEX(SCD_Data!$E$3:$E$502,SUMPRODUCT((SCD_Data!$A$3:$A$502=B192)*(IFERROR(DATEVALUE(SCD_Data!$H$3:$H$502&amp;""),SCD_Data!$H$3:$H$502)&lt;=IFERROR(DATEVALUE(A192&amp;""),A192))*(IFERROR(DATEVALUE(SCD_Data!$I$3:$I$502&amp;""),SCD_Data!$I$3:$I$502)&gt;=IFERROR(DATEVALUE(A192&amp;""),A192))*(ROW(SCD_Data!$A$3:$A$502)-2))),"—"))</f>
        <v/>
      </c>
      <c r="K192" s="25" t="str">
        <f aca="false">IF(A192="","",IFERROR(INDEX(SCD_Data!$F$3:$F$502,SUMPRODUCT((SCD_Data!$A$3:$A$502=B192)*(IFERROR(DATEVALUE(SCD_Data!$H$3:$H$502&amp;""),SCD_Data!$H$3:$H$502)&lt;=IFERROR(DATEVALUE(A192&amp;""),A192))*(IFERROR(DATEVALUE(SCD_Data!$I$3:$I$502&amp;""),SCD_Data!$I$3:$I$502)&gt;=IFERROR(DATEVALUE(A192&amp;""),A192))*(ROW(SCD_Data!$A$3:$A$502)-2))),"—"))</f>
        <v/>
      </c>
      <c r="L192" s="25" t="str">
        <f aca="false">IF(A192="","",IFERROR(INDEX(SCD_Data!$G$3:$G$502,SUMPRODUCT((SCD_Data!$A$3:$A$502=B192)*(IFERROR(DATEVALUE(SCD_Data!$H$3:$H$502&amp;""),SCD_Data!$H$3:$H$502)&lt;=IFERROR(DATEVALUE(A192&amp;""),A192))*(IFERROR(DATEVALUE(SCD_Data!$I$3:$I$502&amp;""),SCD_Data!$I$3:$I$502)&gt;=IFERROR(DATEVALUE(A192&amp;""),A192))*(ROW(SCD_Data!$A$3:$A$502)-2))),"—"))</f>
        <v/>
      </c>
      <c r="M192" s="27" t="str">
        <f aca="false">IF(A192="","",IF(H192="—","—",IF(C192&amp;""=H192&amp;"","✓","✗")))</f>
        <v/>
      </c>
      <c r="N192" s="27" t="str">
        <f aca="false">IF(A192="","",IF(H192="—","—",IF(D192&amp;""=I192&amp;"","✓","✗")))</f>
        <v/>
      </c>
      <c r="O192" s="27" t="str">
        <f aca="false">IF(A192="","",IF(H192="—","—",IF(ABS(E192-J192)&lt;0.01,"✓","✗")))</f>
        <v/>
      </c>
      <c r="P192" s="27" t="str">
        <f aca="false">IF(A192="","",IF(H192="—","—",IF(F192&amp;""=K192&amp;"","✓","✗")))</f>
        <v/>
      </c>
      <c r="Q192" s="27" t="str">
        <f aca="false">IF(A192="","",IF(H192="—","—",IF(G192&amp;""=L192&amp;"","✓","✗")))</f>
        <v/>
      </c>
      <c r="R192" s="27" t="str">
        <f aca="false">IF(A192="","",IF(COUNTIF(M192:Q192,"—")=5,"⚠ NO SCD ROW",IF(COUNTIF(M192:Q192,"✗")&gt;0,"❌ MISMATCH","✅ MATCH")))</f>
        <v/>
      </c>
    </row>
    <row r="193" customFormat="false" ht="15" hidden="false" customHeight="true" outlineLevel="0" collapsed="false">
      <c r="A193" s="22" t="str">
        <f aca="false">IF(Daily_Data!A192="","",Daily_Data!A192)</f>
        <v/>
      </c>
      <c r="B193" s="23" t="str">
        <f aca="false">IF(Daily_Data!B192="","",Daily_Data!B192)</f>
        <v/>
      </c>
      <c r="C193" s="23" t="str">
        <f aca="false">IF(A193="","",Daily_Data!C192)</f>
        <v/>
      </c>
      <c r="D193" s="23" t="str">
        <f aca="false">IF(A193="","",Daily_Data!D192)</f>
        <v/>
      </c>
      <c r="E193" s="24" t="str">
        <f aca="false">IF(A193="","",Daily_Data!E192)</f>
        <v/>
      </c>
      <c r="F193" s="23" t="str">
        <f aca="false">IF(A193="","",Daily_Data!F192)</f>
        <v/>
      </c>
      <c r="G193" s="23" t="str">
        <f aca="false">IF(A193="","",Daily_Data!G192)</f>
        <v/>
      </c>
      <c r="H193" s="25" t="str">
        <f aca="false">IF(A193="","",IFERROR(INDEX(SCD_Data!$C$3:$C$502,SUMPRODUCT((SCD_Data!$A$3:$A$502=B193)*(IFERROR(DATEVALUE(SCD_Data!$H$3:$H$502&amp;""),SCD_Data!$H$3:$H$502)&lt;=IFERROR(DATEVALUE(A193&amp;""),A193))*(IFERROR(DATEVALUE(SCD_Data!$I$3:$I$502&amp;""),SCD_Data!$I$3:$I$502)&gt;=IFERROR(DATEVALUE(A193&amp;""),A193))*(ROW(SCD_Data!$A$3:$A$502)-2))),"—"))</f>
        <v/>
      </c>
      <c r="I193" s="25" t="str">
        <f aca="false">IF(A193="","",IFERROR(INDEX(SCD_Data!$D$3:$D$502,SUMPRODUCT((SCD_Data!$A$3:$A$502=B193)*(IFERROR(DATEVALUE(SCD_Data!$H$3:$H$502&amp;""),SCD_Data!$H$3:$H$502)&lt;=IFERROR(DATEVALUE(A193&amp;""),A193))*(IFERROR(DATEVALUE(SCD_Data!$I$3:$I$502&amp;""),SCD_Data!$I$3:$I$502)&gt;=IFERROR(DATEVALUE(A193&amp;""),A193))*(ROW(SCD_Data!$A$3:$A$502)-2))),"—"))</f>
        <v/>
      </c>
      <c r="J193" s="26" t="str">
        <f aca="false">IF(A193="","",IFERROR(INDEX(SCD_Data!$E$3:$E$502,SUMPRODUCT((SCD_Data!$A$3:$A$502=B193)*(IFERROR(DATEVALUE(SCD_Data!$H$3:$H$502&amp;""),SCD_Data!$H$3:$H$502)&lt;=IFERROR(DATEVALUE(A193&amp;""),A193))*(IFERROR(DATEVALUE(SCD_Data!$I$3:$I$502&amp;""),SCD_Data!$I$3:$I$502)&gt;=IFERROR(DATEVALUE(A193&amp;""),A193))*(ROW(SCD_Data!$A$3:$A$502)-2))),"—"))</f>
        <v/>
      </c>
      <c r="K193" s="25" t="str">
        <f aca="false">IF(A193="","",IFERROR(INDEX(SCD_Data!$F$3:$F$502,SUMPRODUCT((SCD_Data!$A$3:$A$502=B193)*(IFERROR(DATEVALUE(SCD_Data!$H$3:$H$502&amp;""),SCD_Data!$H$3:$H$502)&lt;=IFERROR(DATEVALUE(A193&amp;""),A193))*(IFERROR(DATEVALUE(SCD_Data!$I$3:$I$502&amp;""),SCD_Data!$I$3:$I$502)&gt;=IFERROR(DATEVALUE(A193&amp;""),A193))*(ROW(SCD_Data!$A$3:$A$502)-2))),"—"))</f>
        <v/>
      </c>
      <c r="L193" s="25" t="str">
        <f aca="false">IF(A193="","",IFERROR(INDEX(SCD_Data!$G$3:$G$502,SUMPRODUCT((SCD_Data!$A$3:$A$502=B193)*(IFERROR(DATEVALUE(SCD_Data!$H$3:$H$502&amp;""),SCD_Data!$H$3:$H$502)&lt;=IFERROR(DATEVALUE(A193&amp;""),A193))*(IFERROR(DATEVALUE(SCD_Data!$I$3:$I$502&amp;""),SCD_Data!$I$3:$I$502)&gt;=IFERROR(DATEVALUE(A193&amp;""),A193))*(ROW(SCD_Data!$A$3:$A$502)-2))),"—"))</f>
        <v/>
      </c>
      <c r="M193" s="27" t="str">
        <f aca="false">IF(A193="","",IF(H193="—","—",IF(C193&amp;""=H193&amp;"","✓","✗")))</f>
        <v/>
      </c>
      <c r="N193" s="27" t="str">
        <f aca="false">IF(A193="","",IF(H193="—","—",IF(D193&amp;""=I193&amp;"","✓","✗")))</f>
        <v/>
      </c>
      <c r="O193" s="27" t="str">
        <f aca="false">IF(A193="","",IF(H193="—","—",IF(ABS(E193-J193)&lt;0.01,"✓","✗")))</f>
        <v/>
      </c>
      <c r="P193" s="27" t="str">
        <f aca="false">IF(A193="","",IF(H193="—","—",IF(F193&amp;""=K193&amp;"","✓","✗")))</f>
        <v/>
      </c>
      <c r="Q193" s="27" t="str">
        <f aca="false">IF(A193="","",IF(H193="—","—",IF(G193&amp;""=L193&amp;"","✓","✗")))</f>
        <v/>
      </c>
      <c r="R193" s="27" t="str">
        <f aca="false">IF(A193="","",IF(COUNTIF(M193:Q193,"—")=5,"⚠ NO SCD ROW",IF(COUNTIF(M193:Q193,"✗")&gt;0,"❌ MISMATCH","✅ MATCH")))</f>
        <v/>
      </c>
    </row>
    <row r="194" customFormat="false" ht="15" hidden="false" customHeight="true" outlineLevel="0" collapsed="false">
      <c r="A194" s="22" t="str">
        <f aca="false">IF(Daily_Data!A193="","",Daily_Data!A193)</f>
        <v/>
      </c>
      <c r="B194" s="23" t="str">
        <f aca="false">IF(Daily_Data!B193="","",Daily_Data!B193)</f>
        <v/>
      </c>
      <c r="C194" s="23" t="str">
        <f aca="false">IF(A194="","",Daily_Data!C193)</f>
        <v/>
      </c>
      <c r="D194" s="23" t="str">
        <f aca="false">IF(A194="","",Daily_Data!D193)</f>
        <v/>
      </c>
      <c r="E194" s="24" t="str">
        <f aca="false">IF(A194="","",Daily_Data!E193)</f>
        <v/>
      </c>
      <c r="F194" s="23" t="str">
        <f aca="false">IF(A194="","",Daily_Data!F193)</f>
        <v/>
      </c>
      <c r="G194" s="23" t="str">
        <f aca="false">IF(A194="","",Daily_Data!G193)</f>
        <v/>
      </c>
      <c r="H194" s="25" t="str">
        <f aca="false">IF(A194="","",IFERROR(INDEX(SCD_Data!$C$3:$C$502,SUMPRODUCT((SCD_Data!$A$3:$A$502=B194)*(IFERROR(DATEVALUE(SCD_Data!$H$3:$H$502&amp;""),SCD_Data!$H$3:$H$502)&lt;=IFERROR(DATEVALUE(A194&amp;""),A194))*(IFERROR(DATEVALUE(SCD_Data!$I$3:$I$502&amp;""),SCD_Data!$I$3:$I$502)&gt;=IFERROR(DATEVALUE(A194&amp;""),A194))*(ROW(SCD_Data!$A$3:$A$502)-2))),"—"))</f>
        <v/>
      </c>
      <c r="I194" s="25" t="str">
        <f aca="false">IF(A194="","",IFERROR(INDEX(SCD_Data!$D$3:$D$502,SUMPRODUCT((SCD_Data!$A$3:$A$502=B194)*(IFERROR(DATEVALUE(SCD_Data!$H$3:$H$502&amp;""),SCD_Data!$H$3:$H$502)&lt;=IFERROR(DATEVALUE(A194&amp;""),A194))*(IFERROR(DATEVALUE(SCD_Data!$I$3:$I$502&amp;""),SCD_Data!$I$3:$I$502)&gt;=IFERROR(DATEVALUE(A194&amp;""),A194))*(ROW(SCD_Data!$A$3:$A$502)-2))),"—"))</f>
        <v/>
      </c>
      <c r="J194" s="26" t="str">
        <f aca="false">IF(A194="","",IFERROR(INDEX(SCD_Data!$E$3:$E$502,SUMPRODUCT((SCD_Data!$A$3:$A$502=B194)*(IFERROR(DATEVALUE(SCD_Data!$H$3:$H$502&amp;""),SCD_Data!$H$3:$H$502)&lt;=IFERROR(DATEVALUE(A194&amp;""),A194))*(IFERROR(DATEVALUE(SCD_Data!$I$3:$I$502&amp;""),SCD_Data!$I$3:$I$502)&gt;=IFERROR(DATEVALUE(A194&amp;""),A194))*(ROW(SCD_Data!$A$3:$A$502)-2))),"—"))</f>
        <v/>
      </c>
      <c r="K194" s="25" t="str">
        <f aca="false">IF(A194="","",IFERROR(INDEX(SCD_Data!$F$3:$F$502,SUMPRODUCT((SCD_Data!$A$3:$A$502=B194)*(IFERROR(DATEVALUE(SCD_Data!$H$3:$H$502&amp;""),SCD_Data!$H$3:$H$502)&lt;=IFERROR(DATEVALUE(A194&amp;""),A194))*(IFERROR(DATEVALUE(SCD_Data!$I$3:$I$502&amp;""),SCD_Data!$I$3:$I$502)&gt;=IFERROR(DATEVALUE(A194&amp;""),A194))*(ROW(SCD_Data!$A$3:$A$502)-2))),"—"))</f>
        <v/>
      </c>
      <c r="L194" s="25" t="str">
        <f aca="false">IF(A194="","",IFERROR(INDEX(SCD_Data!$G$3:$G$502,SUMPRODUCT((SCD_Data!$A$3:$A$502=B194)*(IFERROR(DATEVALUE(SCD_Data!$H$3:$H$502&amp;""),SCD_Data!$H$3:$H$502)&lt;=IFERROR(DATEVALUE(A194&amp;""),A194))*(IFERROR(DATEVALUE(SCD_Data!$I$3:$I$502&amp;""),SCD_Data!$I$3:$I$502)&gt;=IFERROR(DATEVALUE(A194&amp;""),A194))*(ROW(SCD_Data!$A$3:$A$502)-2))),"—"))</f>
        <v/>
      </c>
      <c r="M194" s="27" t="str">
        <f aca="false">IF(A194="","",IF(H194="—","—",IF(C194&amp;""=H194&amp;"","✓","✗")))</f>
        <v/>
      </c>
      <c r="N194" s="27" t="str">
        <f aca="false">IF(A194="","",IF(H194="—","—",IF(D194&amp;""=I194&amp;"","✓","✗")))</f>
        <v/>
      </c>
      <c r="O194" s="27" t="str">
        <f aca="false">IF(A194="","",IF(H194="—","—",IF(ABS(E194-J194)&lt;0.01,"✓","✗")))</f>
        <v/>
      </c>
      <c r="P194" s="27" t="str">
        <f aca="false">IF(A194="","",IF(H194="—","—",IF(F194&amp;""=K194&amp;"","✓","✗")))</f>
        <v/>
      </c>
      <c r="Q194" s="27" t="str">
        <f aca="false">IF(A194="","",IF(H194="—","—",IF(G194&amp;""=L194&amp;"","✓","✗")))</f>
        <v/>
      </c>
      <c r="R194" s="27" t="str">
        <f aca="false">IF(A194="","",IF(COUNTIF(M194:Q194,"—")=5,"⚠ NO SCD ROW",IF(COUNTIF(M194:Q194,"✗")&gt;0,"❌ MISMATCH","✅ MATCH")))</f>
        <v/>
      </c>
    </row>
    <row r="195" customFormat="false" ht="15" hidden="false" customHeight="true" outlineLevel="0" collapsed="false">
      <c r="A195" s="22" t="str">
        <f aca="false">IF(Daily_Data!A194="","",Daily_Data!A194)</f>
        <v/>
      </c>
      <c r="B195" s="23" t="str">
        <f aca="false">IF(Daily_Data!B194="","",Daily_Data!B194)</f>
        <v/>
      </c>
      <c r="C195" s="23" t="str">
        <f aca="false">IF(A195="","",Daily_Data!C194)</f>
        <v/>
      </c>
      <c r="D195" s="23" t="str">
        <f aca="false">IF(A195="","",Daily_Data!D194)</f>
        <v/>
      </c>
      <c r="E195" s="24" t="str">
        <f aca="false">IF(A195="","",Daily_Data!E194)</f>
        <v/>
      </c>
      <c r="F195" s="23" t="str">
        <f aca="false">IF(A195="","",Daily_Data!F194)</f>
        <v/>
      </c>
      <c r="G195" s="23" t="str">
        <f aca="false">IF(A195="","",Daily_Data!G194)</f>
        <v/>
      </c>
      <c r="H195" s="25" t="str">
        <f aca="false">IF(A195="","",IFERROR(INDEX(SCD_Data!$C$3:$C$502,SUMPRODUCT((SCD_Data!$A$3:$A$502=B195)*(IFERROR(DATEVALUE(SCD_Data!$H$3:$H$502&amp;""),SCD_Data!$H$3:$H$502)&lt;=IFERROR(DATEVALUE(A195&amp;""),A195))*(IFERROR(DATEVALUE(SCD_Data!$I$3:$I$502&amp;""),SCD_Data!$I$3:$I$502)&gt;=IFERROR(DATEVALUE(A195&amp;""),A195))*(ROW(SCD_Data!$A$3:$A$502)-2))),"—"))</f>
        <v/>
      </c>
      <c r="I195" s="25" t="str">
        <f aca="false">IF(A195="","",IFERROR(INDEX(SCD_Data!$D$3:$D$502,SUMPRODUCT((SCD_Data!$A$3:$A$502=B195)*(IFERROR(DATEVALUE(SCD_Data!$H$3:$H$502&amp;""),SCD_Data!$H$3:$H$502)&lt;=IFERROR(DATEVALUE(A195&amp;""),A195))*(IFERROR(DATEVALUE(SCD_Data!$I$3:$I$502&amp;""),SCD_Data!$I$3:$I$502)&gt;=IFERROR(DATEVALUE(A195&amp;""),A195))*(ROW(SCD_Data!$A$3:$A$502)-2))),"—"))</f>
        <v/>
      </c>
      <c r="J195" s="26" t="str">
        <f aca="false">IF(A195="","",IFERROR(INDEX(SCD_Data!$E$3:$E$502,SUMPRODUCT((SCD_Data!$A$3:$A$502=B195)*(IFERROR(DATEVALUE(SCD_Data!$H$3:$H$502&amp;""),SCD_Data!$H$3:$H$502)&lt;=IFERROR(DATEVALUE(A195&amp;""),A195))*(IFERROR(DATEVALUE(SCD_Data!$I$3:$I$502&amp;""),SCD_Data!$I$3:$I$502)&gt;=IFERROR(DATEVALUE(A195&amp;""),A195))*(ROW(SCD_Data!$A$3:$A$502)-2))),"—"))</f>
        <v/>
      </c>
      <c r="K195" s="25" t="str">
        <f aca="false">IF(A195="","",IFERROR(INDEX(SCD_Data!$F$3:$F$502,SUMPRODUCT((SCD_Data!$A$3:$A$502=B195)*(IFERROR(DATEVALUE(SCD_Data!$H$3:$H$502&amp;""),SCD_Data!$H$3:$H$502)&lt;=IFERROR(DATEVALUE(A195&amp;""),A195))*(IFERROR(DATEVALUE(SCD_Data!$I$3:$I$502&amp;""),SCD_Data!$I$3:$I$502)&gt;=IFERROR(DATEVALUE(A195&amp;""),A195))*(ROW(SCD_Data!$A$3:$A$502)-2))),"—"))</f>
        <v/>
      </c>
      <c r="L195" s="25" t="str">
        <f aca="false">IF(A195="","",IFERROR(INDEX(SCD_Data!$G$3:$G$502,SUMPRODUCT((SCD_Data!$A$3:$A$502=B195)*(IFERROR(DATEVALUE(SCD_Data!$H$3:$H$502&amp;""),SCD_Data!$H$3:$H$502)&lt;=IFERROR(DATEVALUE(A195&amp;""),A195))*(IFERROR(DATEVALUE(SCD_Data!$I$3:$I$502&amp;""),SCD_Data!$I$3:$I$502)&gt;=IFERROR(DATEVALUE(A195&amp;""),A195))*(ROW(SCD_Data!$A$3:$A$502)-2))),"—"))</f>
        <v/>
      </c>
      <c r="M195" s="27" t="str">
        <f aca="false">IF(A195="","",IF(H195="—","—",IF(C195&amp;""=H195&amp;"","✓","✗")))</f>
        <v/>
      </c>
      <c r="N195" s="27" t="str">
        <f aca="false">IF(A195="","",IF(H195="—","—",IF(D195&amp;""=I195&amp;"","✓","✗")))</f>
        <v/>
      </c>
      <c r="O195" s="27" t="str">
        <f aca="false">IF(A195="","",IF(H195="—","—",IF(ABS(E195-J195)&lt;0.01,"✓","✗")))</f>
        <v/>
      </c>
      <c r="P195" s="27" t="str">
        <f aca="false">IF(A195="","",IF(H195="—","—",IF(F195&amp;""=K195&amp;"","✓","✗")))</f>
        <v/>
      </c>
      <c r="Q195" s="27" t="str">
        <f aca="false">IF(A195="","",IF(H195="—","—",IF(G195&amp;""=L195&amp;"","✓","✗")))</f>
        <v/>
      </c>
      <c r="R195" s="27" t="str">
        <f aca="false">IF(A195="","",IF(COUNTIF(M195:Q195,"—")=5,"⚠ NO SCD ROW",IF(COUNTIF(M195:Q195,"✗")&gt;0,"❌ MISMATCH","✅ MATCH")))</f>
        <v/>
      </c>
    </row>
    <row r="196" customFormat="false" ht="15" hidden="false" customHeight="true" outlineLevel="0" collapsed="false">
      <c r="A196" s="22" t="str">
        <f aca="false">IF(Daily_Data!A195="","",Daily_Data!A195)</f>
        <v/>
      </c>
      <c r="B196" s="23" t="str">
        <f aca="false">IF(Daily_Data!B195="","",Daily_Data!B195)</f>
        <v/>
      </c>
      <c r="C196" s="23" t="str">
        <f aca="false">IF(A196="","",Daily_Data!C195)</f>
        <v/>
      </c>
      <c r="D196" s="23" t="str">
        <f aca="false">IF(A196="","",Daily_Data!D195)</f>
        <v/>
      </c>
      <c r="E196" s="24" t="str">
        <f aca="false">IF(A196="","",Daily_Data!E195)</f>
        <v/>
      </c>
      <c r="F196" s="23" t="str">
        <f aca="false">IF(A196="","",Daily_Data!F195)</f>
        <v/>
      </c>
      <c r="G196" s="23" t="str">
        <f aca="false">IF(A196="","",Daily_Data!G195)</f>
        <v/>
      </c>
      <c r="H196" s="25" t="str">
        <f aca="false">IF(A196="","",IFERROR(INDEX(SCD_Data!$C$3:$C$502,SUMPRODUCT((SCD_Data!$A$3:$A$502=B196)*(IFERROR(DATEVALUE(SCD_Data!$H$3:$H$502&amp;""),SCD_Data!$H$3:$H$502)&lt;=IFERROR(DATEVALUE(A196&amp;""),A196))*(IFERROR(DATEVALUE(SCD_Data!$I$3:$I$502&amp;""),SCD_Data!$I$3:$I$502)&gt;=IFERROR(DATEVALUE(A196&amp;""),A196))*(ROW(SCD_Data!$A$3:$A$502)-2))),"—"))</f>
        <v/>
      </c>
      <c r="I196" s="25" t="str">
        <f aca="false">IF(A196="","",IFERROR(INDEX(SCD_Data!$D$3:$D$502,SUMPRODUCT((SCD_Data!$A$3:$A$502=B196)*(IFERROR(DATEVALUE(SCD_Data!$H$3:$H$502&amp;""),SCD_Data!$H$3:$H$502)&lt;=IFERROR(DATEVALUE(A196&amp;""),A196))*(IFERROR(DATEVALUE(SCD_Data!$I$3:$I$502&amp;""),SCD_Data!$I$3:$I$502)&gt;=IFERROR(DATEVALUE(A196&amp;""),A196))*(ROW(SCD_Data!$A$3:$A$502)-2))),"—"))</f>
        <v/>
      </c>
      <c r="J196" s="26" t="str">
        <f aca="false">IF(A196="","",IFERROR(INDEX(SCD_Data!$E$3:$E$502,SUMPRODUCT((SCD_Data!$A$3:$A$502=B196)*(IFERROR(DATEVALUE(SCD_Data!$H$3:$H$502&amp;""),SCD_Data!$H$3:$H$502)&lt;=IFERROR(DATEVALUE(A196&amp;""),A196))*(IFERROR(DATEVALUE(SCD_Data!$I$3:$I$502&amp;""),SCD_Data!$I$3:$I$502)&gt;=IFERROR(DATEVALUE(A196&amp;""),A196))*(ROW(SCD_Data!$A$3:$A$502)-2))),"—"))</f>
        <v/>
      </c>
      <c r="K196" s="25" t="str">
        <f aca="false">IF(A196="","",IFERROR(INDEX(SCD_Data!$F$3:$F$502,SUMPRODUCT((SCD_Data!$A$3:$A$502=B196)*(IFERROR(DATEVALUE(SCD_Data!$H$3:$H$502&amp;""),SCD_Data!$H$3:$H$502)&lt;=IFERROR(DATEVALUE(A196&amp;""),A196))*(IFERROR(DATEVALUE(SCD_Data!$I$3:$I$502&amp;""),SCD_Data!$I$3:$I$502)&gt;=IFERROR(DATEVALUE(A196&amp;""),A196))*(ROW(SCD_Data!$A$3:$A$502)-2))),"—"))</f>
        <v/>
      </c>
      <c r="L196" s="25" t="str">
        <f aca="false">IF(A196="","",IFERROR(INDEX(SCD_Data!$G$3:$G$502,SUMPRODUCT((SCD_Data!$A$3:$A$502=B196)*(IFERROR(DATEVALUE(SCD_Data!$H$3:$H$502&amp;""),SCD_Data!$H$3:$H$502)&lt;=IFERROR(DATEVALUE(A196&amp;""),A196))*(IFERROR(DATEVALUE(SCD_Data!$I$3:$I$502&amp;""),SCD_Data!$I$3:$I$502)&gt;=IFERROR(DATEVALUE(A196&amp;""),A196))*(ROW(SCD_Data!$A$3:$A$502)-2))),"—"))</f>
        <v/>
      </c>
      <c r="M196" s="27" t="str">
        <f aca="false">IF(A196="","",IF(H196="—","—",IF(C196&amp;""=H196&amp;"","✓","✗")))</f>
        <v/>
      </c>
      <c r="N196" s="27" t="str">
        <f aca="false">IF(A196="","",IF(H196="—","—",IF(D196&amp;""=I196&amp;"","✓","✗")))</f>
        <v/>
      </c>
      <c r="O196" s="27" t="str">
        <f aca="false">IF(A196="","",IF(H196="—","—",IF(ABS(E196-J196)&lt;0.01,"✓","✗")))</f>
        <v/>
      </c>
      <c r="P196" s="27" t="str">
        <f aca="false">IF(A196="","",IF(H196="—","—",IF(F196&amp;""=K196&amp;"","✓","✗")))</f>
        <v/>
      </c>
      <c r="Q196" s="27" t="str">
        <f aca="false">IF(A196="","",IF(H196="—","—",IF(G196&amp;""=L196&amp;"","✓","✗")))</f>
        <v/>
      </c>
      <c r="R196" s="27" t="str">
        <f aca="false">IF(A196="","",IF(COUNTIF(M196:Q196,"—")=5,"⚠ NO SCD ROW",IF(COUNTIF(M196:Q196,"✗")&gt;0,"❌ MISMATCH","✅ MATCH")))</f>
        <v/>
      </c>
    </row>
    <row r="197" customFormat="false" ht="15" hidden="false" customHeight="true" outlineLevel="0" collapsed="false">
      <c r="A197" s="22" t="str">
        <f aca="false">IF(Daily_Data!A196="","",Daily_Data!A196)</f>
        <v/>
      </c>
      <c r="B197" s="23" t="str">
        <f aca="false">IF(Daily_Data!B196="","",Daily_Data!B196)</f>
        <v/>
      </c>
      <c r="C197" s="23" t="str">
        <f aca="false">IF(A197="","",Daily_Data!C196)</f>
        <v/>
      </c>
      <c r="D197" s="23" t="str">
        <f aca="false">IF(A197="","",Daily_Data!D196)</f>
        <v/>
      </c>
      <c r="E197" s="24" t="str">
        <f aca="false">IF(A197="","",Daily_Data!E196)</f>
        <v/>
      </c>
      <c r="F197" s="23" t="str">
        <f aca="false">IF(A197="","",Daily_Data!F196)</f>
        <v/>
      </c>
      <c r="G197" s="23" t="str">
        <f aca="false">IF(A197="","",Daily_Data!G196)</f>
        <v/>
      </c>
      <c r="H197" s="25" t="str">
        <f aca="false">IF(A197="","",IFERROR(INDEX(SCD_Data!$C$3:$C$502,SUMPRODUCT((SCD_Data!$A$3:$A$502=B197)*(IFERROR(DATEVALUE(SCD_Data!$H$3:$H$502&amp;""),SCD_Data!$H$3:$H$502)&lt;=IFERROR(DATEVALUE(A197&amp;""),A197))*(IFERROR(DATEVALUE(SCD_Data!$I$3:$I$502&amp;""),SCD_Data!$I$3:$I$502)&gt;=IFERROR(DATEVALUE(A197&amp;""),A197))*(ROW(SCD_Data!$A$3:$A$502)-2))),"—"))</f>
        <v/>
      </c>
      <c r="I197" s="25" t="str">
        <f aca="false">IF(A197="","",IFERROR(INDEX(SCD_Data!$D$3:$D$502,SUMPRODUCT((SCD_Data!$A$3:$A$502=B197)*(IFERROR(DATEVALUE(SCD_Data!$H$3:$H$502&amp;""),SCD_Data!$H$3:$H$502)&lt;=IFERROR(DATEVALUE(A197&amp;""),A197))*(IFERROR(DATEVALUE(SCD_Data!$I$3:$I$502&amp;""),SCD_Data!$I$3:$I$502)&gt;=IFERROR(DATEVALUE(A197&amp;""),A197))*(ROW(SCD_Data!$A$3:$A$502)-2))),"—"))</f>
        <v/>
      </c>
      <c r="J197" s="26" t="str">
        <f aca="false">IF(A197="","",IFERROR(INDEX(SCD_Data!$E$3:$E$502,SUMPRODUCT((SCD_Data!$A$3:$A$502=B197)*(IFERROR(DATEVALUE(SCD_Data!$H$3:$H$502&amp;""),SCD_Data!$H$3:$H$502)&lt;=IFERROR(DATEVALUE(A197&amp;""),A197))*(IFERROR(DATEVALUE(SCD_Data!$I$3:$I$502&amp;""),SCD_Data!$I$3:$I$502)&gt;=IFERROR(DATEVALUE(A197&amp;""),A197))*(ROW(SCD_Data!$A$3:$A$502)-2))),"—"))</f>
        <v/>
      </c>
      <c r="K197" s="25" t="str">
        <f aca="false">IF(A197="","",IFERROR(INDEX(SCD_Data!$F$3:$F$502,SUMPRODUCT((SCD_Data!$A$3:$A$502=B197)*(IFERROR(DATEVALUE(SCD_Data!$H$3:$H$502&amp;""),SCD_Data!$H$3:$H$502)&lt;=IFERROR(DATEVALUE(A197&amp;""),A197))*(IFERROR(DATEVALUE(SCD_Data!$I$3:$I$502&amp;""),SCD_Data!$I$3:$I$502)&gt;=IFERROR(DATEVALUE(A197&amp;""),A197))*(ROW(SCD_Data!$A$3:$A$502)-2))),"—"))</f>
        <v/>
      </c>
      <c r="L197" s="25" t="str">
        <f aca="false">IF(A197="","",IFERROR(INDEX(SCD_Data!$G$3:$G$502,SUMPRODUCT((SCD_Data!$A$3:$A$502=B197)*(IFERROR(DATEVALUE(SCD_Data!$H$3:$H$502&amp;""),SCD_Data!$H$3:$H$502)&lt;=IFERROR(DATEVALUE(A197&amp;""),A197))*(IFERROR(DATEVALUE(SCD_Data!$I$3:$I$502&amp;""),SCD_Data!$I$3:$I$502)&gt;=IFERROR(DATEVALUE(A197&amp;""),A197))*(ROW(SCD_Data!$A$3:$A$502)-2))),"—"))</f>
        <v/>
      </c>
      <c r="M197" s="27" t="str">
        <f aca="false">IF(A197="","",IF(H197="—","—",IF(C197&amp;""=H197&amp;"","✓","✗")))</f>
        <v/>
      </c>
      <c r="N197" s="27" t="str">
        <f aca="false">IF(A197="","",IF(H197="—","—",IF(D197&amp;""=I197&amp;"","✓","✗")))</f>
        <v/>
      </c>
      <c r="O197" s="27" t="str">
        <f aca="false">IF(A197="","",IF(H197="—","—",IF(ABS(E197-J197)&lt;0.01,"✓","✗")))</f>
        <v/>
      </c>
      <c r="P197" s="27" t="str">
        <f aca="false">IF(A197="","",IF(H197="—","—",IF(F197&amp;""=K197&amp;"","✓","✗")))</f>
        <v/>
      </c>
      <c r="Q197" s="27" t="str">
        <f aca="false">IF(A197="","",IF(H197="—","—",IF(G197&amp;""=L197&amp;"","✓","✗")))</f>
        <v/>
      </c>
      <c r="R197" s="27" t="str">
        <f aca="false">IF(A197="","",IF(COUNTIF(M197:Q197,"—")=5,"⚠ NO SCD ROW",IF(COUNTIF(M197:Q197,"✗")&gt;0,"❌ MISMATCH","✅ MATCH")))</f>
        <v/>
      </c>
    </row>
    <row r="198" customFormat="false" ht="15" hidden="false" customHeight="true" outlineLevel="0" collapsed="false">
      <c r="A198" s="22" t="str">
        <f aca="false">IF(Daily_Data!A197="","",Daily_Data!A197)</f>
        <v/>
      </c>
      <c r="B198" s="23" t="str">
        <f aca="false">IF(Daily_Data!B197="","",Daily_Data!B197)</f>
        <v/>
      </c>
      <c r="C198" s="23" t="str">
        <f aca="false">IF(A198="","",Daily_Data!C197)</f>
        <v/>
      </c>
      <c r="D198" s="23" t="str">
        <f aca="false">IF(A198="","",Daily_Data!D197)</f>
        <v/>
      </c>
      <c r="E198" s="24" t="str">
        <f aca="false">IF(A198="","",Daily_Data!E197)</f>
        <v/>
      </c>
      <c r="F198" s="23" t="str">
        <f aca="false">IF(A198="","",Daily_Data!F197)</f>
        <v/>
      </c>
      <c r="G198" s="23" t="str">
        <f aca="false">IF(A198="","",Daily_Data!G197)</f>
        <v/>
      </c>
      <c r="H198" s="25" t="str">
        <f aca="false">IF(A198="","",IFERROR(INDEX(SCD_Data!$C$3:$C$502,SUMPRODUCT((SCD_Data!$A$3:$A$502=B198)*(IFERROR(DATEVALUE(SCD_Data!$H$3:$H$502&amp;""),SCD_Data!$H$3:$H$502)&lt;=IFERROR(DATEVALUE(A198&amp;""),A198))*(IFERROR(DATEVALUE(SCD_Data!$I$3:$I$502&amp;""),SCD_Data!$I$3:$I$502)&gt;=IFERROR(DATEVALUE(A198&amp;""),A198))*(ROW(SCD_Data!$A$3:$A$502)-2))),"—"))</f>
        <v/>
      </c>
      <c r="I198" s="25" t="str">
        <f aca="false">IF(A198="","",IFERROR(INDEX(SCD_Data!$D$3:$D$502,SUMPRODUCT((SCD_Data!$A$3:$A$502=B198)*(IFERROR(DATEVALUE(SCD_Data!$H$3:$H$502&amp;""),SCD_Data!$H$3:$H$502)&lt;=IFERROR(DATEVALUE(A198&amp;""),A198))*(IFERROR(DATEVALUE(SCD_Data!$I$3:$I$502&amp;""),SCD_Data!$I$3:$I$502)&gt;=IFERROR(DATEVALUE(A198&amp;""),A198))*(ROW(SCD_Data!$A$3:$A$502)-2))),"—"))</f>
        <v/>
      </c>
      <c r="J198" s="26" t="str">
        <f aca="false">IF(A198="","",IFERROR(INDEX(SCD_Data!$E$3:$E$502,SUMPRODUCT((SCD_Data!$A$3:$A$502=B198)*(IFERROR(DATEVALUE(SCD_Data!$H$3:$H$502&amp;""),SCD_Data!$H$3:$H$502)&lt;=IFERROR(DATEVALUE(A198&amp;""),A198))*(IFERROR(DATEVALUE(SCD_Data!$I$3:$I$502&amp;""),SCD_Data!$I$3:$I$502)&gt;=IFERROR(DATEVALUE(A198&amp;""),A198))*(ROW(SCD_Data!$A$3:$A$502)-2))),"—"))</f>
        <v/>
      </c>
      <c r="K198" s="25" t="str">
        <f aca="false">IF(A198="","",IFERROR(INDEX(SCD_Data!$F$3:$F$502,SUMPRODUCT((SCD_Data!$A$3:$A$502=B198)*(IFERROR(DATEVALUE(SCD_Data!$H$3:$H$502&amp;""),SCD_Data!$H$3:$H$502)&lt;=IFERROR(DATEVALUE(A198&amp;""),A198))*(IFERROR(DATEVALUE(SCD_Data!$I$3:$I$502&amp;""),SCD_Data!$I$3:$I$502)&gt;=IFERROR(DATEVALUE(A198&amp;""),A198))*(ROW(SCD_Data!$A$3:$A$502)-2))),"—"))</f>
        <v/>
      </c>
      <c r="L198" s="25" t="str">
        <f aca="false">IF(A198="","",IFERROR(INDEX(SCD_Data!$G$3:$G$502,SUMPRODUCT((SCD_Data!$A$3:$A$502=B198)*(IFERROR(DATEVALUE(SCD_Data!$H$3:$H$502&amp;""),SCD_Data!$H$3:$H$502)&lt;=IFERROR(DATEVALUE(A198&amp;""),A198))*(IFERROR(DATEVALUE(SCD_Data!$I$3:$I$502&amp;""),SCD_Data!$I$3:$I$502)&gt;=IFERROR(DATEVALUE(A198&amp;""),A198))*(ROW(SCD_Data!$A$3:$A$502)-2))),"—"))</f>
        <v/>
      </c>
      <c r="M198" s="27" t="str">
        <f aca="false">IF(A198="","",IF(H198="—","—",IF(C198&amp;""=H198&amp;"","✓","✗")))</f>
        <v/>
      </c>
      <c r="N198" s="27" t="str">
        <f aca="false">IF(A198="","",IF(H198="—","—",IF(D198&amp;""=I198&amp;"","✓","✗")))</f>
        <v/>
      </c>
      <c r="O198" s="27" t="str">
        <f aca="false">IF(A198="","",IF(H198="—","—",IF(ABS(E198-J198)&lt;0.01,"✓","✗")))</f>
        <v/>
      </c>
      <c r="P198" s="27" t="str">
        <f aca="false">IF(A198="","",IF(H198="—","—",IF(F198&amp;""=K198&amp;"","✓","✗")))</f>
        <v/>
      </c>
      <c r="Q198" s="27" t="str">
        <f aca="false">IF(A198="","",IF(H198="—","—",IF(G198&amp;""=L198&amp;"","✓","✗")))</f>
        <v/>
      </c>
      <c r="R198" s="27" t="str">
        <f aca="false">IF(A198="","",IF(COUNTIF(M198:Q198,"—")=5,"⚠ NO SCD ROW",IF(COUNTIF(M198:Q198,"✗")&gt;0,"❌ MISMATCH","✅ MATCH")))</f>
        <v/>
      </c>
    </row>
    <row r="199" customFormat="false" ht="15" hidden="false" customHeight="true" outlineLevel="0" collapsed="false">
      <c r="A199" s="22" t="str">
        <f aca="false">IF(Daily_Data!A198="","",Daily_Data!A198)</f>
        <v/>
      </c>
      <c r="B199" s="23" t="str">
        <f aca="false">IF(Daily_Data!B198="","",Daily_Data!B198)</f>
        <v/>
      </c>
      <c r="C199" s="23" t="str">
        <f aca="false">IF(A199="","",Daily_Data!C198)</f>
        <v/>
      </c>
      <c r="D199" s="23" t="str">
        <f aca="false">IF(A199="","",Daily_Data!D198)</f>
        <v/>
      </c>
      <c r="E199" s="24" t="str">
        <f aca="false">IF(A199="","",Daily_Data!E198)</f>
        <v/>
      </c>
      <c r="F199" s="23" t="str">
        <f aca="false">IF(A199="","",Daily_Data!F198)</f>
        <v/>
      </c>
      <c r="G199" s="23" t="str">
        <f aca="false">IF(A199="","",Daily_Data!G198)</f>
        <v/>
      </c>
      <c r="H199" s="25" t="str">
        <f aca="false">IF(A199="","",IFERROR(INDEX(SCD_Data!$C$3:$C$502,SUMPRODUCT((SCD_Data!$A$3:$A$502=B199)*(IFERROR(DATEVALUE(SCD_Data!$H$3:$H$502&amp;""),SCD_Data!$H$3:$H$502)&lt;=IFERROR(DATEVALUE(A199&amp;""),A199))*(IFERROR(DATEVALUE(SCD_Data!$I$3:$I$502&amp;""),SCD_Data!$I$3:$I$502)&gt;=IFERROR(DATEVALUE(A199&amp;""),A199))*(ROW(SCD_Data!$A$3:$A$502)-2))),"—"))</f>
        <v/>
      </c>
      <c r="I199" s="25" t="str">
        <f aca="false">IF(A199="","",IFERROR(INDEX(SCD_Data!$D$3:$D$502,SUMPRODUCT((SCD_Data!$A$3:$A$502=B199)*(IFERROR(DATEVALUE(SCD_Data!$H$3:$H$502&amp;""),SCD_Data!$H$3:$H$502)&lt;=IFERROR(DATEVALUE(A199&amp;""),A199))*(IFERROR(DATEVALUE(SCD_Data!$I$3:$I$502&amp;""),SCD_Data!$I$3:$I$502)&gt;=IFERROR(DATEVALUE(A199&amp;""),A199))*(ROW(SCD_Data!$A$3:$A$502)-2))),"—"))</f>
        <v/>
      </c>
      <c r="J199" s="26" t="str">
        <f aca="false">IF(A199="","",IFERROR(INDEX(SCD_Data!$E$3:$E$502,SUMPRODUCT((SCD_Data!$A$3:$A$502=B199)*(IFERROR(DATEVALUE(SCD_Data!$H$3:$H$502&amp;""),SCD_Data!$H$3:$H$502)&lt;=IFERROR(DATEVALUE(A199&amp;""),A199))*(IFERROR(DATEVALUE(SCD_Data!$I$3:$I$502&amp;""),SCD_Data!$I$3:$I$502)&gt;=IFERROR(DATEVALUE(A199&amp;""),A199))*(ROW(SCD_Data!$A$3:$A$502)-2))),"—"))</f>
        <v/>
      </c>
      <c r="K199" s="25" t="str">
        <f aca="false">IF(A199="","",IFERROR(INDEX(SCD_Data!$F$3:$F$502,SUMPRODUCT((SCD_Data!$A$3:$A$502=B199)*(IFERROR(DATEVALUE(SCD_Data!$H$3:$H$502&amp;""),SCD_Data!$H$3:$H$502)&lt;=IFERROR(DATEVALUE(A199&amp;""),A199))*(IFERROR(DATEVALUE(SCD_Data!$I$3:$I$502&amp;""),SCD_Data!$I$3:$I$502)&gt;=IFERROR(DATEVALUE(A199&amp;""),A199))*(ROW(SCD_Data!$A$3:$A$502)-2))),"—"))</f>
        <v/>
      </c>
      <c r="L199" s="25" t="str">
        <f aca="false">IF(A199="","",IFERROR(INDEX(SCD_Data!$G$3:$G$502,SUMPRODUCT((SCD_Data!$A$3:$A$502=B199)*(IFERROR(DATEVALUE(SCD_Data!$H$3:$H$502&amp;""),SCD_Data!$H$3:$H$502)&lt;=IFERROR(DATEVALUE(A199&amp;""),A199))*(IFERROR(DATEVALUE(SCD_Data!$I$3:$I$502&amp;""),SCD_Data!$I$3:$I$502)&gt;=IFERROR(DATEVALUE(A199&amp;""),A199))*(ROW(SCD_Data!$A$3:$A$502)-2))),"—"))</f>
        <v/>
      </c>
      <c r="M199" s="27" t="str">
        <f aca="false">IF(A199="","",IF(H199="—","—",IF(C199&amp;""=H199&amp;"","✓","✗")))</f>
        <v/>
      </c>
      <c r="N199" s="27" t="str">
        <f aca="false">IF(A199="","",IF(H199="—","—",IF(D199&amp;""=I199&amp;"","✓","✗")))</f>
        <v/>
      </c>
      <c r="O199" s="27" t="str">
        <f aca="false">IF(A199="","",IF(H199="—","—",IF(ABS(E199-J199)&lt;0.01,"✓","✗")))</f>
        <v/>
      </c>
      <c r="P199" s="27" t="str">
        <f aca="false">IF(A199="","",IF(H199="—","—",IF(F199&amp;""=K199&amp;"","✓","✗")))</f>
        <v/>
      </c>
      <c r="Q199" s="27" t="str">
        <f aca="false">IF(A199="","",IF(H199="—","—",IF(G199&amp;""=L199&amp;"","✓","✗")))</f>
        <v/>
      </c>
      <c r="R199" s="27" t="str">
        <f aca="false">IF(A199="","",IF(COUNTIF(M199:Q199,"—")=5,"⚠ NO SCD ROW",IF(COUNTIF(M199:Q199,"✗")&gt;0,"❌ MISMATCH","✅ MATCH")))</f>
        <v/>
      </c>
    </row>
    <row r="200" customFormat="false" ht="15" hidden="false" customHeight="true" outlineLevel="0" collapsed="false">
      <c r="A200" s="22" t="str">
        <f aca="false">IF(Daily_Data!A199="","",Daily_Data!A199)</f>
        <v/>
      </c>
      <c r="B200" s="23" t="str">
        <f aca="false">IF(Daily_Data!B199="","",Daily_Data!B199)</f>
        <v/>
      </c>
      <c r="C200" s="23" t="str">
        <f aca="false">IF(A200="","",Daily_Data!C199)</f>
        <v/>
      </c>
      <c r="D200" s="23" t="str">
        <f aca="false">IF(A200="","",Daily_Data!D199)</f>
        <v/>
      </c>
      <c r="E200" s="24" t="str">
        <f aca="false">IF(A200="","",Daily_Data!E199)</f>
        <v/>
      </c>
      <c r="F200" s="23" t="str">
        <f aca="false">IF(A200="","",Daily_Data!F199)</f>
        <v/>
      </c>
      <c r="G200" s="23" t="str">
        <f aca="false">IF(A200="","",Daily_Data!G199)</f>
        <v/>
      </c>
      <c r="H200" s="25" t="str">
        <f aca="false">IF(A200="","",IFERROR(INDEX(SCD_Data!$C$3:$C$502,SUMPRODUCT((SCD_Data!$A$3:$A$502=B200)*(IFERROR(DATEVALUE(SCD_Data!$H$3:$H$502&amp;""),SCD_Data!$H$3:$H$502)&lt;=IFERROR(DATEVALUE(A200&amp;""),A200))*(IFERROR(DATEVALUE(SCD_Data!$I$3:$I$502&amp;""),SCD_Data!$I$3:$I$502)&gt;=IFERROR(DATEVALUE(A200&amp;""),A200))*(ROW(SCD_Data!$A$3:$A$502)-2))),"—"))</f>
        <v/>
      </c>
      <c r="I200" s="25" t="str">
        <f aca="false">IF(A200="","",IFERROR(INDEX(SCD_Data!$D$3:$D$502,SUMPRODUCT((SCD_Data!$A$3:$A$502=B200)*(IFERROR(DATEVALUE(SCD_Data!$H$3:$H$502&amp;""),SCD_Data!$H$3:$H$502)&lt;=IFERROR(DATEVALUE(A200&amp;""),A200))*(IFERROR(DATEVALUE(SCD_Data!$I$3:$I$502&amp;""),SCD_Data!$I$3:$I$502)&gt;=IFERROR(DATEVALUE(A200&amp;""),A200))*(ROW(SCD_Data!$A$3:$A$502)-2))),"—"))</f>
        <v/>
      </c>
      <c r="J200" s="26" t="str">
        <f aca="false">IF(A200="","",IFERROR(INDEX(SCD_Data!$E$3:$E$502,SUMPRODUCT((SCD_Data!$A$3:$A$502=B200)*(IFERROR(DATEVALUE(SCD_Data!$H$3:$H$502&amp;""),SCD_Data!$H$3:$H$502)&lt;=IFERROR(DATEVALUE(A200&amp;""),A200))*(IFERROR(DATEVALUE(SCD_Data!$I$3:$I$502&amp;""),SCD_Data!$I$3:$I$502)&gt;=IFERROR(DATEVALUE(A200&amp;""),A200))*(ROW(SCD_Data!$A$3:$A$502)-2))),"—"))</f>
        <v/>
      </c>
      <c r="K200" s="25" t="str">
        <f aca="false">IF(A200="","",IFERROR(INDEX(SCD_Data!$F$3:$F$502,SUMPRODUCT((SCD_Data!$A$3:$A$502=B200)*(IFERROR(DATEVALUE(SCD_Data!$H$3:$H$502&amp;""),SCD_Data!$H$3:$H$502)&lt;=IFERROR(DATEVALUE(A200&amp;""),A200))*(IFERROR(DATEVALUE(SCD_Data!$I$3:$I$502&amp;""),SCD_Data!$I$3:$I$502)&gt;=IFERROR(DATEVALUE(A200&amp;""),A200))*(ROW(SCD_Data!$A$3:$A$502)-2))),"—"))</f>
        <v/>
      </c>
      <c r="L200" s="25" t="str">
        <f aca="false">IF(A200="","",IFERROR(INDEX(SCD_Data!$G$3:$G$502,SUMPRODUCT((SCD_Data!$A$3:$A$502=B200)*(IFERROR(DATEVALUE(SCD_Data!$H$3:$H$502&amp;""),SCD_Data!$H$3:$H$502)&lt;=IFERROR(DATEVALUE(A200&amp;""),A200))*(IFERROR(DATEVALUE(SCD_Data!$I$3:$I$502&amp;""),SCD_Data!$I$3:$I$502)&gt;=IFERROR(DATEVALUE(A200&amp;""),A200))*(ROW(SCD_Data!$A$3:$A$502)-2))),"—"))</f>
        <v/>
      </c>
      <c r="M200" s="27" t="str">
        <f aca="false">IF(A200="","",IF(H200="—","—",IF(C200&amp;""=H200&amp;"","✓","✗")))</f>
        <v/>
      </c>
      <c r="N200" s="27" t="str">
        <f aca="false">IF(A200="","",IF(H200="—","—",IF(D200&amp;""=I200&amp;"","✓","✗")))</f>
        <v/>
      </c>
      <c r="O200" s="27" t="str">
        <f aca="false">IF(A200="","",IF(H200="—","—",IF(ABS(E200-J200)&lt;0.01,"✓","✗")))</f>
        <v/>
      </c>
      <c r="P200" s="27" t="str">
        <f aca="false">IF(A200="","",IF(H200="—","—",IF(F200&amp;""=K200&amp;"","✓","✗")))</f>
        <v/>
      </c>
      <c r="Q200" s="27" t="str">
        <f aca="false">IF(A200="","",IF(H200="—","—",IF(G200&amp;""=L200&amp;"","✓","✗")))</f>
        <v/>
      </c>
      <c r="R200" s="27" t="str">
        <f aca="false">IF(A200="","",IF(COUNTIF(M200:Q200,"—")=5,"⚠ NO SCD ROW",IF(COUNTIF(M200:Q200,"✗")&gt;0,"❌ MISMATCH","✅ MATCH")))</f>
        <v/>
      </c>
    </row>
    <row r="201" customFormat="false" ht="15" hidden="false" customHeight="true" outlineLevel="0" collapsed="false">
      <c r="A201" s="22" t="str">
        <f aca="false">IF(Daily_Data!A200="","",Daily_Data!A200)</f>
        <v/>
      </c>
      <c r="B201" s="23" t="str">
        <f aca="false">IF(Daily_Data!B200="","",Daily_Data!B200)</f>
        <v/>
      </c>
      <c r="C201" s="23" t="str">
        <f aca="false">IF(A201="","",Daily_Data!C200)</f>
        <v/>
      </c>
      <c r="D201" s="23" t="str">
        <f aca="false">IF(A201="","",Daily_Data!D200)</f>
        <v/>
      </c>
      <c r="E201" s="24" t="str">
        <f aca="false">IF(A201="","",Daily_Data!E200)</f>
        <v/>
      </c>
      <c r="F201" s="23" t="str">
        <f aca="false">IF(A201="","",Daily_Data!F200)</f>
        <v/>
      </c>
      <c r="G201" s="23" t="str">
        <f aca="false">IF(A201="","",Daily_Data!G200)</f>
        <v/>
      </c>
      <c r="H201" s="25" t="str">
        <f aca="false">IF(A201="","",IFERROR(INDEX(SCD_Data!$C$3:$C$502,SUMPRODUCT((SCD_Data!$A$3:$A$502=B201)*(IFERROR(DATEVALUE(SCD_Data!$H$3:$H$502&amp;""),SCD_Data!$H$3:$H$502)&lt;=IFERROR(DATEVALUE(A201&amp;""),A201))*(IFERROR(DATEVALUE(SCD_Data!$I$3:$I$502&amp;""),SCD_Data!$I$3:$I$502)&gt;=IFERROR(DATEVALUE(A201&amp;""),A201))*(ROW(SCD_Data!$A$3:$A$502)-2))),"—"))</f>
        <v/>
      </c>
      <c r="I201" s="25" t="str">
        <f aca="false">IF(A201="","",IFERROR(INDEX(SCD_Data!$D$3:$D$502,SUMPRODUCT((SCD_Data!$A$3:$A$502=B201)*(IFERROR(DATEVALUE(SCD_Data!$H$3:$H$502&amp;""),SCD_Data!$H$3:$H$502)&lt;=IFERROR(DATEVALUE(A201&amp;""),A201))*(IFERROR(DATEVALUE(SCD_Data!$I$3:$I$502&amp;""),SCD_Data!$I$3:$I$502)&gt;=IFERROR(DATEVALUE(A201&amp;""),A201))*(ROW(SCD_Data!$A$3:$A$502)-2))),"—"))</f>
        <v/>
      </c>
      <c r="J201" s="26" t="str">
        <f aca="false">IF(A201="","",IFERROR(INDEX(SCD_Data!$E$3:$E$502,SUMPRODUCT((SCD_Data!$A$3:$A$502=B201)*(IFERROR(DATEVALUE(SCD_Data!$H$3:$H$502&amp;""),SCD_Data!$H$3:$H$502)&lt;=IFERROR(DATEVALUE(A201&amp;""),A201))*(IFERROR(DATEVALUE(SCD_Data!$I$3:$I$502&amp;""),SCD_Data!$I$3:$I$502)&gt;=IFERROR(DATEVALUE(A201&amp;""),A201))*(ROW(SCD_Data!$A$3:$A$502)-2))),"—"))</f>
        <v/>
      </c>
      <c r="K201" s="25" t="str">
        <f aca="false">IF(A201="","",IFERROR(INDEX(SCD_Data!$F$3:$F$502,SUMPRODUCT((SCD_Data!$A$3:$A$502=B201)*(IFERROR(DATEVALUE(SCD_Data!$H$3:$H$502&amp;""),SCD_Data!$H$3:$H$502)&lt;=IFERROR(DATEVALUE(A201&amp;""),A201))*(IFERROR(DATEVALUE(SCD_Data!$I$3:$I$502&amp;""),SCD_Data!$I$3:$I$502)&gt;=IFERROR(DATEVALUE(A201&amp;""),A201))*(ROW(SCD_Data!$A$3:$A$502)-2))),"—"))</f>
        <v/>
      </c>
      <c r="L201" s="25" t="str">
        <f aca="false">IF(A201="","",IFERROR(INDEX(SCD_Data!$G$3:$G$502,SUMPRODUCT((SCD_Data!$A$3:$A$502=B201)*(IFERROR(DATEVALUE(SCD_Data!$H$3:$H$502&amp;""),SCD_Data!$H$3:$H$502)&lt;=IFERROR(DATEVALUE(A201&amp;""),A201))*(IFERROR(DATEVALUE(SCD_Data!$I$3:$I$502&amp;""),SCD_Data!$I$3:$I$502)&gt;=IFERROR(DATEVALUE(A201&amp;""),A201))*(ROW(SCD_Data!$A$3:$A$502)-2))),"—"))</f>
        <v/>
      </c>
      <c r="M201" s="27" t="str">
        <f aca="false">IF(A201="","",IF(H201="—","—",IF(C201&amp;""=H201&amp;"","✓","✗")))</f>
        <v/>
      </c>
      <c r="N201" s="27" t="str">
        <f aca="false">IF(A201="","",IF(H201="—","—",IF(D201&amp;""=I201&amp;"","✓","✗")))</f>
        <v/>
      </c>
      <c r="O201" s="27" t="str">
        <f aca="false">IF(A201="","",IF(H201="—","—",IF(ABS(E201-J201)&lt;0.01,"✓","✗")))</f>
        <v/>
      </c>
      <c r="P201" s="27" t="str">
        <f aca="false">IF(A201="","",IF(H201="—","—",IF(F201&amp;""=K201&amp;"","✓","✗")))</f>
        <v/>
      </c>
      <c r="Q201" s="27" t="str">
        <f aca="false">IF(A201="","",IF(H201="—","—",IF(G201&amp;""=L201&amp;"","✓","✗")))</f>
        <v/>
      </c>
      <c r="R201" s="27" t="str">
        <f aca="false">IF(A201="","",IF(COUNTIF(M201:Q201,"—")=5,"⚠ NO SCD ROW",IF(COUNTIF(M201:Q201,"✗")&gt;0,"❌ MISMATCH","✅ MATCH")))</f>
        <v/>
      </c>
    </row>
    <row r="202" customFormat="false" ht="15" hidden="false" customHeight="true" outlineLevel="0" collapsed="false">
      <c r="A202" s="22" t="str">
        <f aca="false">IF(Daily_Data!A201="","",Daily_Data!A201)</f>
        <v/>
      </c>
      <c r="B202" s="23" t="str">
        <f aca="false">IF(Daily_Data!B201="","",Daily_Data!B201)</f>
        <v/>
      </c>
      <c r="C202" s="23" t="str">
        <f aca="false">IF(A202="","",Daily_Data!C201)</f>
        <v/>
      </c>
      <c r="D202" s="23" t="str">
        <f aca="false">IF(A202="","",Daily_Data!D201)</f>
        <v/>
      </c>
      <c r="E202" s="24" t="str">
        <f aca="false">IF(A202="","",Daily_Data!E201)</f>
        <v/>
      </c>
      <c r="F202" s="23" t="str">
        <f aca="false">IF(A202="","",Daily_Data!F201)</f>
        <v/>
      </c>
      <c r="G202" s="23" t="str">
        <f aca="false">IF(A202="","",Daily_Data!G201)</f>
        <v/>
      </c>
      <c r="H202" s="25" t="str">
        <f aca="false">IF(A202="","",IFERROR(INDEX(SCD_Data!$C$3:$C$502,SUMPRODUCT((SCD_Data!$A$3:$A$502=B202)*(IFERROR(DATEVALUE(SCD_Data!$H$3:$H$502&amp;""),SCD_Data!$H$3:$H$502)&lt;=IFERROR(DATEVALUE(A202&amp;""),A202))*(IFERROR(DATEVALUE(SCD_Data!$I$3:$I$502&amp;""),SCD_Data!$I$3:$I$502)&gt;=IFERROR(DATEVALUE(A202&amp;""),A202))*(ROW(SCD_Data!$A$3:$A$502)-2))),"—"))</f>
        <v/>
      </c>
      <c r="I202" s="25" t="str">
        <f aca="false">IF(A202="","",IFERROR(INDEX(SCD_Data!$D$3:$D$502,SUMPRODUCT((SCD_Data!$A$3:$A$502=B202)*(IFERROR(DATEVALUE(SCD_Data!$H$3:$H$502&amp;""),SCD_Data!$H$3:$H$502)&lt;=IFERROR(DATEVALUE(A202&amp;""),A202))*(IFERROR(DATEVALUE(SCD_Data!$I$3:$I$502&amp;""),SCD_Data!$I$3:$I$502)&gt;=IFERROR(DATEVALUE(A202&amp;""),A202))*(ROW(SCD_Data!$A$3:$A$502)-2))),"—"))</f>
        <v/>
      </c>
      <c r="J202" s="26" t="str">
        <f aca="false">IF(A202="","",IFERROR(INDEX(SCD_Data!$E$3:$E$502,SUMPRODUCT((SCD_Data!$A$3:$A$502=B202)*(IFERROR(DATEVALUE(SCD_Data!$H$3:$H$502&amp;""),SCD_Data!$H$3:$H$502)&lt;=IFERROR(DATEVALUE(A202&amp;""),A202))*(IFERROR(DATEVALUE(SCD_Data!$I$3:$I$502&amp;""),SCD_Data!$I$3:$I$502)&gt;=IFERROR(DATEVALUE(A202&amp;""),A202))*(ROW(SCD_Data!$A$3:$A$502)-2))),"—"))</f>
        <v/>
      </c>
      <c r="K202" s="25" t="str">
        <f aca="false">IF(A202="","",IFERROR(INDEX(SCD_Data!$F$3:$F$502,SUMPRODUCT((SCD_Data!$A$3:$A$502=B202)*(IFERROR(DATEVALUE(SCD_Data!$H$3:$H$502&amp;""),SCD_Data!$H$3:$H$502)&lt;=IFERROR(DATEVALUE(A202&amp;""),A202))*(IFERROR(DATEVALUE(SCD_Data!$I$3:$I$502&amp;""),SCD_Data!$I$3:$I$502)&gt;=IFERROR(DATEVALUE(A202&amp;""),A202))*(ROW(SCD_Data!$A$3:$A$502)-2))),"—"))</f>
        <v/>
      </c>
      <c r="L202" s="25" t="str">
        <f aca="false">IF(A202="","",IFERROR(INDEX(SCD_Data!$G$3:$G$502,SUMPRODUCT((SCD_Data!$A$3:$A$502=B202)*(IFERROR(DATEVALUE(SCD_Data!$H$3:$H$502&amp;""),SCD_Data!$H$3:$H$502)&lt;=IFERROR(DATEVALUE(A202&amp;""),A202))*(IFERROR(DATEVALUE(SCD_Data!$I$3:$I$502&amp;""),SCD_Data!$I$3:$I$502)&gt;=IFERROR(DATEVALUE(A202&amp;""),A202))*(ROW(SCD_Data!$A$3:$A$502)-2))),"—"))</f>
        <v/>
      </c>
      <c r="M202" s="27" t="str">
        <f aca="false">IF(A202="","",IF(H202="—","—",IF(C202&amp;""=H202&amp;"","✓","✗")))</f>
        <v/>
      </c>
      <c r="N202" s="27" t="str">
        <f aca="false">IF(A202="","",IF(H202="—","—",IF(D202&amp;""=I202&amp;"","✓","✗")))</f>
        <v/>
      </c>
      <c r="O202" s="27" t="str">
        <f aca="false">IF(A202="","",IF(H202="—","—",IF(ABS(E202-J202)&lt;0.01,"✓","✗")))</f>
        <v/>
      </c>
      <c r="P202" s="27" t="str">
        <f aca="false">IF(A202="","",IF(H202="—","—",IF(F202&amp;""=K202&amp;"","✓","✗")))</f>
        <v/>
      </c>
      <c r="Q202" s="27" t="str">
        <f aca="false">IF(A202="","",IF(H202="—","—",IF(G202&amp;""=L202&amp;"","✓","✗")))</f>
        <v/>
      </c>
      <c r="R202" s="27" t="str">
        <f aca="false">IF(A202="","",IF(COUNTIF(M202:Q202,"—")=5,"⚠ NO SCD ROW",IF(COUNTIF(M202:Q202,"✗")&gt;0,"❌ MISMATCH","✅ MATCH")))</f>
        <v/>
      </c>
    </row>
    <row r="203" customFormat="false" ht="15" hidden="false" customHeight="true" outlineLevel="0" collapsed="false">
      <c r="A203" s="22" t="str">
        <f aca="false">IF(Daily_Data!A202="","",Daily_Data!A202)</f>
        <v/>
      </c>
      <c r="B203" s="23" t="str">
        <f aca="false">IF(Daily_Data!B202="","",Daily_Data!B202)</f>
        <v/>
      </c>
      <c r="C203" s="23" t="str">
        <f aca="false">IF(A203="","",Daily_Data!C202)</f>
        <v/>
      </c>
      <c r="D203" s="23" t="str">
        <f aca="false">IF(A203="","",Daily_Data!D202)</f>
        <v/>
      </c>
      <c r="E203" s="24" t="str">
        <f aca="false">IF(A203="","",Daily_Data!E202)</f>
        <v/>
      </c>
      <c r="F203" s="23" t="str">
        <f aca="false">IF(A203="","",Daily_Data!F202)</f>
        <v/>
      </c>
      <c r="G203" s="23" t="str">
        <f aca="false">IF(A203="","",Daily_Data!G202)</f>
        <v/>
      </c>
      <c r="H203" s="25" t="str">
        <f aca="false">IF(A203="","",IFERROR(INDEX(SCD_Data!$C$3:$C$502,SUMPRODUCT((SCD_Data!$A$3:$A$502=B203)*(IFERROR(DATEVALUE(SCD_Data!$H$3:$H$502&amp;""),SCD_Data!$H$3:$H$502)&lt;=IFERROR(DATEVALUE(A203&amp;""),A203))*(IFERROR(DATEVALUE(SCD_Data!$I$3:$I$502&amp;""),SCD_Data!$I$3:$I$502)&gt;=IFERROR(DATEVALUE(A203&amp;""),A203))*(ROW(SCD_Data!$A$3:$A$502)-2))),"—"))</f>
        <v/>
      </c>
      <c r="I203" s="25" t="str">
        <f aca="false">IF(A203="","",IFERROR(INDEX(SCD_Data!$D$3:$D$502,SUMPRODUCT((SCD_Data!$A$3:$A$502=B203)*(IFERROR(DATEVALUE(SCD_Data!$H$3:$H$502&amp;""),SCD_Data!$H$3:$H$502)&lt;=IFERROR(DATEVALUE(A203&amp;""),A203))*(IFERROR(DATEVALUE(SCD_Data!$I$3:$I$502&amp;""),SCD_Data!$I$3:$I$502)&gt;=IFERROR(DATEVALUE(A203&amp;""),A203))*(ROW(SCD_Data!$A$3:$A$502)-2))),"—"))</f>
        <v/>
      </c>
      <c r="J203" s="26" t="str">
        <f aca="false">IF(A203="","",IFERROR(INDEX(SCD_Data!$E$3:$E$502,SUMPRODUCT((SCD_Data!$A$3:$A$502=B203)*(IFERROR(DATEVALUE(SCD_Data!$H$3:$H$502&amp;""),SCD_Data!$H$3:$H$502)&lt;=IFERROR(DATEVALUE(A203&amp;""),A203))*(IFERROR(DATEVALUE(SCD_Data!$I$3:$I$502&amp;""),SCD_Data!$I$3:$I$502)&gt;=IFERROR(DATEVALUE(A203&amp;""),A203))*(ROW(SCD_Data!$A$3:$A$502)-2))),"—"))</f>
        <v/>
      </c>
      <c r="K203" s="25" t="str">
        <f aca="false">IF(A203="","",IFERROR(INDEX(SCD_Data!$F$3:$F$502,SUMPRODUCT((SCD_Data!$A$3:$A$502=B203)*(IFERROR(DATEVALUE(SCD_Data!$H$3:$H$502&amp;""),SCD_Data!$H$3:$H$502)&lt;=IFERROR(DATEVALUE(A203&amp;""),A203))*(IFERROR(DATEVALUE(SCD_Data!$I$3:$I$502&amp;""),SCD_Data!$I$3:$I$502)&gt;=IFERROR(DATEVALUE(A203&amp;""),A203))*(ROW(SCD_Data!$A$3:$A$502)-2))),"—"))</f>
        <v/>
      </c>
      <c r="L203" s="25" t="str">
        <f aca="false">IF(A203="","",IFERROR(INDEX(SCD_Data!$G$3:$G$502,SUMPRODUCT((SCD_Data!$A$3:$A$502=B203)*(IFERROR(DATEVALUE(SCD_Data!$H$3:$H$502&amp;""),SCD_Data!$H$3:$H$502)&lt;=IFERROR(DATEVALUE(A203&amp;""),A203))*(IFERROR(DATEVALUE(SCD_Data!$I$3:$I$502&amp;""),SCD_Data!$I$3:$I$502)&gt;=IFERROR(DATEVALUE(A203&amp;""),A203))*(ROW(SCD_Data!$A$3:$A$502)-2))),"—"))</f>
        <v/>
      </c>
      <c r="M203" s="27" t="str">
        <f aca="false">IF(A203="","",IF(H203="—","—",IF(C203&amp;""=H203&amp;"","✓","✗")))</f>
        <v/>
      </c>
      <c r="N203" s="27" t="str">
        <f aca="false">IF(A203="","",IF(H203="—","—",IF(D203&amp;""=I203&amp;"","✓","✗")))</f>
        <v/>
      </c>
      <c r="O203" s="27" t="str">
        <f aca="false">IF(A203="","",IF(H203="—","—",IF(ABS(E203-J203)&lt;0.01,"✓","✗")))</f>
        <v/>
      </c>
      <c r="P203" s="27" t="str">
        <f aca="false">IF(A203="","",IF(H203="—","—",IF(F203&amp;""=K203&amp;"","✓","✗")))</f>
        <v/>
      </c>
      <c r="Q203" s="27" t="str">
        <f aca="false">IF(A203="","",IF(H203="—","—",IF(G203&amp;""=L203&amp;"","✓","✗")))</f>
        <v/>
      </c>
      <c r="R203" s="27" t="str">
        <f aca="false">IF(A203="","",IF(COUNTIF(M203:Q203,"—")=5,"⚠ NO SCD ROW",IF(COUNTIF(M203:Q203,"✗")&gt;0,"❌ MISMATCH","✅ MATCH")))</f>
        <v/>
      </c>
    </row>
    <row r="204" customFormat="false" ht="15" hidden="false" customHeight="true" outlineLevel="0" collapsed="false">
      <c r="A204" s="22" t="str">
        <f aca="false">IF(Daily_Data!A203="","",Daily_Data!A203)</f>
        <v/>
      </c>
      <c r="B204" s="23" t="str">
        <f aca="false">IF(Daily_Data!B203="","",Daily_Data!B203)</f>
        <v/>
      </c>
      <c r="C204" s="23" t="str">
        <f aca="false">IF(A204="","",Daily_Data!C203)</f>
        <v/>
      </c>
      <c r="D204" s="23" t="str">
        <f aca="false">IF(A204="","",Daily_Data!D203)</f>
        <v/>
      </c>
      <c r="E204" s="24" t="str">
        <f aca="false">IF(A204="","",Daily_Data!E203)</f>
        <v/>
      </c>
      <c r="F204" s="23" t="str">
        <f aca="false">IF(A204="","",Daily_Data!F203)</f>
        <v/>
      </c>
      <c r="G204" s="23" t="str">
        <f aca="false">IF(A204="","",Daily_Data!G203)</f>
        <v/>
      </c>
      <c r="H204" s="25" t="str">
        <f aca="false">IF(A204="","",IFERROR(INDEX(SCD_Data!$C$3:$C$502,SUMPRODUCT((SCD_Data!$A$3:$A$502=B204)*(IFERROR(DATEVALUE(SCD_Data!$H$3:$H$502&amp;""),SCD_Data!$H$3:$H$502)&lt;=IFERROR(DATEVALUE(A204&amp;""),A204))*(IFERROR(DATEVALUE(SCD_Data!$I$3:$I$502&amp;""),SCD_Data!$I$3:$I$502)&gt;=IFERROR(DATEVALUE(A204&amp;""),A204))*(ROW(SCD_Data!$A$3:$A$502)-2))),"—"))</f>
        <v/>
      </c>
      <c r="I204" s="25" t="str">
        <f aca="false">IF(A204="","",IFERROR(INDEX(SCD_Data!$D$3:$D$502,SUMPRODUCT((SCD_Data!$A$3:$A$502=B204)*(IFERROR(DATEVALUE(SCD_Data!$H$3:$H$502&amp;""),SCD_Data!$H$3:$H$502)&lt;=IFERROR(DATEVALUE(A204&amp;""),A204))*(IFERROR(DATEVALUE(SCD_Data!$I$3:$I$502&amp;""),SCD_Data!$I$3:$I$502)&gt;=IFERROR(DATEVALUE(A204&amp;""),A204))*(ROW(SCD_Data!$A$3:$A$502)-2))),"—"))</f>
        <v/>
      </c>
      <c r="J204" s="26" t="str">
        <f aca="false">IF(A204="","",IFERROR(INDEX(SCD_Data!$E$3:$E$502,SUMPRODUCT((SCD_Data!$A$3:$A$502=B204)*(IFERROR(DATEVALUE(SCD_Data!$H$3:$H$502&amp;""),SCD_Data!$H$3:$H$502)&lt;=IFERROR(DATEVALUE(A204&amp;""),A204))*(IFERROR(DATEVALUE(SCD_Data!$I$3:$I$502&amp;""),SCD_Data!$I$3:$I$502)&gt;=IFERROR(DATEVALUE(A204&amp;""),A204))*(ROW(SCD_Data!$A$3:$A$502)-2))),"—"))</f>
        <v/>
      </c>
      <c r="K204" s="25" t="str">
        <f aca="false">IF(A204="","",IFERROR(INDEX(SCD_Data!$F$3:$F$502,SUMPRODUCT((SCD_Data!$A$3:$A$502=B204)*(IFERROR(DATEVALUE(SCD_Data!$H$3:$H$502&amp;""),SCD_Data!$H$3:$H$502)&lt;=IFERROR(DATEVALUE(A204&amp;""),A204))*(IFERROR(DATEVALUE(SCD_Data!$I$3:$I$502&amp;""),SCD_Data!$I$3:$I$502)&gt;=IFERROR(DATEVALUE(A204&amp;""),A204))*(ROW(SCD_Data!$A$3:$A$502)-2))),"—"))</f>
        <v/>
      </c>
      <c r="L204" s="25" t="str">
        <f aca="false">IF(A204="","",IFERROR(INDEX(SCD_Data!$G$3:$G$502,SUMPRODUCT((SCD_Data!$A$3:$A$502=B204)*(IFERROR(DATEVALUE(SCD_Data!$H$3:$H$502&amp;""),SCD_Data!$H$3:$H$502)&lt;=IFERROR(DATEVALUE(A204&amp;""),A204))*(IFERROR(DATEVALUE(SCD_Data!$I$3:$I$502&amp;""),SCD_Data!$I$3:$I$502)&gt;=IFERROR(DATEVALUE(A204&amp;""),A204))*(ROW(SCD_Data!$A$3:$A$502)-2))),"—"))</f>
        <v/>
      </c>
      <c r="M204" s="27" t="str">
        <f aca="false">IF(A204="","",IF(H204="—","—",IF(C204&amp;""=H204&amp;"","✓","✗")))</f>
        <v/>
      </c>
      <c r="N204" s="27" t="str">
        <f aca="false">IF(A204="","",IF(H204="—","—",IF(D204&amp;""=I204&amp;"","✓","✗")))</f>
        <v/>
      </c>
      <c r="O204" s="27" t="str">
        <f aca="false">IF(A204="","",IF(H204="—","—",IF(ABS(E204-J204)&lt;0.01,"✓","✗")))</f>
        <v/>
      </c>
      <c r="P204" s="27" t="str">
        <f aca="false">IF(A204="","",IF(H204="—","—",IF(F204&amp;""=K204&amp;"","✓","✗")))</f>
        <v/>
      </c>
      <c r="Q204" s="27" t="str">
        <f aca="false">IF(A204="","",IF(H204="—","—",IF(G204&amp;""=L204&amp;"","✓","✗")))</f>
        <v/>
      </c>
      <c r="R204" s="27" t="str">
        <f aca="false">IF(A204="","",IF(COUNTIF(M204:Q204,"—")=5,"⚠ NO SCD ROW",IF(COUNTIF(M204:Q204,"✗")&gt;0,"❌ MISMATCH","✅ MATCH")))</f>
        <v/>
      </c>
    </row>
    <row r="205" customFormat="false" ht="15" hidden="false" customHeight="true" outlineLevel="0" collapsed="false">
      <c r="A205" s="22" t="str">
        <f aca="false">IF(Daily_Data!A204="","",Daily_Data!A204)</f>
        <v/>
      </c>
      <c r="B205" s="23" t="str">
        <f aca="false">IF(Daily_Data!B204="","",Daily_Data!B204)</f>
        <v/>
      </c>
      <c r="C205" s="23" t="str">
        <f aca="false">IF(A205="","",Daily_Data!C204)</f>
        <v/>
      </c>
      <c r="D205" s="23" t="str">
        <f aca="false">IF(A205="","",Daily_Data!D204)</f>
        <v/>
      </c>
      <c r="E205" s="24" t="str">
        <f aca="false">IF(A205="","",Daily_Data!E204)</f>
        <v/>
      </c>
      <c r="F205" s="23" t="str">
        <f aca="false">IF(A205="","",Daily_Data!F204)</f>
        <v/>
      </c>
      <c r="G205" s="23" t="str">
        <f aca="false">IF(A205="","",Daily_Data!G204)</f>
        <v/>
      </c>
      <c r="H205" s="25" t="str">
        <f aca="false">IF(A205="","",IFERROR(INDEX(SCD_Data!$C$3:$C$502,SUMPRODUCT((SCD_Data!$A$3:$A$502=B205)*(IFERROR(DATEVALUE(SCD_Data!$H$3:$H$502&amp;""),SCD_Data!$H$3:$H$502)&lt;=IFERROR(DATEVALUE(A205&amp;""),A205))*(IFERROR(DATEVALUE(SCD_Data!$I$3:$I$502&amp;""),SCD_Data!$I$3:$I$502)&gt;=IFERROR(DATEVALUE(A205&amp;""),A205))*(ROW(SCD_Data!$A$3:$A$502)-2))),"—"))</f>
        <v/>
      </c>
      <c r="I205" s="25" t="str">
        <f aca="false">IF(A205="","",IFERROR(INDEX(SCD_Data!$D$3:$D$502,SUMPRODUCT((SCD_Data!$A$3:$A$502=B205)*(IFERROR(DATEVALUE(SCD_Data!$H$3:$H$502&amp;""),SCD_Data!$H$3:$H$502)&lt;=IFERROR(DATEVALUE(A205&amp;""),A205))*(IFERROR(DATEVALUE(SCD_Data!$I$3:$I$502&amp;""),SCD_Data!$I$3:$I$502)&gt;=IFERROR(DATEVALUE(A205&amp;""),A205))*(ROW(SCD_Data!$A$3:$A$502)-2))),"—"))</f>
        <v/>
      </c>
      <c r="J205" s="26" t="str">
        <f aca="false">IF(A205="","",IFERROR(INDEX(SCD_Data!$E$3:$E$502,SUMPRODUCT((SCD_Data!$A$3:$A$502=B205)*(IFERROR(DATEVALUE(SCD_Data!$H$3:$H$502&amp;""),SCD_Data!$H$3:$H$502)&lt;=IFERROR(DATEVALUE(A205&amp;""),A205))*(IFERROR(DATEVALUE(SCD_Data!$I$3:$I$502&amp;""),SCD_Data!$I$3:$I$502)&gt;=IFERROR(DATEVALUE(A205&amp;""),A205))*(ROW(SCD_Data!$A$3:$A$502)-2))),"—"))</f>
        <v/>
      </c>
      <c r="K205" s="25" t="str">
        <f aca="false">IF(A205="","",IFERROR(INDEX(SCD_Data!$F$3:$F$502,SUMPRODUCT((SCD_Data!$A$3:$A$502=B205)*(IFERROR(DATEVALUE(SCD_Data!$H$3:$H$502&amp;""),SCD_Data!$H$3:$H$502)&lt;=IFERROR(DATEVALUE(A205&amp;""),A205))*(IFERROR(DATEVALUE(SCD_Data!$I$3:$I$502&amp;""),SCD_Data!$I$3:$I$502)&gt;=IFERROR(DATEVALUE(A205&amp;""),A205))*(ROW(SCD_Data!$A$3:$A$502)-2))),"—"))</f>
        <v/>
      </c>
      <c r="L205" s="25" t="str">
        <f aca="false">IF(A205="","",IFERROR(INDEX(SCD_Data!$G$3:$G$502,SUMPRODUCT((SCD_Data!$A$3:$A$502=B205)*(IFERROR(DATEVALUE(SCD_Data!$H$3:$H$502&amp;""),SCD_Data!$H$3:$H$502)&lt;=IFERROR(DATEVALUE(A205&amp;""),A205))*(IFERROR(DATEVALUE(SCD_Data!$I$3:$I$502&amp;""),SCD_Data!$I$3:$I$502)&gt;=IFERROR(DATEVALUE(A205&amp;""),A205))*(ROW(SCD_Data!$A$3:$A$502)-2))),"—"))</f>
        <v/>
      </c>
      <c r="M205" s="27" t="str">
        <f aca="false">IF(A205="","",IF(H205="—","—",IF(C205&amp;""=H205&amp;"","✓","✗")))</f>
        <v/>
      </c>
      <c r="N205" s="27" t="str">
        <f aca="false">IF(A205="","",IF(H205="—","—",IF(D205&amp;""=I205&amp;"","✓","✗")))</f>
        <v/>
      </c>
      <c r="O205" s="27" t="str">
        <f aca="false">IF(A205="","",IF(H205="—","—",IF(ABS(E205-J205)&lt;0.01,"✓","✗")))</f>
        <v/>
      </c>
      <c r="P205" s="27" t="str">
        <f aca="false">IF(A205="","",IF(H205="—","—",IF(F205&amp;""=K205&amp;"","✓","✗")))</f>
        <v/>
      </c>
      <c r="Q205" s="27" t="str">
        <f aca="false">IF(A205="","",IF(H205="—","—",IF(G205&amp;""=L205&amp;"","✓","✗")))</f>
        <v/>
      </c>
      <c r="R205" s="27" t="str">
        <f aca="false">IF(A205="","",IF(COUNTIF(M205:Q205,"—")=5,"⚠ NO SCD ROW",IF(COUNTIF(M205:Q205,"✗")&gt;0,"❌ MISMATCH","✅ MATCH")))</f>
        <v/>
      </c>
    </row>
    <row r="206" customFormat="false" ht="15" hidden="false" customHeight="true" outlineLevel="0" collapsed="false">
      <c r="A206" s="22" t="str">
        <f aca="false">IF(Daily_Data!A205="","",Daily_Data!A205)</f>
        <v/>
      </c>
      <c r="B206" s="23" t="str">
        <f aca="false">IF(Daily_Data!B205="","",Daily_Data!B205)</f>
        <v/>
      </c>
      <c r="C206" s="23" t="str">
        <f aca="false">IF(A206="","",Daily_Data!C205)</f>
        <v/>
      </c>
      <c r="D206" s="23" t="str">
        <f aca="false">IF(A206="","",Daily_Data!D205)</f>
        <v/>
      </c>
      <c r="E206" s="24" t="str">
        <f aca="false">IF(A206="","",Daily_Data!E205)</f>
        <v/>
      </c>
      <c r="F206" s="23" t="str">
        <f aca="false">IF(A206="","",Daily_Data!F205)</f>
        <v/>
      </c>
      <c r="G206" s="23" t="str">
        <f aca="false">IF(A206="","",Daily_Data!G205)</f>
        <v/>
      </c>
      <c r="H206" s="25" t="str">
        <f aca="false">IF(A206="","",IFERROR(INDEX(SCD_Data!$C$3:$C$502,SUMPRODUCT((SCD_Data!$A$3:$A$502=B206)*(IFERROR(DATEVALUE(SCD_Data!$H$3:$H$502&amp;""),SCD_Data!$H$3:$H$502)&lt;=IFERROR(DATEVALUE(A206&amp;""),A206))*(IFERROR(DATEVALUE(SCD_Data!$I$3:$I$502&amp;""),SCD_Data!$I$3:$I$502)&gt;=IFERROR(DATEVALUE(A206&amp;""),A206))*(ROW(SCD_Data!$A$3:$A$502)-2))),"—"))</f>
        <v/>
      </c>
      <c r="I206" s="25" t="str">
        <f aca="false">IF(A206="","",IFERROR(INDEX(SCD_Data!$D$3:$D$502,SUMPRODUCT((SCD_Data!$A$3:$A$502=B206)*(IFERROR(DATEVALUE(SCD_Data!$H$3:$H$502&amp;""),SCD_Data!$H$3:$H$502)&lt;=IFERROR(DATEVALUE(A206&amp;""),A206))*(IFERROR(DATEVALUE(SCD_Data!$I$3:$I$502&amp;""),SCD_Data!$I$3:$I$502)&gt;=IFERROR(DATEVALUE(A206&amp;""),A206))*(ROW(SCD_Data!$A$3:$A$502)-2))),"—"))</f>
        <v/>
      </c>
      <c r="J206" s="26" t="str">
        <f aca="false">IF(A206="","",IFERROR(INDEX(SCD_Data!$E$3:$E$502,SUMPRODUCT((SCD_Data!$A$3:$A$502=B206)*(IFERROR(DATEVALUE(SCD_Data!$H$3:$H$502&amp;""),SCD_Data!$H$3:$H$502)&lt;=IFERROR(DATEVALUE(A206&amp;""),A206))*(IFERROR(DATEVALUE(SCD_Data!$I$3:$I$502&amp;""),SCD_Data!$I$3:$I$502)&gt;=IFERROR(DATEVALUE(A206&amp;""),A206))*(ROW(SCD_Data!$A$3:$A$502)-2))),"—"))</f>
        <v/>
      </c>
      <c r="K206" s="25" t="str">
        <f aca="false">IF(A206="","",IFERROR(INDEX(SCD_Data!$F$3:$F$502,SUMPRODUCT((SCD_Data!$A$3:$A$502=B206)*(IFERROR(DATEVALUE(SCD_Data!$H$3:$H$502&amp;""),SCD_Data!$H$3:$H$502)&lt;=IFERROR(DATEVALUE(A206&amp;""),A206))*(IFERROR(DATEVALUE(SCD_Data!$I$3:$I$502&amp;""),SCD_Data!$I$3:$I$502)&gt;=IFERROR(DATEVALUE(A206&amp;""),A206))*(ROW(SCD_Data!$A$3:$A$502)-2))),"—"))</f>
        <v/>
      </c>
      <c r="L206" s="25" t="str">
        <f aca="false">IF(A206="","",IFERROR(INDEX(SCD_Data!$G$3:$G$502,SUMPRODUCT((SCD_Data!$A$3:$A$502=B206)*(IFERROR(DATEVALUE(SCD_Data!$H$3:$H$502&amp;""),SCD_Data!$H$3:$H$502)&lt;=IFERROR(DATEVALUE(A206&amp;""),A206))*(IFERROR(DATEVALUE(SCD_Data!$I$3:$I$502&amp;""),SCD_Data!$I$3:$I$502)&gt;=IFERROR(DATEVALUE(A206&amp;""),A206))*(ROW(SCD_Data!$A$3:$A$502)-2))),"—"))</f>
        <v/>
      </c>
      <c r="M206" s="27" t="str">
        <f aca="false">IF(A206="","",IF(H206="—","—",IF(C206&amp;""=H206&amp;"","✓","✗")))</f>
        <v/>
      </c>
      <c r="N206" s="27" t="str">
        <f aca="false">IF(A206="","",IF(H206="—","—",IF(D206&amp;""=I206&amp;"","✓","✗")))</f>
        <v/>
      </c>
      <c r="O206" s="27" t="str">
        <f aca="false">IF(A206="","",IF(H206="—","—",IF(ABS(E206-J206)&lt;0.01,"✓","✗")))</f>
        <v/>
      </c>
      <c r="P206" s="27" t="str">
        <f aca="false">IF(A206="","",IF(H206="—","—",IF(F206&amp;""=K206&amp;"","✓","✗")))</f>
        <v/>
      </c>
      <c r="Q206" s="27" t="str">
        <f aca="false">IF(A206="","",IF(H206="—","—",IF(G206&amp;""=L206&amp;"","✓","✗")))</f>
        <v/>
      </c>
      <c r="R206" s="27" t="str">
        <f aca="false">IF(A206="","",IF(COUNTIF(M206:Q206,"—")=5,"⚠ NO SCD ROW",IF(COUNTIF(M206:Q206,"✗")&gt;0,"❌ MISMATCH","✅ MATCH")))</f>
        <v/>
      </c>
    </row>
    <row r="207" customFormat="false" ht="15" hidden="false" customHeight="true" outlineLevel="0" collapsed="false">
      <c r="A207" s="22" t="str">
        <f aca="false">IF(Daily_Data!A206="","",Daily_Data!A206)</f>
        <v/>
      </c>
      <c r="B207" s="23" t="str">
        <f aca="false">IF(Daily_Data!B206="","",Daily_Data!B206)</f>
        <v/>
      </c>
      <c r="C207" s="23" t="str">
        <f aca="false">IF(A207="","",Daily_Data!C206)</f>
        <v/>
      </c>
      <c r="D207" s="23" t="str">
        <f aca="false">IF(A207="","",Daily_Data!D206)</f>
        <v/>
      </c>
      <c r="E207" s="24" t="str">
        <f aca="false">IF(A207="","",Daily_Data!E206)</f>
        <v/>
      </c>
      <c r="F207" s="23" t="str">
        <f aca="false">IF(A207="","",Daily_Data!F206)</f>
        <v/>
      </c>
      <c r="G207" s="23" t="str">
        <f aca="false">IF(A207="","",Daily_Data!G206)</f>
        <v/>
      </c>
      <c r="H207" s="25" t="str">
        <f aca="false">IF(A207="","",IFERROR(INDEX(SCD_Data!$C$3:$C$502,SUMPRODUCT((SCD_Data!$A$3:$A$502=B207)*(IFERROR(DATEVALUE(SCD_Data!$H$3:$H$502&amp;""),SCD_Data!$H$3:$H$502)&lt;=IFERROR(DATEVALUE(A207&amp;""),A207))*(IFERROR(DATEVALUE(SCD_Data!$I$3:$I$502&amp;""),SCD_Data!$I$3:$I$502)&gt;=IFERROR(DATEVALUE(A207&amp;""),A207))*(ROW(SCD_Data!$A$3:$A$502)-2))),"—"))</f>
        <v/>
      </c>
      <c r="I207" s="25" t="str">
        <f aca="false">IF(A207="","",IFERROR(INDEX(SCD_Data!$D$3:$D$502,SUMPRODUCT((SCD_Data!$A$3:$A$502=B207)*(IFERROR(DATEVALUE(SCD_Data!$H$3:$H$502&amp;""),SCD_Data!$H$3:$H$502)&lt;=IFERROR(DATEVALUE(A207&amp;""),A207))*(IFERROR(DATEVALUE(SCD_Data!$I$3:$I$502&amp;""),SCD_Data!$I$3:$I$502)&gt;=IFERROR(DATEVALUE(A207&amp;""),A207))*(ROW(SCD_Data!$A$3:$A$502)-2))),"—"))</f>
        <v/>
      </c>
      <c r="J207" s="26" t="str">
        <f aca="false">IF(A207="","",IFERROR(INDEX(SCD_Data!$E$3:$E$502,SUMPRODUCT((SCD_Data!$A$3:$A$502=B207)*(IFERROR(DATEVALUE(SCD_Data!$H$3:$H$502&amp;""),SCD_Data!$H$3:$H$502)&lt;=IFERROR(DATEVALUE(A207&amp;""),A207))*(IFERROR(DATEVALUE(SCD_Data!$I$3:$I$502&amp;""),SCD_Data!$I$3:$I$502)&gt;=IFERROR(DATEVALUE(A207&amp;""),A207))*(ROW(SCD_Data!$A$3:$A$502)-2))),"—"))</f>
        <v/>
      </c>
      <c r="K207" s="25" t="str">
        <f aca="false">IF(A207="","",IFERROR(INDEX(SCD_Data!$F$3:$F$502,SUMPRODUCT((SCD_Data!$A$3:$A$502=B207)*(IFERROR(DATEVALUE(SCD_Data!$H$3:$H$502&amp;""),SCD_Data!$H$3:$H$502)&lt;=IFERROR(DATEVALUE(A207&amp;""),A207))*(IFERROR(DATEVALUE(SCD_Data!$I$3:$I$502&amp;""),SCD_Data!$I$3:$I$502)&gt;=IFERROR(DATEVALUE(A207&amp;""),A207))*(ROW(SCD_Data!$A$3:$A$502)-2))),"—"))</f>
        <v/>
      </c>
      <c r="L207" s="25" t="str">
        <f aca="false">IF(A207="","",IFERROR(INDEX(SCD_Data!$G$3:$G$502,SUMPRODUCT((SCD_Data!$A$3:$A$502=B207)*(IFERROR(DATEVALUE(SCD_Data!$H$3:$H$502&amp;""),SCD_Data!$H$3:$H$502)&lt;=IFERROR(DATEVALUE(A207&amp;""),A207))*(IFERROR(DATEVALUE(SCD_Data!$I$3:$I$502&amp;""),SCD_Data!$I$3:$I$502)&gt;=IFERROR(DATEVALUE(A207&amp;""),A207))*(ROW(SCD_Data!$A$3:$A$502)-2))),"—"))</f>
        <v/>
      </c>
      <c r="M207" s="27" t="str">
        <f aca="false">IF(A207="","",IF(H207="—","—",IF(C207&amp;""=H207&amp;"","✓","✗")))</f>
        <v/>
      </c>
      <c r="N207" s="27" t="str">
        <f aca="false">IF(A207="","",IF(H207="—","—",IF(D207&amp;""=I207&amp;"","✓","✗")))</f>
        <v/>
      </c>
      <c r="O207" s="27" t="str">
        <f aca="false">IF(A207="","",IF(H207="—","—",IF(ABS(E207-J207)&lt;0.01,"✓","✗")))</f>
        <v/>
      </c>
      <c r="P207" s="27" t="str">
        <f aca="false">IF(A207="","",IF(H207="—","—",IF(F207&amp;""=K207&amp;"","✓","✗")))</f>
        <v/>
      </c>
      <c r="Q207" s="27" t="str">
        <f aca="false">IF(A207="","",IF(H207="—","—",IF(G207&amp;""=L207&amp;"","✓","✗")))</f>
        <v/>
      </c>
      <c r="R207" s="27" t="str">
        <f aca="false">IF(A207="","",IF(COUNTIF(M207:Q207,"—")=5,"⚠ NO SCD ROW",IF(COUNTIF(M207:Q207,"✗")&gt;0,"❌ MISMATCH","✅ MATCH")))</f>
        <v/>
      </c>
    </row>
    <row r="208" customFormat="false" ht="15" hidden="false" customHeight="true" outlineLevel="0" collapsed="false">
      <c r="A208" s="22" t="str">
        <f aca="false">IF(Daily_Data!A207="","",Daily_Data!A207)</f>
        <v/>
      </c>
      <c r="B208" s="23" t="str">
        <f aca="false">IF(Daily_Data!B207="","",Daily_Data!B207)</f>
        <v/>
      </c>
      <c r="C208" s="23" t="str">
        <f aca="false">IF(A208="","",Daily_Data!C207)</f>
        <v/>
      </c>
      <c r="D208" s="23" t="str">
        <f aca="false">IF(A208="","",Daily_Data!D207)</f>
        <v/>
      </c>
      <c r="E208" s="24" t="str">
        <f aca="false">IF(A208="","",Daily_Data!E207)</f>
        <v/>
      </c>
      <c r="F208" s="23" t="str">
        <f aca="false">IF(A208="","",Daily_Data!F207)</f>
        <v/>
      </c>
      <c r="G208" s="23" t="str">
        <f aca="false">IF(A208="","",Daily_Data!G207)</f>
        <v/>
      </c>
      <c r="H208" s="25" t="str">
        <f aca="false">IF(A208="","",IFERROR(INDEX(SCD_Data!$C$3:$C$502,SUMPRODUCT((SCD_Data!$A$3:$A$502=B208)*(IFERROR(DATEVALUE(SCD_Data!$H$3:$H$502&amp;""),SCD_Data!$H$3:$H$502)&lt;=IFERROR(DATEVALUE(A208&amp;""),A208))*(IFERROR(DATEVALUE(SCD_Data!$I$3:$I$502&amp;""),SCD_Data!$I$3:$I$502)&gt;=IFERROR(DATEVALUE(A208&amp;""),A208))*(ROW(SCD_Data!$A$3:$A$502)-2))),"—"))</f>
        <v/>
      </c>
      <c r="I208" s="25" t="str">
        <f aca="false">IF(A208="","",IFERROR(INDEX(SCD_Data!$D$3:$D$502,SUMPRODUCT((SCD_Data!$A$3:$A$502=B208)*(IFERROR(DATEVALUE(SCD_Data!$H$3:$H$502&amp;""),SCD_Data!$H$3:$H$502)&lt;=IFERROR(DATEVALUE(A208&amp;""),A208))*(IFERROR(DATEVALUE(SCD_Data!$I$3:$I$502&amp;""),SCD_Data!$I$3:$I$502)&gt;=IFERROR(DATEVALUE(A208&amp;""),A208))*(ROW(SCD_Data!$A$3:$A$502)-2))),"—"))</f>
        <v/>
      </c>
      <c r="J208" s="26" t="str">
        <f aca="false">IF(A208="","",IFERROR(INDEX(SCD_Data!$E$3:$E$502,SUMPRODUCT((SCD_Data!$A$3:$A$502=B208)*(IFERROR(DATEVALUE(SCD_Data!$H$3:$H$502&amp;""),SCD_Data!$H$3:$H$502)&lt;=IFERROR(DATEVALUE(A208&amp;""),A208))*(IFERROR(DATEVALUE(SCD_Data!$I$3:$I$502&amp;""),SCD_Data!$I$3:$I$502)&gt;=IFERROR(DATEVALUE(A208&amp;""),A208))*(ROW(SCD_Data!$A$3:$A$502)-2))),"—"))</f>
        <v/>
      </c>
      <c r="K208" s="25" t="str">
        <f aca="false">IF(A208="","",IFERROR(INDEX(SCD_Data!$F$3:$F$502,SUMPRODUCT((SCD_Data!$A$3:$A$502=B208)*(IFERROR(DATEVALUE(SCD_Data!$H$3:$H$502&amp;""),SCD_Data!$H$3:$H$502)&lt;=IFERROR(DATEVALUE(A208&amp;""),A208))*(IFERROR(DATEVALUE(SCD_Data!$I$3:$I$502&amp;""),SCD_Data!$I$3:$I$502)&gt;=IFERROR(DATEVALUE(A208&amp;""),A208))*(ROW(SCD_Data!$A$3:$A$502)-2))),"—"))</f>
        <v/>
      </c>
      <c r="L208" s="25" t="str">
        <f aca="false">IF(A208="","",IFERROR(INDEX(SCD_Data!$G$3:$G$502,SUMPRODUCT((SCD_Data!$A$3:$A$502=B208)*(IFERROR(DATEVALUE(SCD_Data!$H$3:$H$502&amp;""),SCD_Data!$H$3:$H$502)&lt;=IFERROR(DATEVALUE(A208&amp;""),A208))*(IFERROR(DATEVALUE(SCD_Data!$I$3:$I$502&amp;""),SCD_Data!$I$3:$I$502)&gt;=IFERROR(DATEVALUE(A208&amp;""),A208))*(ROW(SCD_Data!$A$3:$A$502)-2))),"—"))</f>
        <v/>
      </c>
      <c r="M208" s="27" t="str">
        <f aca="false">IF(A208="","",IF(H208="—","—",IF(C208&amp;""=H208&amp;"","✓","✗")))</f>
        <v/>
      </c>
      <c r="N208" s="27" t="str">
        <f aca="false">IF(A208="","",IF(H208="—","—",IF(D208&amp;""=I208&amp;"","✓","✗")))</f>
        <v/>
      </c>
      <c r="O208" s="27" t="str">
        <f aca="false">IF(A208="","",IF(H208="—","—",IF(ABS(E208-J208)&lt;0.01,"✓","✗")))</f>
        <v/>
      </c>
      <c r="P208" s="27" t="str">
        <f aca="false">IF(A208="","",IF(H208="—","—",IF(F208&amp;""=K208&amp;"","✓","✗")))</f>
        <v/>
      </c>
      <c r="Q208" s="27" t="str">
        <f aca="false">IF(A208="","",IF(H208="—","—",IF(G208&amp;""=L208&amp;"","✓","✗")))</f>
        <v/>
      </c>
      <c r="R208" s="27" t="str">
        <f aca="false">IF(A208="","",IF(COUNTIF(M208:Q208,"—")=5,"⚠ NO SCD ROW",IF(COUNTIF(M208:Q208,"✗")&gt;0,"❌ MISMATCH","✅ MATCH")))</f>
        <v/>
      </c>
    </row>
    <row r="209" customFormat="false" ht="15" hidden="false" customHeight="true" outlineLevel="0" collapsed="false">
      <c r="A209" s="22" t="str">
        <f aca="false">IF(Daily_Data!A208="","",Daily_Data!A208)</f>
        <v/>
      </c>
      <c r="B209" s="23" t="str">
        <f aca="false">IF(Daily_Data!B208="","",Daily_Data!B208)</f>
        <v/>
      </c>
      <c r="C209" s="23" t="str">
        <f aca="false">IF(A209="","",Daily_Data!C208)</f>
        <v/>
      </c>
      <c r="D209" s="23" t="str">
        <f aca="false">IF(A209="","",Daily_Data!D208)</f>
        <v/>
      </c>
      <c r="E209" s="24" t="str">
        <f aca="false">IF(A209="","",Daily_Data!E208)</f>
        <v/>
      </c>
      <c r="F209" s="23" t="str">
        <f aca="false">IF(A209="","",Daily_Data!F208)</f>
        <v/>
      </c>
      <c r="G209" s="23" t="str">
        <f aca="false">IF(A209="","",Daily_Data!G208)</f>
        <v/>
      </c>
      <c r="H209" s="25" t="str">
        <f aca="false">IF(A209="","",IFERROR(INDEX(SCD_Data!$C$3:$C$502,SUMPRODUCT((SCD_Data!$A$3:$A$502=B209)*(IFERROR(DATEVALUE(SCD_Data!$H$3:$H$502&amp;""),SCD_Data!$H$3:$H$502)&lt;=IFERROR(DATEVALUE(A209&amp;""),A209))*(IFERROR(DATEVALUE(SCD_Data!$I$3:$I$502&amp;""),SCD_Data!$I$3:$I$502)&gt;=IFERROR(DATEVALUE(A209&amp;""),A209))*(ROW(SCD_Data!$A$3:$A$502)-2))),"—"))</f>
        <v/>
      </c>
      <c r="I209" s="25" t="str">
        <f aca="false">IF(A209="","",IFERROR(INDEX(SCD_Data!$D$3:$D$502,SUMPRODUCT((SCD_Data!$A$3:$A$502=B209)*(IFERROR(DATEVALUE(SCD_Data!$H$3:$H$502&amp;""),SCD_Data!$H$3:$H$502)&lt;=IFERROR(DATEVALUE(A209&amp;""),A209))*(IFERROR(DATEVALUE(SCD_Data!$I$3:$I$502&amp;""),SCD_Data!$I$3:$I$502)&gt;=IFERROR(DATEVALUE(A209&amp;""),A209))*(ROW(SCD_Data!$A$3:$A$502)-2))),"—"))</f>
        <v/>
      </c>
      <c r="J209" s="26" t="str">
        <f aca="false">IF(A209="","",IFERROR(INDEX(SCD_Data!$E$3:$E$502,SUMPRODUCT((SCD_Data!$A$3:$A$502=B209)*(IFERROR(DATEVALUE(SCD_Data!$H$3:$H$502&amp;""),SCD_Data!$H$3:$H$502)&lt;=IFERROR(DATEVALUE(A209&amp;""),A209))*(IFERROR(DATEVALUE(SCD_Data!$I$3:$I$502&amp;""),SCD_Data!$I$3:$I$502)&gt;=IFERROR(DATEVALUE(A209&amp;""),A209))*(ROW(SCD_Data!$A$3:$A$502)-2))),"—"))</f>
        <v/>
      </c>
      <c r="K209" s="25" t="str">
        <f aca="false">IF(A209="","",IFERROR(INDEX(SCD_Data!$F$3:$F$502,SUMPRODUCT((SCD_Data!$A$3:$A$502=B209)*(IFERROR(DATEVALUE(SCD_Data!$H$3:$H$502&amp;""),SCD_Data!$H$3:$H$502)&lt;=IFERROR(DATEVALUE(A209&amp;""),A209))*(IFERROR(DATEVALUE(SCD_Data!$I$3:$I$502&amp;""),SCD_Data!$I$3:$I$502)&gt;=IFERROR(DATEVALUE(A209&amp;""),A209))*(ROW(SCD_Data!$A$3:$A$502)-2))),"—"))</f>
        <v/>
      </c>
      <c r="L209" s="25" t="str">
        <f aca="false">IF(A209="","",IFERROR(INDEX(SCD_Data!$G$3:$G$502,SUMPRODUCT((SCD_Data!$A$3:$A$502=B209)*(IFERROR(DATEVALUE(SCD_Data!$H$3:$H$502&amp;""),SCD_Data!$H$3:$H$502)&lt;=IFERROR(DATEVALUE(A209&amp;""),A209))*(IFERROR(DATEVALUE(SCD_Data!$I$3:$I$502&amp;""),SCD_Data!$I$3:$I$502)&gt;=IFERROR(DATEVALUE(A209&amp;""),A209))*(ROW(SCD_Data!$A$3:$A$502)-2))),"—"))</f>
        <v/>
      </c>
      <c r="M209" s="27" t="str">
        <f aca="false">IF(A209="","",IF(H209="—","—",IF(C209&amp;""=H209&amp;"","✓","✗")))</f>
        <v/>
      </c>
      <c r="N209" s="27" t="str">
        <f aca="false">IF(A209="","",IF(H209="—","—",IF(D209&amp;""=I209&amp;"","✓","✗")))</f>
        <v/>
      </c>
      <c r="O209" s="27" t="str">
        <f aca="false">IF(A209="","",IF(H209="—","—",IF(ABS(E209-J209)&lt;0.01,"✓","✗")))</f>
        <v/>
      </c>
      <c r="P209" s="27" t="str">
        <f aca="false">IF(A209="","",IF(H209="—","—",IF(F209&amp;""=K209&amp;"","✓","✗")))</f>
        <v/>
      </c>
      <c r="Q209" s="27" t="str">
        <f aca="false">IF(A209="","",IF(H209="—","—",IF(G209&amp;""=L209&amp;"","✓","✗")))</f>
        <v/>
      </c>
      <c r="R209" s="27" t="str">
        <f aca="false">IF(A209="","",IF(COUNTIF(M209:Q209,"—")=5,"⚠ NO SCD ROW",IF(COUNTIF(M209:Q209,"✗")&gt;0,"❌ MISMATCH","✅ MATCH")))</f>
        <v/>
      </c>
    </row>
    <row r="210" customFormat="false" ht="15" hidden="false" customHeight="true" outlineLevel="0" collapsed="false">
      <c r="A210" s="22" t="str">
        <f aca="false">IF(Daily_Data!A209="","",Daily_Data!A209)</f>
        <v/>
      </c>
      <c r="B210" s="23" t="str">
        <f aca="false">IF(Daily_Data!B209="","",Daily_Data!B209)</f>
        <v/>
      </c>
      <c r="C210" s="23" t="str">
        <f aca="false">IF(A210="","",Daily_Data!C209)</f>
        <v/>
      </c>
      <c r="D210" s="23" t="str">
        <f aca="false">IF(A210="","",Daily_Data!D209)</f>
        <v/>
      </c>
      <c r="E210" s="24" t="str">
        <f aca="false">IF(A210="","",Daily_Data!E209)</f>
        <v/>
      </c>
      <c r="F210" s="23" t="str">
        <f aca="false">IF(A210="","",Daily_Data!F209)</f>
        <v/>
      </c>
      <c r="G210" s="23" t="str">
        <f aca="false">IF(A210="","",Daily_Data!G209)</f>
        <v/>
      </c>
      <c r="H210" s="25" t="str">
        <f aca="false">IF(A210="","",IFERROR(INDEX(SCD_Data!$C$3:$C$502,SUMPRODUCT((SCD_Data!$A$3:$A$502=B210)*(IFERROR(DATEVALUE(SCD_Data!$H$3:$H$502&amp;""),SCD_Data!$H$3:$H$502)&lt;=IFERROR(DATEVALUE(A210&amp;""),A210))*(IFERROR(DATEVALUE(SCD_Data!$I$3:$I$502&amp;""),SCD_Data!$I$3:$I$502)&gt;=IFERROR(DATEVALUE(A210&amp;""),A210))*(ROW(SCD_Data!$A$3:$A$502)-2))),"—"))</f>
        <v/>
      </c>
      <c r="I210" s="25" t="str">
        <f aca="false">IF(A210="","",IFERROR(INDEX(SCD_Data!$D$3:$D$502,SUMPRODUCT((SCD_Data!$A$3:$A$502=B210)*(IFERROR(DATEVALUE(SCD_Data!$H$3:$H$502&amp;""),SCD_Data!$H$3:$H$502)&lt;=IFERROR(DATEVALUE(A210&amp;""),A210))*(IFERROR(DATEVALUE(SCD_Data!$I$3:$I$502&amp;""),SCD_Data!$I$3:$I$502)&gt;=IFERROR(DATEVALUE(A210&amp;""),A210))*(ROW(SCD_Data!$A$3:$A$502)-2))),"—"))</f>
        <v/>
      </c>
      <c r="J210" s="26" t="str">
        <f aca="false">IF(A210="","",IFERROR(INDEX(SCD_Data!$E$3:$E$502,SUMPRODUCT((SCD_Data!$A$3:$A$502=B210)*(IFERROR(DATEVALUE(SCD_Data!$H$3:$H$502&amp;""),SCD_Data!$H$3:$H$502)&lt;=IFERROR(DATEVALUE(A210&amp;""),A210))*(IFERROR(DATEVALUE(SCD_Data!$I$3:$I$502&amp;""),SCD_Data!$I$3:$I$502)&gt;=IFERROR(DATEVALUE(A210&amp;""),A210))*(ROW(SCD_Data!$A$3:$A$502)-2))),"—"))</f>
        <v/>
      </c>
      <c r="K210" s="25" t="str">
        <f aca="false">IF(A210="","",IFERROR(INDEX(SCD_Data!$F$3:$F$502,SUMPRODUCT((SCD_Data!$A$3:$A$502=B210)*(IFERROR(DATEVALUE(SCD_Data!$H$3:$H$502&amp;""),SCD_Data!$H$3:$H$502)&lt;=IFERROR(DATEVALUE(A210&amp;""),A210))*(IFERROR(DATEVALUE(SCD_Data!$I$3:$I$502&amp;""),SCD_Data!$I$3:$I$502)&gt;=IFERROR(DATEVALUE(A210&amp;""),A210))*(ROW(SCD_Data!$A$3:$A$502)-2))),"—"))</f>
        <v/>
      </c>
      <c r="L210" s="25" t="str">
        <f aca="false">IF(A210="","",IFERROR(INDEX(SCD_Data!$G$3:$G$502,SUMPRODUCT((SCD_Data!$A$3:$A$502=B210)*(IFERROR(DATEVALUE(SCD_Data!$H$3:$H$502&amp;""),SCD_Data!$H$3:$H$502)&lt;=IFERROR(DATEVALUE(A210&amp;""),A210))*(IFERROR(DATEVALUE(SCD_Data!$I$3:$I$502&amp;""),SCD_Data!$I$3:$I$502)&gt;=IFERROR(DATEVALUE(A210&amp;""),A210))*(ROW(SCD_Data!$A$3:$A$502)-2))),"—"))</f>
        <v/>
      </c>
      <c r="M210" s="27" t="str">
        <f aca="false">IF(A210="","",IF(H210="—","—",IF(C210&amp;""=H210&amp;"","✓","✗")))</f>
        <v/>
      </c>
      <c r="N210" s="27" t="str">
        <f aca="false">IF(A210="","",IF(H210="—","—",IF(D210&amp;""=I210&amp;"","✓","✗")))</f>
        <v/>
      </c>
      <c r="O210" s="27" t="str">
        <f aca="false">IF(A210="","",IF(H210="—","—",IF(ABS(E210-J210)&lt;0.01,"✓","✗")))</f>
        <v/>
      </c>
      <c r="P210" s="27" t="str">
        <f aca="false">IF(A210="","",IF(H210="—","—",IF(F210&amp;""=K210&amp;"","✓","✗")))</f>
        <v/>
      </c>
      <c r="Q210" s="27" t="str">
        <f aca="false">IF(A210="","",IF(H210="—","—",IF(G210&amp;""=L210&amp;"","✓","✗")))</f>
        <v/>
      </c>
      <c r="R210" s="27" t="str">
        <f aca="false">IF(A210="","",IF(COUNTIF(M210:Q210,"—")=5,"⚠ NO SCD ROW",IF(COUNTIF(M210:Q210,"✗")&gt;0,"❌ MISMATCH","✅ MATCH")))</f>
        <v/>
      </c>
    </row>
    <row r="211" customFormat="false" ht="15" hidden="false" customHeight="true" outlineLevel="0" collapsed="false">
      <c r="A211" s="22" t="str">
        <f aca="false">IF(Daily_Data!A210="","",Daily_Data!A210)</f>
        <v/>
      </c>
      <c r="B211" s="23" t="str">
        <f aca="false">IF(Daily_Data!B210="","",Daily_Data!B210)</f>
        <v/>
      </c>
      <c r="C211" s="23" t="str">
        <f aca="false">IF(A211="","",Daily_Data!C210)</f>
        <v/>
      </c>
      <c r="D211" s="23" t="str">
        <f aca="false">IF(A211="","",Daily_Data!D210)</f>
        <v/>
      </c>
      <c r="E211" s="24" t="str">
        <f aca="false">IF(A211="","",Daily_Data!E210)</f>
        <v/>
      </c>
      <c r="F211" s="23" t="str">
        <f aca="false">IF(A211="","",Daily_Data!F210)</f>
        <v/>
      </c>
      <c r="G211" s="23" t="str">
        <f aca="false">IF(A211="","",Daily_Data!G210)</f>
        <v/>
      </c>
      <c r="H211" s="25" t="str">
        <f aca="false">IF(A211="","",IFERROR(INDEX(SCD_Data!$C$3:$C$502,SUMPRODUCT((SCD_Data!$A$3:$A$502=B211)*(IFERROR(DATEVALUE(SCD_Data!$H$3:$H$502&amp;""),SCD_Data!$H$3:$H$502)&lt;=IFERROR(DATEVALUE(A211&amp;""),A211))*(IFERROR(DATEVALUE(SCD_Data!$I$3:$I$502&amp;""),SCD_Data!$I$3:$I$502)&gt;=IFERROR(DATEVALUE(A211&amp;""),A211))*(ROW(SCD_Data!$A$3:$A$502)-2))),"—"))</f>
        <v/>
      </c>
      <c r="I211" s="25" t="str">
        <f aca="false">IF(A211="","",IFERROR(INDEX(SCD_Data!$D$3:$D$502,SUMPRODUCT((SCD_Data!$A$3:$A$502=B211)*(IFERROR(DATEVALUE(SCD_Data!$H$3:$H$502&amp;""),SCD_Data!$H$3:$H$502)&lt;=IFERROR(DATEVALUE(A211&amp;""),A211))*(IFERROR(DATEVALUE(SCD_Data!$I$3:$I$502&amp;""),SCD_Data!$I$3:$I$502)&gt;=IFERROR(DATEVALUE(A211&amp;""),A211))*(ROW(SCD_Data!$A$3:$A$502)-2))),"—"))</f>
        <v/>
      </c>
      <c r="J211" s="26" t="str">
        <f aca="false">IF(A211="","",IFERROR(INDEX(SCD_Data!$E$3:$E$502,SUMPRODUCT((SCD_Data!$A$3:$A$502=B211)*(IFERROR(DATEVALUE(SCD_Data!$H$3:$H$502&amp;""),SCD_Data!$H$3:$H$502)&lt;=IFERROR(DATEVALUE(A211&amp;""),A211))*(IFERROR(DATEVALUE(SCD_Data!$I$3:$I$502&amp;""),SCD_Data!$I$3:$I$502)&gt;=IFERROR(DATEVALUE(A211&amp;""),A211))*(ROW(SCD_Data!$A$3:$A$502)-2))),"—"))</f>
        <v/>
      </c>
      <c r="K211" s="25" t="str">
        <f aca="false">IF(A211="","",IFERROR(INDEX(SCD_Data!$F$3:$F$502,SUMPRODUCT((SCD_Data!$A$3:$A$502=B211)*(IFERROR(DATEVALUE(SCD_Data!$H$3:$H$502&amp;""),SCD_Data!$H$3:$H$502)&lt;=IFERROR(DATEVALUE(A211&amp;""),A211))*(IFERROR(DATEVALUE(SCD_Data!$I$3:$I$502&amp;""),SCD_Data!$I$3:$I$502)&gt;=IFERROR(DATEVALUE(A211&amp;""),A211))*(ROW(SCD_Data!$A$3:$A$502)-2))),"—"))</f>
        <v/>
      </c>
      <c r="L211" s="25" t="str">
        <f aca="false">IF(A211="","",IFERROR(INDEX(SCD_Data!$G$3:$G$502,SUMPRODUCT((SCD_Data!$A$3:$A$502=B211)*(IFERROR(DATEVALUE(SCD_Data!$H$3:$H$502&amp;""),SCD_Data!$H$3:$H$502)&lt;=IFERROR(DATEVALUE(A211&amp;""),A211))*(IFERROR(DATEVALUE(SCD_Data!$I$3:$I$502&amp;""),SCD_Data!$I$3:$I$502)&gt;=IFERROR(DATEVALUE(A211&amp;""),A211))*(ROW(SCD_Data!$A$3:$A$502)-2))),"—"))</f>
        <v/>
      </c>
      <c r="M211" s="27" t="str">
        <f aca="false">IF(A211="","",IF(H211="—","—",IF(C211&amp;""=H211&amp;"","✓","✗")))</f>
        <v/>
      </c>
      <c r="N211" s="27" t="str">
        <f aca="false">IF(A211="","",IF(H211="—","—",IF(D211&amp;""=I211&amp;"","✓","✗")))</f>
        <v/>
      </c>
      <c r="O211" s="27" t="str">
        <f aca="false">IF(A211="","",IF(H211="—","—",IF(ABS(E211-J211)&lt;0.01,"✓","✗")))</f>
        <v/>
      </c>
      <c r="P211" s="27" t="str">
        <f aca="false">IF(A211="","",IF(H211="—","—",IF(F211&amp;""=K211&amp;"","✓","✗")))</f>
        <v/>
      </c>
      <c r="Q211" s="27" t="str">
        <f aca="false">IF(A211="","",IF(H211="—","—",IF(G211&amp;""=L211&amp;"","✓","✗")))</f>
        <v/>
      </c>
      <c r="R211" s="27" t="str">
        <f aca="false">IF(A211="","",IF(COUNTIF(M211:Q211,"—")=5,"⚠ NO SCD ROW",IF(COUNTIF(M211:Q211,"✗")&gt;0,"❌ MISMATCH","✅ MATCH")))</f>
        <v/>
      </c>
    </row>
    <row r="212" customFormat="false" ht="15" hidden="false" customHeight="true" outlineLevel="0" collapsed="false">
      <c r="A212" s="22" t="str">
        <f aca="false">IF(Daily_Data!A211="","",Daily_Data!A211)</f>
        <v/>
      </c>
      <c r="B212" s="23" t="str">
        <f aca="false">IF(Daily_Data!B211="","",Daily_Data!B211)</f>
        <v/>
      </c>
      <c r="C212" s="23" t="str">
        <f aca="false">IF(A212="","",Daily_Data!C211)</f>
        <v/>
      </c>
      <c r="D212" s="23" t="str">
        <f aca="false">IF(A212="","",Daily_Data!D211)</f>
        <v/>
      </c>
      <c r="E212" s="24" t="str">
        <f aca="false">IF(A212="","",Daily_Data!E211)</f>
        <v/>
      </c>
      <c r="F212" s="23" t="str">
        <f aca="false">IF(A212="","",Daily_Data!F211)</f>
        <v/>
      </c>
      <c r="G212" s="23" t="str">
        <f aca="false">IF(A212="","",Daily_Data!G211)</f>
        <v/>
      </c>
      <c r="H212" s="25" t="str">
        <f aca="false">IF(A212="","",IFERROR(INDEX(SCD_Data!$C$3:$C$502,SUMPRODUCT((SCD_Data!$A$3:$A$502=B212)*(IFERROR(DATEVALUE(SCD_Data!$H$3:$H$502&amp;""),SCD_Data!$H$3:$H$502)&lt;=IFERROR(DATEVALUE(A212&amp;""),A212))*(IFERROR(DATEVALUE(SCD_Data!$I$3:$I$502&amp;""),SCD_Data!$I$3:$I$502)&gt;=IFERROR(DATEVALUE(A212&amp;""),A212))*(ROW(SCD_Data!$A$3:$A$502)-2))),"—"))</f>
        <v/>
      </c>
      <c r="I212" s="25" t="str">
        <f aca="false">IF(A212="","",IFERROR(INDEX(SCD_Data!$D$3:$D$502,SUMPRODUCT((SCD_Data!$A$3:$A$502=B212)*(IFERROR(DATEVALUE(SCD_Data!$H$3:$H$502&amp;""),SCD_Data!$H$3:$H$502)&lt;=IFERROR(DATEVALUE(A212&amp;""),A212))*(IFERROR(DATEVALUE(SCD_Data!$I$3:$I$502&amp;""),SCD_Data!$I$3:$I$502)&gt;=IFERROR(DATEVALUE(A212&amp;""),A212))*(ROW(SCD_Data!$A$3:$A$502)-2))),"—"))</f>
        <v/>
      </c>
      <c r="J212" s="26" t="str">
        <f aca="false">IF(A212="","",IFERROR(INDEX(SCD_Data!$E$3:$E$502,SUMPRODUCT((SCD_Data!$A$3:$A$502=B212)*(IFERROR(DATEVALUE(SCD_Data!$H$3:$H$502&amp;""),SCD_Data!$H$3:$H$502)&lt;=IFERROR(DATEVALUE(A212&amp;""),A212))*(IFERROR(DATEVALUE(SCD_Data!$I$3:$I$502&amp;""),SCD_Data!$I$3:$I$502)&gt;=IFERROR(DATEVALUE(A212&amp;""),A212))*(ROW(SCD_Data!$A$3:$A$502)-2))),"—"))</f>
        <v/>
      </c>
      <c r="K212" s="25" t="str">
        <f aca="false">IF(A212="","",IFERROR(INDEX(SCD_Data!$F$3:$F$502,SUMPRODUCT((SCD_Data!$A$3:$A$502=B212)*(IFERROR(DATEVALUE(SCD_Data!$H$3:$H$502&amp;""),SCD_Data!$H$3:$H$502)&lt;=IFERROR(DATEVALUE(A212&amp;""),A212))*(IFERROR(DATEVALUE(SCD_Data!$I$3:$I$502&amp;""),SCD_Data!$I$3:$I$502)&gt;=IFERROR(DATEVALUE(A212&amp;""),A212))*(ROW(SCD_Data!$A$3:$A$502)-2))),"—"))</f>
        <v/>
      </c>
      <c r="L212" s="25" t="str">
        <f aca="false">IF(A212="","",IFERROR(INDEX(SCD_Data!$G$3:$G$502,SUMPRODUCT((SCD_Data!$A$3:$A$502=B212)*(IFERROR(DATEVALUE(SCD_Data!$H$3:$H$502&amp;""),SCD_Data!$H$3:$H$502)&lt;=IFERROR(DATEVALUE(A212&amp;""),A212))*(IFERROR(DATEVALUE(SCD_Data!$I$3:$I$502&amp;""),SCD_Data!$I$3:$I$502)&gt;=IFERROR(DATEVALUE(A212&amp;""),A212))*(ROW(SCD_Data!$A$3:$A$502)-2))),"—"))</f>
        <v/>
      </c>
      <c r="M212" s="27" t="str">
        <f aca="false">IF(A212="","",IF(H212="—","—",IF(C212&amp;""=H212&amp;"","✓","✗")))</f>
        <v/>
      </c>
      <c r="N212" s="27" t="str">
        <f aca="false">IF(A212="","",IF(H212="—","—",IF(D212&amp;""=I212&amp;"","✓","✗")))</f>
        <v/>
      </c>
      <c r="O212" s="27" t="str">
        <f aca="false">IF(A212="","",IF(H212="—","—",IF(ABS(E212-J212)&lt;0.01,"✓","✗")))</f>
        <v/>
      </c>
      <c r="P212" s="27" t="str">
        <f aca="false">IF(A212="","",IF(H212="—","—",IF(F212&amp;""=K212&amp;"","✓","✗")))</f>
        <v/>
      </c>
      <c r="Q212" s="27" t="str">
        <f aca="false">IF(A212="","",IF(H212="—","—",IF(G212&amp;""=L212&amp;"","✓","✗")))</f>
        <v/>
      </c>
      <c r="R212" s="27" t="str">
        <f aca="false">IF(A212="","",IF(COUNTIF(M212:Q212,"—")=5,"⚠ NO SCD ROW",IF(COUNTIF(M212:Q212,"✗")&gt;0,"❌ MISMATCH","✅ MATCH")))</f>
        <v/>
      </c>
    </row>
    <row r="213" customFormat="false" ht="15" hidden="false" customHeight="true" outlineLevel="0" collapsed="false">
      <c r="A213" s="22" t="str">
        <f aca="false">IF(Daily_Data!A212="","",Daily_Data!A212)</f>
        <v/>
      </c>
      <c r="B213" s="23" t="str">
        <f aca="false">IF(Daily_Data!B212="","",Daily_Data!B212)</f>
        <v/>
      </c>
      <c r="C213" s="23" t="str">
        <f aca="false">IF(A213="","",Daily_Data!C212)</f>
        <v/>
      </c>
      <c r="D213" s="23" t="str">
        <f aca="false">IF(A213="","",Daily_Data!D212)</f>
        <v/>
      </c>
      <c r="E213" s="24" t="str">
        <f aca="false">IF(A213="","",Daily_Data!E212)</f>
        <v/>
      </c>
      <c r="F213" s="23" t="str">
        <f aca="false">IF(A213="","",Daily_Data!F212)</f>
        <v/>
      </c>
      <c r="G213" s="23" t="str">
        <f aca="false">IF(A213="","",Daily_Data!G212)</f>
        <v/>
      </c>
      <c r="H213" s="25" t="str">
        <f aca="false">IF(A213="","",IFERROR(INDEX(SCD_Data!$C$3:$C$502,SUMPRODUCT((SCD_Data!$A$3:$A$502=B213)*(IFERROR(DATEVALUE(SCD_Data!$H$3:$H$502&amp;""),SCD_Data!$H$3:$H$502)&lt;=IFERROR(DATEVALUE(A213&amp;""),A213))*(IFERROR(DATEVALUE(SCD_Data!$I$3:$I$502&amp;""),SCD_Data!$I$3:$I$502)&gt;=IFERROR(DATEVALUE(A213&amp;""),A213))*(ROW(SCD_Data!$A$3:$A$502)-2))),"—"))</f>
        <v/>
      </c>
      <c r="I213" s="25" t="str">
        <f aca="false">IF(A213="","",IFERROR(INDEX(SCD_Data!$D$3:$D$502,SUMPRODUCT((SCD_Data!$A$3:$A$502=B213)*(IFERROR(DATEVALUE(SCD_Data!$H$3:$H$502&amp;""),SCD_Data!$H$3:$H$502)&lt;=IFERROR(DATEVALUE(A213&amp;""),A213))*(IFERROR(DATEVALUE(SCD_Data!$I$3:$I$502&amp;""),SCD_Data!$I$3:$I$502)&gt;=IFERROR(DATEVALUE(A213&amp;""),A213))*(ROW(SCD_Data!$A$3:$A$502)-2))),"—"))</f>
        <v/>
      </c>
      <c r="J213" s="26" t="str">
        <f aca="false">IF(A213="","",IFERROR(INDEX(SCD_Data!$E$3:$E$502,SUMPRODUCT((SCD_Data!$A$3:$A$502=B213)*(IFERROR(DATEVALUE(SCD_Data!$H$3:$H$502&amp;""),SCD_Data!$H$3:$H$502)&lt;=IFERROR(DATEVALUE(A213&amp;""),A213))*(IFERROR(DATEVALUE(SCD_Data!$I$3:$I$502&amp;""),SCD_Data!$I$3:$I$502)&gt;=IFERROR(DATEVALUE(A213&amp;""),A213))*(ROW(SCD_Data!$A$3:$A$502)-2))),"—"))</f>
        <v/>
      </c>
      <c r="K213" s="25" t="str">
        <f aca="false">IF(A213="","",IFERROR(INDEX(SCD_Data!$F$3:$F$502,SUMPRODUCT((SCD_Data!$A$3:$A$502=B213)*(IFERROR(DATEVALUE(SCD_Data!$H$3:$H$502&amp;""),SCD_Data!$H$3:$H$502)&lt;=IFERROR(DATEVALUE(A213&amp;""),A213))*(IFERROR(DATEVALUE(SCD_Data!$I$3:$I$502&amp;""),SCD_Data!$I$3:$I$502)&gt;=IFERROR(DATEVALUE(A213&amp;""),A213))*(ROW(SCD_Data!$A$3:$A$502)-2))),"—"))</f>
        <v/>
      </c>
      <c r="L213" s="25" t="str">
        <f aca="false">IF(A213="","",IFERROR(INDEX(SCD_Data!$G$3:$G$502,SUMPRODUCT((SCD_Data!$A$3:$A$502=B213)*(IFERROR(DATEVALUE(SCD_Data!$H$3:$H$502&amp;""),SCD_Data!$H$3:$H$502)&lt;=IFERROR(DATEVALUE(A213&amp;""),A213))*(IFERROR(DATEVALUE(SCD_Data!$I$3:$I$502&amp;""),SCD_Data!$I$3:$I$502)&gt;=IFERROR(DATEVALUE(A213&amp;""),A213))*(ROW(SCD_Data!$A$3:$A$502)-2))),"—"))</f>
        <v/>
      </c>
      <c r="M213" s="27" t="str">
        <f aca="false">IF(A213="","",IF(H213="—","—",IF(C213&amp;""=H213&amp;"","✓","✗")))</f>
        <v/>
      </c>
      <c r="N213" s="27" t="str">
        <f aca="false">IF(A213="","",IF(H213="—","—",IF(D213&amp;""=I213&amp;"","✓","✗")))</f>
        <v/>
      </c>
      <c r="O213" s="27" t="str">
        <f aca="false">IF(A213="","",IF(H213="—","—",IF(ABS(E213-J213)&lt;0.01,"✓","✗")))</f>
        <v/>
      </c>
      <c r="P213" s="27" t="str">
        <f aca="false">IF(A213="","",IF(H213="—","—",IF(F213&amp;""=K213&amp;"","✓","✗")))</f>
        <v/>
      </c>
      <c r="Q213" s="27" t="str">
        <f aca="false">IF(A213="","",IF(H213="—","—",IF(G213&amp;""=L213&amp;"","✓","✗")))</f>
        <v/>
      </c>
      <c r="R213" s="27" t="str">
        <f aca="false">IF(A213="","",IF(COUNTIF(M213:Q213,"—")=5,"⚠ NO SCD ROW",IF(COUNTIF(M213:Q213,"✗")&gt;0,"❌ MISMATCH","✅ MATCH")))</f>
        <v/>
      </c>
    </row>
    <row r="214" customFormat="false" ht="15" hidden="false" customHeight="true" outlineLevel="0" collapsed="false">
      <c r="A214" s="22" t="str">
        <f aca="false">IF(Daily_Data!A213="","",Daily_Data!A213)</f>
        <v/>
      </c>
      <c r="B214" s="23" t="str">
        <f aca="false">IF(Daily_Data!B213="","",Daily_Data!B213)</f>
        <v/>
      </c>
      <c r="C214" s="23" t="str">
        <f aca="false">IF(A214="","",Daily_Data!C213)</f>
        <v/>
      </c>
      <c r="D214" s="23" t="str">
        <f aca="false">IF(A214="","",Daily_Data!D213)</f>
        <v/>
      </c>
      <c r="E214" s="24" t="str">
        <f aca="false">IF(A214="","",Daily_Data!E213)</f>
        <v/>
      </c>
      <c r="F214" s="23" t="str">
        <f aca="false">IF(A214="","",Daily_Data!F213)</f>
        <v/>
      </c>
      <c r="G214" s="23" t="str">
        <f aca="false">IF(A214="","",Daily_Data!G213)</f>
        <v/>
      </c>
      <c r="H214" s="25" t="str">
        <f aca="false">IF(A214="","",IFERROR(INDEX(SCD_Data!$C$3:$C$502,SUMPRODUCT((SCD_Data!$A$3:$A$502=B214)*(IFERROR(DATEVALUE(SCD_Data!$H$3:$H$502&amp;""),SCD_Data!$H$3:$H$502)&lt;=IFERROR(DATEVALUE(A214&amp;""),A214))*(IFERROR(DATEVALUE(SCD_Data!$I$3:$I$502&amp;""),SCD_Data!$I$3:$I$502)&gt;=IFERROR(DATEVALUE(A214&amp;""),A214))*(ROW(SCD_Data!$A$3:$A$502)-2))),"—"))</f>
        <v/>
      </c>
      <c r="I214" s="25" t="str">
        <f aca="false">IF(A214="","",IFERROR(INDEX(SCD_Data!$D$3:$D$502,SUMPRODUCT((SCD_Data!$A$3:$A$502=B214)*(IFERROR(DATEVALUE(SCD_Data!$H$3:$H$502&amp;""),SCD_Data!$H$3:$H$502)&lt;=IFERROR(DATEVALUE(A214&amp;""),A214))*(IFERROR(DATEVALUE(SCD_Data!$I$3:$I$502&amp;""),SCD_Data!$I$3:$I$502)&gt;=IFERROR(DATEVALUE(A214&amp;""),A214))*(ROW(SCD_Data!$A$3:$A$502)-2))),"—"))</f>
        <v/>
      </c>
      <c r="J214" s="26" t="str">
        <f aca="false">IF(A214="","",IFERROR(INDEX(SCD_Data!$E$3:$E$502,SUMPRODUCT((SCD_Data!$A$3:$A$502=B214)*(IFERROR(DATEVALUE(SCD_Data!$H$3:$H$502&amp;""),SCD_Data!$H$3:$H$502)&lt;=IFERROR(DATEVALUE(A214&amp;""),A214))*(IFERROR(DATEVALUE(SCD_Data!$I$3:$I$502&amp;""),SCD_Data!$I$3:$I$502)&gt;=IFERROR(DATEVALUE(A214&amp;""),A214))*(ROW(SCD_Data!$A$3:$A$502)-2))),"—"))</f>
        <v/>
      </c>
      <c r="K214" s="25" t="str">
        <f aca="false">IF(A214="","",IFERROR(INDEX(SCD_Data!$F$3:$F$502,SUMPRODUCT((SCD_Data!$A$3:$A$502=B214)*(IFERROR(DATEVALUE(SCD_Data!$H$3:$H$502&amp;""),SCD_Data!$H$3:$H$502)&lt;=IFERROR(DATEVALUE(A214&amp;""),A214))*(IFERROR(DATEVALUE(SCD_Data!$I$3:$I$502&amp;""),SCD_Data!$I$3:$I$502)&gt;=IFERROR(DATEVALUE(A214&amp;""),A214))*(ROW(SCD_Data!$A$3:$A$502)-2))),"—"))</f>
        <v/>
      </c>
      <c r="L214" s="25" t="str">
        <f aca="false">IF(A214="","",IFERROR(INDEX(SCD_Data!$G$3:$G$502,SUMPRODUCT((SCD_Data!$A$3:$A$502=B214)*(IFERROR(DATEVALUE(SCD_Data!$H$3:$H$502&amp;""),SCD_Data!$H$3:$H$502)&lt;=IFERROR(DATEVALUE(A214&amp;""),A214))*(IFERROR(DATEVALUE(SCD_Data!$I$3:$I$502&amp;""),SCD_Data!$I$3:$I$502)&gt;=IFERROR(DATEVALUE(A214&amp;""),A214))*(ROW(SCD_Data!$A$3:$A$502)-2))),"—"))</f>
        <v/>
      </c>
      <c r="M214" s="27" t="str">
        <f aca="false">IF(A214="","",IF(H214="—","—",IF(C214&amp;""=H214&amp;"","✓","✗")))</f>
        <v/>
      </c>
      <c r="N214" s="27" t="str">
        <f aca="false">IF(A214="","",IF(H214="—","—",IF(D214&amp;""=I214&amp;"","✓","✗")))</f>
        <v/>
      </c>
      <c r="O214" s="27" t="str">
        <f aca="false">IF(A214="","",IF(H214="—","—",IF(ABS(E214-J214)&lt;0.01,"✓","✗")))</f>
        <v/>
      </c>
      <c r="P214" s="27" t="str">
        <f aca="false">IF(A214="","",IF(H214="—","—",IF(F214&amp;""=K214&amp;"","✓","✗")))</f>
        <v/>
      </c>
      <c r="Q214" s="27" t="str">
        <f aca="false">IF(A214="","",IF(H214="—","—",IF(G214&amp;""=L214&amp;"","✓","✗")))</f>
        <v/>
      </c>
      <c r="R214" s="27" t="str">
        <f aca="false">IF(A214="","",IF(COUNTIF(M214:Q214,"—")=5,"⚠ NO SCD ROW",IF(COUNTIF(M214:Q214,"✗")&gt;0,"❌ MISMATCH","✅ MATCH")))</f>
        <v/>
      </c>
    </row>
    <row r="215" customFormat="false" ht="15" hidden="false" customHeight="true" outlineLevel="0" collapsed="false">
      <c r="A215" s="22" t="str">
        <f aca="false">IF(Daily_Data!A214="","",Daily_Data!A214)</f>
        <v/>
      </c>
      <c r="B215" s="23" t="str">
        <f aca="false">IF(Daily_Data!B214="","",Daily_Data!B214)</f>
        <v/>
      </c>
      <c r="C215" s="23" t="str">
        <f aca="false">IF(A215="","",Daily_Data!C214)</f>
        <v/>
      </c>
      <c r="D215" s="23" t="str">
        <f aca="false">IF(A215="","",Daily_Data!D214)</f>
        <v/>
      </c>
      <c r="E215" s="24" t="str">
        <f aca="false">IF(A215="","",Daily_Data!E214)</f>
        <v/>
      </c>
      <c r="F215" s="23" t="str">
        <f aca="false">IF(A215="","",Daily_Data!F214)</f>
        <v/>
      </c>
      <c r="G215" s="23" t="str">
        <f aca="false">IF(A215="","",Daily_Data!G214)</f>
        <v/>
      </c>
      <c r="H215" s="25" t="str">
        <f aca="false">IF(A215="","",IFERROR(INDEX(SCD_Data!$C$3:$C$502,SUMPRODUCT((SCD_Data!$A$3:$A$502=B215)*(IFERROR(DATEVALUE(SCD_Data!$H$3:$H$502&amp;""),SCD_Data!$H$3:$H$502)&lt;=IFERROR(DATEVALUE(A215&amp;""),A215))*(IFERROR(DATEVALUE(SCD_Data!$I$3:$I$502&amp;""),SCD_Data!$I$3:$I$502)&gt;=IFERROR(DATEVALUE(A215&amp;""),A215))*(ROW(SCD_Data!$A$3:$A$502)-2))),"—"))</f>
        <v/>
      </c>
      <c r="I215" s="25" t="str">
        <f aca="false">IF(A215="","",IFERROR(INDEX(SCD_Data!$D$3:$D$502,SUMPRODUCT((SCD_Data!$A$3:$A$502=B215)*(IFERROR(DATEVALUE(SCD_Data!$H$3:$H$502&amp;""),SCD_Data!$H$3:$H$502)&lt;=IFERROR(DATEVALUE(A215&amp;""),A215))*(IFERROR(DATEVALUE(SCD_Data!$I$3:$I$502&amp;""),SCD_Data!$I$3:$I$502)&gt;=IFERROR(DATEVALUE(A215&amp;""),A215))*(ROW(SCD_Data!$A$3:$A$502)-2))),"—"))</f>
        <v/>
      </c>
      <c r="J215" s="26" t="str">
        <f aca="false">IF(A215="","",IFERROR(INDEX(SCD_Data!$E$3:$E$502,SUMPRODUCT((SCD_Data!$A$3:$A$502=B215)*(IFERROR(DATEVALUE(SCD_Data!$H$3:$H$502&amp;""),SCD_Data!$H$3:$H$502)&lt;=IFERROR(DATEVALUE(A215&amp;""),A215))*(IFERROR(DATEVALUE(SCD_Data!$I$3:$I$502&amp;""),SCD_Data!$I$3:$I$502)&gt;=IFERROR(DATEVALUE(A215&amp;""),A215))*(ROW(SCD_Data!$A$3:$A$502)-2))),"—"))</f>
        <v/>
      </c>
      <c r="K215" s="25" t="str">
        <f aca="false">IF(A215="","",IFERROR(INDEX(SCD_Data!$F$3:$F$502,SUMPRODUCT((SCD_Data!$A$3:$A$502=B215)*(IFERROR(DATEVALUE(SCD_Data!$H$3:$H$502&amp;""),SCD_Data!$H$3:$H$502)&lt;=IFERROR(DATEVALUE(A215&amp;""),A215))*(IFERROR(DATEVALUE(SCD_Data!$I$3:$I$502&amp;""),SCD_Data!$I$3:$I$502)&gt;=IFERROR(DATEVALUE(A215&amp;""),A215))*(ROW(SCD_Data!$A$3:$A$502)-2))),"—"))</f>
        <v/>
      </c>
      <c r="L215" s="25" t="str">
        <f aca="false">IF(A215="","",IFERROR(INDEX(SCD_Data!$G$3:$G$502,SUMPRODUCT((SCD_Data!$A$3:$A$502=B215)*(IFERROR(DATEVALUE(SCD_Data!$H$3:$H$502&amp;""),SCD_Data!$H$3:$H$502)&lt;=IFERROR(DATEVALUE(A215&amp;""),A215))*(IFERROR(DATEVALUE(SCD_Data!$I$3:$I$502&amp;""),SCD_Data!$I$3:$I$502)&gt;=IFERROR(DATEVALUE(A215&amp;""),A215))*(ROW(SCD_Data!$A$3:$A$502)-2))),"—"))</f>
        <v/>
      </c>
      <c r="M215" s="27" t="str">
        <f aca="false">IF(A215="","",IF(H215="—","—",IF(C215&amp;""=H215&amp;"","✓","✗")))</f>
        <v/>
      </c>
      <c r="N215" s="27" t="str">
        <f aca="false">IF(A215="","",IF(H215="—","—",IF(D215&amp;""=I215&amp;"","✓","✗")))</f>
        <v/>
      </c>
      <c r="O215" s="27" t="str">
        <f aca="false">IF(A215="","",IF(H215="—","—",IF(ABS(E215-J215)&lt;0.01,"✓","✗")))</f>
        <v/>
      </c>
      <c r="P215" s="27" t="str">
        <f aca="false">IF(A215="","",IF(H215="—","—",IF(F215&amp;""=K215&amp;"","✓","✗")))</f>
        <v/>
      </c>
      <c r="Q215" s="27" t="str">
        <f aca="false">IF(A215="","",IF(H215="—","—",IF(G215&amp;""=L215&amp;"","✓","✗")))</f>
        <v/>
      </c>
      <c r="R215" s="27" t="str">
        <f aca="false">IF(A215="","",IF(COUNTIF(M215:Q215,"—")=5,"⚠ NO SCD ROW",IF(COUNTIF(M215:Q215,"✗")&gt;0,"❌ MISMATCH","✅ MATCH")))</f>
        <v/>
      </c>
    </row>
    <row r="216" customFormat="false" ht="15" hidden="false" customHeight="true" outlineLevel="0" collapsed="false">
      <c r="A216" s="22" t="str">
        <f aca="false">IF(Daily_Data!A215="","",Daily_Data!A215)</f>
        <v/>
      </c>
      <c r="B216" s="23" t="str">
        <f aca="false">IF(Daily_Data!B215="","",Daily_Data!B215)</f>
        <v/>
      </c>
      <c r="C216" s="23" t="str">
        <f aca="false">IF(A216="","",Daily_Data!C215)</f>
        <v/>
      </c>
      <c r="D216" s="23" t="str">
        <f aca="false">IF(A216="","",Daily_Data!D215)</f>
        <v/>
      </c>
      <c r="E216" s="24" t="str">
        <f aca="false">IF(A216="","",Daily_Data!E215)</f>
        <v/>
      </c>
      <c r="F216" s="23" t="str">
        <f aca="false">IF(A216="","",Daily_Data!F215)</f>
        <v/>
      </c>
      <c r="G216" s="23" t="str">
        <f aca="false">IF(A216="","",Daily_Data!G215)</f>
        <v/>
      </c>
      <c r="H216" s="25" t="str">
        <f aca="false">IF(A216="","",IFERROR(INDEX(SCD_Data!$C$3:$C$502,SUMPRODUCT((SCD_Data!$A$3:$A$502=B216)*(IFERROR(DATEVALUE(SCD_Data!$H$3:$H$502&amp;""),SCD_Data!$H$3:$H$502)&lt;=IFERROR(DATEVALUE(A216&amp;""),A216))*(IFERROR(DATEVALUE(SCD_Data!$I$3:$I$502&amp;""),SCD_Data!$I$3:$I$502)&gt;=IFERROR(DATEVALUE(A216&amp;""),A216))*(ROW(SCD_Data!$A$3:$A$502)-2))),"—"))</f>
        <v/>
      </c>
      <c r="I216" s="25" t="str">
        <f aca="false">IF(A216="","",IFERROR(INDEX(SCD_Data!$D$3:$D$502,SUMPRODUCT((SCD_Data!$A$3:$A$502=B216)*(IFERROR(DATEVALUE(SCD_Data!$H$3:$H$502&amp;""),SCD_Data!$H$3:$H$502)&lt;=IFERROR(DATEVALUE(A216&amp;""),A216))*(IFERROR(DATEVALUE(SCD_Data!$I$3:$I$502&amp;""),SCD_Data!$I$3:$I$502)&gt;=IFERROR(DATEVALUE(A216&amp;""),A216))*(ROW(SCD_Data!$A$3:$A$502)-2))),"—"))</f>
        <v/>
      </c>
      <c r="J216" s="26" t="str">
        <f aca="false">IF(A216="","",IFERROR(INDEX(SCD_Data!$E$3:$E$502,SUMPRODUCT((SCD_Data!$A$3:$A$502=B216)*(IFERROR(DATEVALUE(SCD_Data!$H$3:$H$502&amp;""),SCD_Data!$H$3:$H$502)&lt;=IFERROR(DATEVALUE(A216&amp;""),A216))*(IFERROR(DATEVALUE(SCD_Data!$I$3:$I$502&amp;""),SCD_Data!$I$3:$I$502)&gt;=IFERROR(DATEVALUE(A216&amp;""),A216))*(ROW(SCD_Data!$A$3:$A$502)-2))),"—"))</f>
        <v/>
      </c>
      <c r="K216" s="25" t="str">
        <f aca="false">IF(A216="","",IFERROR(INDEX(SCD_Data!$F$3:$F$502,SUMPRODUCT((SCD_Data!$A$3:$A$502=B216)*(IFERROR(DATEVALUE(SCD_Data!$H$3:$H$502&amp;""),SCD_Data!$H$3:$H$502)&lt;=IFERROR(DATEVALUE(A216&amp;""),A216))*(IFERROR(DATEVALUE(SCD_Data!$I$3:$I$502&amp;""),SCD_Data!$I$3:$I$502)&gt;=IFERROR(DATEVALUE(A216&amp;""),A216))*(ROW(SCD_Data!$A$3:$A$502)-2))),"—"))</f>
        <v/>
      </c>
      <c r="L216" s="25" t="str">
        <f aca="false">IF(A216="","",IFERROR(INDEX(SCD_Data!$G$3:$G$502,SUMPRODUCT((SCD_Data!$A$3:$A$502=B216)*(IFERROR(DATEVALUE(SCD_Data!$H$3:$H$502&amp;""),SCD_Data!$H$3:$H$502)&lt;=IFERROR(DATEVALUE(A216&amp;""),A216))*(IFERROR(DATEVALUE(SCD_Data!$I$3:$I$502&amp;""),SCD_Data!$I$3:$I$502)&gt;=IFERROR(DATEVALUE(A216&amp;""),A216))*(ROW(SCD_Data!$A$3:$A$502)-2))),"—"))</f>
        <v/>
      </c>
      <c r="M216" s="27" t="str">
        <f aca="false">IF(A216="","",IF(H216="—","—",IF(C216&amp;""=H216&amp;"","✓","✗")))</f>
        <v/>
      </c>
      <c r="N216" s="27" t="str">
        <f aca="false">IF(A216="","",IF(H216="—","—",IF(D216&amp;""=I216&amp;"","✓","✗")))</f>
        <v/>
      </c>
      <c r="O216" s="27" t="str">
        <f aca="false">IF(A216="","",IF(H216="—","—",IF(ABS(E216-J216)&lt;0.01,"✓","✗")))</f>
        <v/>
      </c>
      <c r="P216" s="27" t="str">
        <f aca="false">IF(A216="","",IF(H216="—","—",IF(F216&amp;""=K216&amp;"","✓","✗")))</f>
        <v/>
      </c>
      <c r="Q216" s="27" t="str">
        <f aca="false">IF(A216="","",IF(H216="—","—",IF(G216&amp;""=L216&amp;"","✓","✗")))</f>
        <v/>
      </c>
      <c r="R216" s="27" t="str">
        <f aca="false">IF(A216="","",IF(COUNTIF(M216:Q216,"—")=5,"⚠ NO SCD ROW",IF(COUNTIF(M216:Q216,"✗")&gt;0,"❌ MISMATCH","✅ MATCH")))</f>
        <v/>
      </c>
    </row>
    <row r="217" customFormat="false" ht="15" hidden="false" customHeight="true" outlineLevel="0" collapsed="false">
      <c r="A217" s="22" t="str">
        <f aca="false">IF(Daily_Data!A216="","",Daily_Data!A216)</f>
        <v/>
      </c>
      <c r="B217" s="23" t="str">
        <f aca="false">IF(Daily_Data!B216="","",Daily_Data!B216)</f>
        <v/>
      </c>
      <c r="C217" s="23" t="str">
        <f aca="false">IF(A217="","",Daily_Data!C216)</f>
        <v/>
      </c>
      <c r="D217" s="23" t="str">
        <f aca="false">IF(A217="","",Daily_Data!D216)</f>
        <v/>
      </c>
      <c r="E217" s="24" t="str">
        <f aca="false">IF(A217="","",Daily_Data!E216)</f>
        <v/>
      </c>
      <c r="F217" s="23" t="str">
        <f aca="false">IF(A217="","",Daily_Data!F216)</f>
        <v/>
      </c>
      <c r="G217" s="23" t="str">
        <f aca="false">IF(A217="","",Daily_Data!G216)</f>
        <v/>
      </c>
      <c r="H217" s="25" t="str">
        <f aca="false">IF(A217="","",IFERROR(INDEX(SCD_Data!$C$3:$C$502,SUMPRODUCT((SCD_Data!$A$3:$A$502=B217)*(IFERROR(DATEVALUE(SCD_Data!$H$3:$H$502&amp;""),SCD_Data!$H$3:$H$502)&lt;=IFERROR(DATEVALUE(A217&amp;""),A217))*(IFERROR(DATEVALUE(SCD_Data!$I$3:$I$502&amp;""),SCD_Data!$I$3:$I$502)&gt;=IFERROR(DATEVALUE(A217&amp;""),A217))*(ROW(SCD_Data!$A$3:$A$502)-2))),"—"))</f>
        <v/>
      </c>
      <c r="I217" s="25" t="str">
        <f aca="false">IF(A217="","",IFERROR(INDEX(SCD_Data!$D$3:$D$502,SUMPRODUCT((SCD_Data!$A$3:$A$502=B217)*(IFERROR(DATEVALUE(SCD_Data!$H$3:$H$502&amp;""),SCD_Data!$H$3:$H$502)&lt;=IFERROR(DATEVALUE(A217&amp;""),A217))*(IFERROR(DATEVALUE(SCD_Data!$I$3:$I$502&amp;""),SCD_Data!$I$3:$I$502)&gt;=IFERROR(DATEVALUE(A217&amp;""),A217))*(ROW(SCD_Data!$A$3:$A$502)-2))),"—"))</f>
        <v/>
      </c>
      <c r="J217" s="26" t="str">
        <f aca="false">IF(A217="","",IFERROR(INDEX(SCD_Data!$E$3:$E$502,SUMPRODUCT((SCD_Data!$A$3:$A$502=B217)*(IFERROR(DATEVALUE(SCD_Data!$H$3:$H$502&amp;""),SCD_Data!$H$3:$H$502)&lt;=IFERROR(DATEVALUE(A217&amp;""),A217))*(IFERROR(DATEVALUE(SCD_Data!$I$3:$I$502&amp;""),SCD_Data!$I$3:$I$502)&gt;=IFERROR(DATEVALUE(A217&amp;""),A217))*(ROW(SCD_Data!$A$3:$A$502)-2))),"—"))</f>
        <v/>
      </c>
      <c r="K217" s="25" t="str">
        <f aca="false">IF(A217="","",IFERROR(INDEX(SCD_Data!$F$3:$F$502,SUMPRODUCT((SCD_Data!$A$3:$A$502=B217)*(IFERROR(DATEVALUE(SCD_Data!$H$3:$H$502&amp;""),SCD_Data!$H$3:$H$502)&lt;=IFERROR(DATEVALUE(A217&amp;""),A217))*(IFERROR(DATEVALUE(SCD_Data!$I$3:$I$502&amp;""),SCD_Data!$I$3:$I$502)&gt;=IFERROR(DATEVALUE(A217&amp;""),A217))*(ROW(SCD_Data!$A$3:$A$502)-2))),"—"))</f>
        <v/>
      </c>
      <c r="L217" s="25" t="str">
        <f aca="false">IF(A217="","",IFERROR(INDEX(SCD_Data!$G$3:$G$502,SUMPRODUCT((SCD_Data!$A$3:$A$502=B217)*(IFERROR(DATEVALUE(SCD_Data!$H$3:$H$502&amp;""),SCD_Data!$H$3:$H$502)&lt;=IFERROR(DATEVALUE(A217&amp;""),A217))*(IFERROR(DATEVALUE(SCD_Data!$I$3:$I$502&amp;""),SCD_Data!$I$3:$I$502)&gt;=IFERROR(DATEVALUE(A217&amp;""),A217))*(ROW(SCD_Data!$A$3:$A$502)-2))),"—"))</f>
        <v/>
      </c>
      <c r="M217" s="27" t="str">
        <f aca="false">IF(A217="","",IF(H217="—","—",IF(C217&amp;""=H217&amp;"","✓","✗")))</f>
        <v/>
      </c>
      <c r="N217" s="27" t="str">
        <f aca="false">IF(A217="","",IF(H217="—","—",IF(D217&amp;""=I217&amp;"","✓","✗")))</f>
        <v/>
      </c>
      <c r="O217" s="27" t="str">
        <f aca="false">IF(A217="","",IF(H217="—","—",IF(ABS(E217-J217)&lt;0.01,"✓","✗")))</f>
        <v/>
      </c>
      <c r="P217" s="27" t="str">
        <f aca="false">IF(A217="","",IF(H217="—","—",IF(F217&amp;""=K217&amp;"","✓","✗")))</f>
        <v/>
      </c>
      <c r="Q217" s="27" t="str">
        <f aca="false">IF(A217="","",IF(H217="—","—",IF(G217&amp;""=L217&amp;"","✓","✗")))</f>
        <v/>
      </c>
      <c r="R217" s="27" t="str">
        <f aca="false">IF(A217="","",IF(COUNTIF(M217:Q217,"—")=5,"⚠ NO SCD ROW",IF(COUNTIF(M217:Q217,"✗")&gt;0,"❌ MISMATCH","✅ MATCH")))</f>
        <v/>
      </c>
    </row>
    <row r="218" customFormat="false" ht="15" hidden="false" customHeight="true" outlineLevel="0" collapsed="false">
      <c r="A218" s="22" t="str">
        <f aca="false">IF(Daily_Data!A217="","",Daily_Data!A217)</f>
        <v/>
      </c>
      <c r="B218" s="23" t="str">
        <f aca="false">IF(Daily_Data!B217="","",Daily_Data!B217)</f>
        <v/>
      </c>
      <c r="C218" s="23" t="str">
        <f aca="false">IF(A218="","",Daily_Data!C217)</f>
        <v/>
      </c>
      <c r="D218" s="23" t="str">
        <f aca="false">IF(A218="","",Daily_Data!D217)</f>
        <v/>
      </c>
      <c r="E218" s="24" t="str">
        <f aca="false">IF(A218="","",Daily_Data!E217)</f>
        <v/>
      </c>
      <c r="F218" s="23" t="str">
        <f aca="false">IF(A218="","",Daily_Data!F217)</f>
        <v/>
      </c>
      <c r="G218" s="23" t="str">
        <f aca="false">IF(A218="","",Daily_Data!G217)</f>
        <v/>
      </c>
      <c r="H218" s="25" t="str">
        <f aca="false">IF(A218="","",IFERROR(INDEX(SCD_Data!$C$3:$C$502,SUMPRODUCT((SCD_Data!$A$3:$A$502=B218)*(IFERROR(DATEVALUE(SCD_Data!$H$3:$H$502&amp;""),SCD_Data!$H$3:$H$502)&lt;=IFERROR(DATEVALUE(A218&amp;""),A218))*(IFERROR(DATEVALUE(SCD_Data!$I$3:$I$502&amp;""),SCD_Data!$I$3:$I$502)&gt;=IFERROR(DATEVALUE(A218&amp;""),A218))*(ROW(SCD_Data!$A$3:$A$502)-2))),"—"))</f>
        <v/>
      </c>
      <c r="I218" s="25" t="str">
        <f aca="false">IF(A218="","",IFERROR(INDEX(SCD_Data!$D$3:$D$502,SUMPRODUCT((SCD_Data!$A$3:$A$502=B218)*(IFERROR(DATEVALUE(SCD_Data!$H$3:$H$502&amp;""),SCD_Data!$H$3:$H$502)&lt;=IFERROR(DATEVALUE(A218&amp;""),A218))*(IFERROR(DATEVALUE(SCD_Data!$I$3:$I$502&amp;""),SCD_Data!$I$3:$I$502)&gt;=IFERROR(DATEVALUE(A218&amp;""),A218))*(ROW(SCD_Data!$A$3:$A$502)-2))),"—"))</f>
        <v/>
      </c>
      <c r="J218" s="26" t="str">
        <f aca="false">IF(A218="","",IFERROR(INDEX(SCD_Data!$E$3:$E$502,SUMPRODUCT((SCD_Data!$A$3:$A$502=B218)*(IFERROR(DATEVALUE(SCD_Data!$H$3:$H$502&amp;""),SCD_Data!$H$3:$H$502)&lt;=IFERROR(DATEVALUE(A218&amp;""),A218))*(IFERROR(DATEVALUE(SCD_Data!$I$3:$I$502&amp;""),SCD_Data!$I$3:$I$502)&gt;=IFERROR(DATEVALUE(A218&amp;""),A218))*(ROW(SCD_Data!$A$3:$A$502)-2))),"—"))</f>
        <v/>
      </c>
      <c r="K218" s="25" t="str">
        <f aca="false">IF(A218="","",IFERROR(INDEX(SCD_Data!$F$3:$F$502,SUMPRODUCT((SCD_Data!$A$3:$A$502=B218)*(IFERROR(DATEVALUE(SCD_Data!$H$3:$H$502&amp;""),SCD_Data!$H$3:$H$502)&lt;=IFERROR(DATEVALUE(A218&amp;""),A218))*(IFERROR(DATEVALUE(SCD_Data!$I$3:$I$502&amp;""),SCD_Data!$I$3:$I$502)&gt;=IFERROR(DATEVALUE(A218&amp;""),A218))*(ROW(SCD_Data!$A$3:$A$502)-2))),"—"))</f>
        <v/>
      </c>
      <c r="L218" s="25" t="str">
        <f aca="false">IF(A218="","",IFERROR(INDEX(SCD_Data!$G$3:$G$502,SUMPRODUCT((SCD_Data!$A$3:$A$502=B218)*(IFERROR(DATEVALUE(SCD_Data!$H$3:$H$502&amp;""),SCD_Data!$H$3:$H$502)&lt;=IFERROR(DATEVALUE(A218&amp;""),A218))*(IFERROR(DATEVALUE(SCD_Data!$I$3:$I$502&amp;""),SCD_Data!$I$3:$I$502)&gt;=IFERROR(DATEVALUE(A218&amp;""),A218))*(ROW(SCD_Data!$A$3:$A$502)-2))),"—"))</f>
        <v/>
      </c>
      <c r="M218" s="27" t="str">
        <f aca="false">IF(A218="","",IF(H218="—","—",IF(C218&amp;""=H218&amp;"","✓","✗")))</f>
        <v/>
      </c>
      <c r="N218" s="27" t="str">
        <f aca="false">IF(A218="","",IF(H218="—","—",IF(D218&amp;""=I218&amp;"","✓","✗")))</f>
        <v/>
      </c>
      <c r="O218" s="27" t="str">
        <f aca="false">IF(A218="","",IF(H218="—","—",IF(ABS(E218-J218)&lt;0.01,"✓","✗")))</f>
        <v/>
      </c>
      <c r="P218" s="27" t="str">
        <f aca="false">IF(A218="","",IF(H218="—","—",IF(F218&amp;""=K218&amp;"","✓","✗")))</f>
        <v/>
      </c>
      <c r="Q218" s="27" t="str">
        <f aca="false">IF(A218="","",IF(H218="—","—",IF(G218&amp;""=L218&amp;"","✓","✗")))</f>
        <v/>
      </c>
      <c r="R218" s="27" t="str">
        <f aca="false">IF(A218="","",IF(COUNTIF(M218:Q218,"—")=5,"⚠ NO SCD ROW",IF(COUNTIF(M218:Q218,"✗")&gt;0,"❌ MISMATCH","✅ MATCH")))</f>
        <v/>
      </c>
    </row>
    <row r="219" customFormat="false" ht="15" hidden="false" customHeight="true" outlineLevel="0" collapsed="false">
      <c r="A219" s="22" t="str">
        <f aca="false">IF(Daily_Data!A218="","",Daily_Data!A218)</f>
        <v/>
      </c>
      <c r="B219" s="23" t="str">
        <f aca="false">IF(Daily_Data!B218="","",Daily_Data!B218)</f>
        <v/>
      </c>
      <c r="C219" s="23" t="str">
        <f aca="false">IF(A219="","",Daily_Data!C218)</f>
        <v/>
      </c>
      <c r="D219" s="23" t="str">
        <f aca="false">IF(A219="","",Daily_Data!D218)</f>
        <v/>
      </c>
      <c r="E219" s="24" t="str">
        <f aca="false">IF(A219="","",Daily_Data!E218)</f>
        <v/>
      </c>
      <c r="F219" s="23" t="str">
        <f aca="false">IF(A219="","",Daily_Data!F218)</f>
        <v/>
      </c>
      <c r="G219" s="23" t="str">
        <f aca="false">IF(A219="","",Daily_Data!G218)</f>
        <v/>
      </c>
      <c r="H219" s="25" t="str">
        <f aca="false">IF(A219="","",IFERROR(INDEX(SCD_Data!$C$3:$C$502,SUMPRODUCT((SCD_Data!$A$3:$A$502=B219)*(IFERROR(DATEVALUE(SCD_Data!$H$3:$H$502&amp;""),SCD_Data!$H$3:$H$502)&lt;=IFERROR(DATEVALUE(A219&amp;""),A219))*(IFERROR(DATEVALUE(SCD_Data!$I$3:$I$502&amp;""),SCD_Data!$I$3:$I$502)&gt;=IFERROR(DATEVALUE(A219&amp;""),A219))*(ROW(SCD_Data!$A$3:$A$502)-2))),"—"))</f>
        <v/>
      </c>
      <c r="I219" s="25" t="str">
        <f aca="false">IF(A219="","",IFERROR(INDEX(SCD_Data!$D$3:$D$502,SUMPRODUCT((SCD_Data!$A$3:$A$502=B219)*(IFERROR(DATEVALUE(SCD_Data!$H$3:$H$502&amp;""),SCD_Data!$H$3:$H$502)&lt;=IFERROR(DATEVALUE(A219&amp;""),A219))*(IFERROR(DATEVALUE(SCD_Data!$I$3:$I$502&amp;""),SCD_Data!$I$3:$I$502)&gt;=IFERROR(DATEVALUE(A219&amp;""),A219))*(ROW(SCD_Data!$A$3:$A$502)-2))),"—"))</f>
        <v/>
      </c>
      <c r="J219" s="26" t="str">
        <f aca="false">IF(A219="","",IFERROR(INDEX(SCD_Data!$E$3:$E$502,SUMPRODUCT((SCD_Data!$A$3:$A$502=B219)*(IFERROR(DATEVALUE(SCD_Data!$H$3:$H$502&amp;""),SCD_Data!$H$3:$H$502)&lt;=IFERROR(DATEVALUE(A219&amp;""),A219))*(IFERROR(DATEVALUE(SCD_Data!$I$3:$I$502&amp;""),SCD_Data!$I$3:$I$502)&gt;=IFERROR(DATEVALUE(A219&amp;""),A219))*(ROW(SCD_Data!$A$3:$A$502)-2))),"—"))</f>
        <v/>
      </c>
      <c r="K219" s="25" t="str">
        <f aca="false">IF(A219="","",IFERROR(INDEX(SCD_Data!$F$3:$F$502,SUMPRODUCT((SCD_Data!$A$3:$A$502=B219)*(IFERROR(DATEVALUE(SCD_Data!$H$3:$H$502&amp;""),SCD_Data!$H$3:$H$502)&lt;=IFERROR(DATEVALUE(A219&amp;""),A219))*(IFERROR(DATEVALUE(SCD_Data!$I$3:$I$502&amp;""),SCD_Data!$I$3:$I$502)&gt;=IFERROR(DATEVALUE(A219&amp;""),A219))*(ROW(SCD_Data!$A$3:$A$502)-2))),"—"))</f>
        <v/>
      </c>
      <c r="L219" s="25" t="str">
        <f aca="false">IF(A219="","",IFERROR(INDEX(SCD_Data!$G$3:$G$502,SUMPRODUCT((SCD_Data!$A$3:$A$502=B219)*(IFERROR(DATEVALUE(SCD_Data!$H$3:$H$502&amp;""),SCD_Data!$H$3:$H$502)&lt;=IFERROR(DATEVALUE(A219&amp;""),A219))*(IFERROR(DATEVALUE(SCD_Data!$I$3:$I$502&amp;""),SCD_Data!$I$3:$I$502)&gt;=IFERROR(DATEVALUE(A219&amp;""),A219))*(ROW(SCD_Data!$A$3:$A$502)-2))),"—"))</f>
        <v/>
      </c>
      <c r="M219" s="27" t="str">
        <f aca="false">IF(A219="","",IF(H219="—","—",IF(C219&amp;""=H219&amp;"","✓","✗")))</f>
        <v/>
      </c>
      <c r="N219" s="27" t="str">
        <f aca="false">IF(A219="","",IF(H219="—","—",IF(D219&amp;""=I219&amp;"","✓","✗")))</f>
        <v/>
      </c>
      <c r="O219" s="27" t="str">
        <f aca="false">IF(A219="","",IF(H219="—","—",IF(ABS(E219-J219)&lt;0.01,"✓","✗")))</f>
        <v/>
      </c>
      <c r="P219" s="27" t="str">
        <f aca="false">IF(A219="","",IF(H219="—","—",IF(F219&amp;""=K219&amp;"","✓","✗")))</f>
        <v/>
      </c>
      <c r="Q219" s="27" t="str">
        <f aca="false">IF(A219="","",IF(H219="—","—",IF(G219&amp;""=L219&amp;"","✓","✗")))</f>
        <v/>
      </c>
      <c r="R219" s="27" t="str">
        <f aca="false">IF(A219="","",IF(COUNTIF(M219:Q219,"—")=5,"⚠ NO SCD ROW",IF(COUNTIF(M219:Q219,"✗")&gt;0,"❌ MISMATCH","✅ MATCH")))</f>
        <v/>
      </c>
    </row>
    <row r="220" customFormat="false" ht="15" hidden="false" customHeight="true" outlineLevel="0" collapsed="false">
      <c r="A220" s="22" t="str">
        <f aca="false">IF(Daily_Data!A219="","",Daily_Data!A219)</f>
        <v/>
      </c>
      <c r="B220" s="23" t="str">
        <f aca="false">IF(Daily_Data!B219="","",Daily_Data!B219)</f>
        <v/>
      </c>
      <c r="C220" s="23" t="str">
        <f aca="false">IF(A220="","",Daily_Data!C219)</f>
        <v/>
      </c>
      <c r="D220" s="23" t="str">
        <f aca="false">IF(A220="","",Daily_Data!D219)</f>
        <v/>
      </c>
      <c r="E220" s="24" t="str">
        <f aca="false">IF(A220="","",Daily_Data!E219)</f>
        <v/>
      </c>
      <c r="F220" s="23" t="str">
        <f aca="false">IF(A220="","",Daily_Data!F219)</f>
        <v/>
      </c>
      <c r="G220" s="23" t="str">
        <f aca="false">IF(A220="","",Daily_Data!G219)</f>
        <v/>
      </c>
      <c r="H220" s="25" t="str">
        <f aca="false">IF(A220="","",IFERROR(INDEX(SCD_Data!$C$3:$C$502,SUMPRODUCT((SCD_Data!$A$3:$A$502=B220)*(IFERROR(DATEVALUE(SCD_Data!$H$3:$H$502&amp;""),SCD_Data!$H$3:$H$502)&lt;=IFERROR(DATEVALUE(A220&amp;""),A220))*(IFERROR(DATEVALUE(SCD_Data!$I$3:$I$502&amp;""),SCD_Data!$I$3:$I$502)&gt;=IFERROR(DATEVALUE(A220&amp;""),A220))*(ROW(SCD_Data!$A$3:$A$502)-2))),"—"))</f>
        <v/>
      </c>
      <c r="I220" s="25" t="str">
        <f aca="false">IF(A220="","",IFERROR(INDEX(SCD_Data!$D$3:$D$502,SUMPRODUCT((SCD_Data!$A$3:$A$502=B220)*(IFERROR(DATEVALUE(SCD_Data!$H$3:$H$502&amp;""),SCD_Data!$H$3:$H$502)&lt;=IFERROR(DATEVALUE(A220&amp;""),A220))*(IFERROR(DATEVALUE(SCD_Data!$I$3:$I$502&amp;""),SCD_Data!$I$3:$I$502)&gt;=IFERROR(DATEVALUE(A220&amp;""),A220))*(ROW(SCD_Data!$A$3:$A$502)-2))),"—"))</f>
        <v/>
      </c>
      <c r="J220" s="26" t="str">
        <f aca="false">IF(A220="","",IFERROR(INDEX(SCD_Data!$E$3:$E$502,SUMPRODUCT((SCD_Data!$A$3:$A$502=B220)*(IFERROR(DATEVALUE(SCD_Data!$H$3:$H$502&amp;""),SCD_Data!$H$3:$H$502)&lt;=IFERROR(DATEVALUE(A220&amp;""),A220))*(IFERROR(DATEVALUE(SCD_Data!$I$3:$I$502&amp;""),SCD_Data!$I$3:$I$502)&gt;=IFERROR(DATEVALUE(A220&amp;""),A220))*(ROW(SCD_Data!$A$3:$A$502)-2))),"—"))</f>
        <v/>
      </c>
      <c r="K220" s="25" t="str">
        <f aca="false">IF(A220="","",IFERROR(INDEX(SCD_Data!$F$3:$F$502,SUMPRODUCT((SCD_Data!$A$3:$A$502=B220)*(IFERROR(DATEVALUE(SCD_Data!$H$3:$H$502&amp;""),SCD_Data!$H$3:$H$502)&lt;=IFERROR(DATEVALUE(A220&amp;""),A220))*(IFERROR(DATEVALUE(SCD_Data!$I$3:$I$502&amp;""),SCD_Data!$I$3:$I$502)&gt;=IFERROR(DATEVALUE(A220&amp;""),A220))*(ROW(SCD_Data!$A$3:$A$502)-2))),"—"))</f>
        <v/>
      </c>
      <c r="L220" s="25" t="str">
        <f aca="false">IF(A220="","",IFERROR(INDEX(SCD_Data!$G$3:$G$502,SUMPRODUCT((SCD_Data!$A$3:$A$502=B220)*(IFERROR(DATEVALUE(SCD_Data!$H$3:$H$502&amp;""),SCD_Data!$H$3:$H$502)&lt;=IFERROR(DATEVALUE(A220&amp;""),A220))*(IFERROR(DATEVALUE(SCD_Data!$I$3:$I$502&amp;""),SCD_Data!$I$3:$I$502)&gt;=IFERROR(DATEVALUE(A220&amp;""),A220))*(ROW(SCD_Data!$A$3:$A$502)-2))),"—"))</f>
        <v/>
      </c>
      <c r="M220" s="27" t="str">
        <f aca="false">IF(A220="","",IF(H220="—","—",IF(C220&amp;""=H220&amp;"","✓","✗")))</f>
        <v/>
      </c>
      <c r="N220" s="27" t="str">
        <f aca="false">IF(A220="","",IF(H220="—","—",IF(D220&amp;""=I220&amp;"","✓","✗")))</f>
        <v/>
      </c>
      <c r="O220" s="27" t="str">
        <f aca="false">IF(A220="","",IF(H220="—","—",IF(ABS(E220-J220)&lt;0.01,"✓","✗")))</f>
        <v/>
      </c>
      <c r="P220" s="27" t="str">
        <f aca="false">IF(A220="","",IF(H220="—","—",IF(F220&amp;""=K220&amp;"","✓","✗")))</f>
        <v/>
      </c>
      <c r="Q220" s="27" t="str">
        <f aca="false">IF(A220="","",IF(H220="—","—",IF(G220&amp;""=L220&amp;"","✓","✗")))</f>
        <v/>
      </c>
      <c r="R220" s="27" t="str">
        <f aca="false">IF(A220="","",IF(COUNTIF(M220:Q220,"—")=5,"⚠ NO SCD ROW",IF(COUNTIF(M220:Q220,"✗")&gt;0,"❌ MISMATCH","✅ MATCH")))</f>
        <v/>
      </c>
    </row>
    <row r="221" customFormat="false" ht="15" hidden="false" customHeight="true" outlineLevel="0" collapsed="false">
      <c r="A221" s="22" t="str">
        <f aca="false">IF(Daily_Data!A220="","",Daily_Data!A220)</f>
        <v/>
      </c>
      <c r="B221" s="23" t="str">
        <f aca="false">IF(Daily_Data!B220="","",Daily_Data!B220)</f>
        <v/>
      </c>
      <c r="C221" s="23" t="str">
        <f aca="false">IF(A221="","",Daily_Data!C220)</f>
        <v/>
      </c>
      <c r="D221" s="23" t="str">
        <f aca="false">IF(A221="","",Daily_Data!D220)</f>
        <v/>
      </c>
      <c r="E221" s="24" t="str">
        <f aca="false">IF(A221="","",Daily_Data!E220)</f>
        <v/>
      </c>
      <c r="F221" s="23" t="str">
        <f aca="false">IF(A221="","",Daily_Data!F220)</f>
        <v/>
      </c>
      <c r="G221" s="23" t="str">
        <f aca="false">IF(A221="","",Daily_Data!G220)</f>
        <v/>
      </c>
      <c r="H221" s="25" t="str">
        <f aca="false">IF(A221="","",IFERROR(INDEX(SCD_Data!$C$3:$C$502,SUMPRODUCT((SCD_Data!$A$3:$A$502=B221)*(IFERROR(DATEVALUE(SCD_Data!$H$3:$H$502&amp;""),SCD_Data!$H$3:$H$502)&lt;=IFERROR(DATEVALUE(A221&amp;""),A221))*(IFERROR(DATEVALUE(SCD_Data!$I$3:$I$502&amp;""),SCD_Data!$I$3:$I$502)&gt;=IFERROR(DATEVALUE(A221&amp;""),A221))*(ROW(SCD_Data!$A$3:$A$502)-2))),"—"))</f>
        <v/>
      </c>
      <c r="I221" s="25" t="str">
        <f aca="false">IF(A221="","",IFERROR(INDEX(SCD_Data!$D$3:$D$502,SUMPRODUCT((SCD_Data!$A$3:$A$502=B221)*(IFERROR(DATEVALUE(SCD_Data!$H$3:$H$502&amp;""),SCD_Data!$H$3:$H$502)&lt;=IFERROR(DATEVALUE(A221&amp;""),A221))*(IFERROR(DATEVALUE(SCD_Data!$I$3:$I$502&amp;""),SCD_Data!$I$3:$I$502)&gt;=IFERROR(DATEVALUE(A221&amp;""),A221))*(ROW(SCD_Data!$A$3:$A$502)-2))),"—"))</f>
        <v/>
      </c>
      <c r="J221" s="26" t="str">
        <f aca="false">IF(A221="","",IFERROR(INDEX(SCD_Data!$E$3:$E$502,SUMPRODUCT((SCD_Data!$A$3:$A$502=B221)*(IFERROR(DATEVALUE(SCD_Data!$H$3:$H$502&amp;""),SCD_Data!$H$3:$H$502)&lt;=IFERROR(DATEVALUE(A221&amp;""),A221))*(IFERROR(DATEVALUE(SCD_Data!$I$3:$I$502&amp;""),SCD_Data!$I$3:$I$502)&gt;=IFERROR(DATEVALUE(A221&amp;""),A221))*(ROW(SCD_Data!$A$3:$A$502)-2))),"—"))</f>
        <v/>
      </c>
      <c r="K221" s="25" t="str">
        <f aca="false">IF(A221="","",IFERROR(INDEX(SCD_Data!$F$3:$F$502,SUMPRODUCT((SCD_Data!$A$3:$A$502=B221)*(IFERROR(DATEVALUE(SCD_Data!$H$3:$H$502&amp;""),SCD_Data!$H$3:$H$502)&lt;=IFERROR(DATEVALUE(A221&amp;""),A221))*(IFERROR(DATEVALUE(SCD_Data!$I$3:$I$502&amp;""),SCD_Data!$I$3:$I$502)&gt;=IFERROR(DATEVALUE(A221&amp;""),A221))*(ROW(SCD_Data!$A$3:$A$502)-2))),"—"))</f>
        <v/>
      </c>
      <c r="L221" s="25" t="str">
        <f aca="false">IF(A221="","",IFERROR(INDEX(SCD_Data!$G$3:$G$502,SUMPRODUCT((SCD_Data!$A$3:$A$502=B221)*(IFERROR(DATEVALUE(SCD_Data!$H$3:$H$502&amp;""),SCD_Data!$H$3:$H$502)&lt;=IFERROR(DATEVALUE(A221&amp;""),A221))*(IFERROR(DATEVALUE(SCD_Data!$I$3:$I$502&amp;""),SCD_Data!$I$3:$I$502)&gt;=IFERROR(DATEVALUE(A221&amp;""),A221))*(ROW(SCD_Data!$A$3:$A$502)-2))),"—"))</f>
        <v/>
      </c>
      <c r="M221" s="27" t="str">
        <f aca="false">IF(A221="","",IF(H221="—","—",IF(C221&amp;""=H221&amp;"","✓","✗")))</f>
        <v/>
      </c>
      <c r="N221" s="27" t="str">
        <f aca="false">IF(A221="","",IF(H221="—","—",IF(D221&amp;""=I221&amp;"","✓","✗")))</f>
        <v/>
      </c>
      <c r="O221" s="27" t="str">
        <f aca="false">IF(A221="","",IF(H221="—","—",IF(ABS(E221-J221)&lt;0.01,"✓","✗")))</f>
        <v/>
      </c>
      <c r="P221" s="27" t="str">
        <f aca="false">IF(A221="","",IF(H221="—","—",IF(F221&amp;""=K221&amp;"","✓","✗")))</f>
        <v/>
      </c>
      <c r="Q221" s="27" t="str">
        <f aca="false">IF(A221="","",IF(H221="—","—",IF(G221&amp;""=L221&amp;"","✓","✗")))</f>
        <v/>
      </c>
      <c r="R221" s="27" t="str">
        <f aca="false">IF(A221="","",IF(COUNTIF(M221:Q221,"—")=5,"⚠ NO SCD ROW",IF(COUNTIF(M221:Q221,"✗")&gt;0,"❌ MISMATCH","✅ MATCH")))</f>
        <v/>
      </c>
    </row>
    <row r="222" customFormat="false" ht="15" hidden="false" customHeight="true" outlineLevel="0" collapsed="false">
      <c r="A222" s="22" t="str">
        <f aca="false">IF(Daily_Data!A221="","",Daily_Data!A221)</f>
        <v/>
      </c>
      <c r="B222" s="23" t="str">
        <f aca="false">IF(Daily_Data!B221="","",Daily_Data!B221)</f>
        <v/>
      </c>
      <c r="C222" s="23" t="str">
        <f aca="false">IF(A222="","",Daily_Data!C221)</f>
        <v/>
      </c>
      <c r="D222" s="23" t="str">
        <f aca="false">IF(A222="","",Daily_Data!D221)</f>
        <v/>
      </c>
      <c r="E222" s="24" t="str">
        <f aca="false">IF(A222="","",Daily_Data!E221)</f>
        <v/>
      </c>
      <c r="F222" s="23" t="str">
        <f aca="false">IF(A222="","",Daily_Data!F221)</f>
        <v/>
      </c>
      <c r="G222" s="23" t="str">
        <f aca="false">IF(A222="","",Daily_Data!G221)</f>
        <v/>
      </c>
      <c r="H222" s="25" t="str">
        <f aca="false">IF(A222="","",IFERROR(INDEX(SCD_Data!$C$3:$C$502,SUMPRODUCT((SCD_Data!$A$3:$A$502=B222)*(IFERROR(DATEVALUE(SCD_Data!$H$3:$H$502&amp;""),SCD_Data!$H$3:$H$502)&lt;=IFERROR(DATEVALUE(A222&amp;""),A222))*(IFERROR(DATEVALUE(SCD_Data!$I$3:$I$502&amp;""),SCD_Data!$I$3:$I$502)&gt;=IFERROR(DATEVALUE(A222&amp;""),A222))*(ROW(SCD_Data!$A$3:$A$502)-2))),"—"))</f>
        <v/>
      </c>
      <c r="I222" s="25" t="str">
        <f aca="false">IF(A222="","",IFERROR(INDEX(SCD_Data!$D$3:$D$502,SUMPRODUCT((SCD_Data!$A$3:$A$502=B222)*(IFERROR(DATEVALUE(SCD_Data!$H$3:$H$502&amp;""),SCD_Data!$H$3:$H$502)&lt;=IFERROR(DATEVALUE(A222&amp;""),A222))*(IFERROR(DATEVALUE(SCD_Data!$I$3:$I$502&amp;""),SCD_Data!$I$3:$I$502)&gt;=IFERROR(DATEVALUE(A222&amp;""),A222))*(ROW(SCD_Data!$A$3:$A$502)-2))),"—"))</f>
        <v/>
      </c>
      <c r="J222" s="26" t="str">
        <f aca="false">IF(A222="","",IFERROR(INDEX(SCD_Data!$E$3:$E$502,SUMPRODUCT((SCD_Data!$A$3:$A$502=B222)*(IFERROR(DATEVALUE(SCD_Data!$H$3:$H$502&amp;""),SCD_Data!$H$3:$H$502)&lt;=IFERROR(DATEVALUE(A222&amp;""),A222))*(IFERROR(DATEVALUE(SCD_Data!$I$3:$I$502&amp;""),SCD_Data!$I$3:$I$502)&gt;=IFERROR(DATEVALUE(A222&amp;""),A222))*(ROW(SCD_Data!$A$3:$A$502)-2))),"—"))</f>
        <v/>
      </c>
      <c r="K222" s="25" t="str">
        <f aca="false">IF(A222="","",IFERROR(INDEX(SCD_Data!$F$3:$F$502,SUMPRODUCT((SCD_Data!$A$3:$A$502=B222)*(IFERROR(DATEVALUE(SCD_Data!$H$3:$H$502&amp;""),SCD_Data!$H$3:$H$502)&lt;=IFERROR(DATEVALUE(A222&amp;""),A222))*(IFERROR(DATEVALUE(SCD_Data!$I$3:$I$502&amp;""),SCD_Data!$I$3:$I$502)&gt;=IFERROR(DATEVALUE(A222&amp;""),A222))*(ROW(SCD_Data!$A$3:$A$502)-2))),"—"))</f>
        <v/>
      </c>
      <c r="L222" s="25" t="str">
        <f aca="false">IF(A222="","",IFERROR(INDEX(SCD_Data!$G$3:$G$502,SUMPRODUCT((SCD_Data!$A$3:$A$502=B222)*(IFERROR(DATEVALUE(SCD_Data!$H$3:$H$502&amp;""),SCD_Data!$H$3:$H$502)&lt;=IFERROR(DATEVALUE(A222&amp;""),A222))*(IFERROR(DATEVALUE(SCD_Data!$I$3:$I$502&amp;""),SCD_Data!$I$3:$I$502)&gt;=IFERROR(DATEVALUE(A222&amp;""),A222))*(ROW(SCD_Data!$A$3:$A$502)-2))),"—"))</f>
        <v/>
      </c>
      <c r="M222" s="27" t="str">
        <f aca="false">IF(A222="","",IF(H222="—","—",IF(C222&amp;""=H222&amp;"","✓","✗")))</f>
        <v/>
      </c>
      <c r="N222" s="27" t="str">
        <f aca="false">IF(A222="","",IF(H222="—","—",IF(D222&amp;""=I222&amp;"","✓","✗")))</f>
        <v/>
      </c>
      <c r="O222" s="27" t="str">
        <f aca="false">IF(A222="","",IF(H222="—","—",IF(ABS(E222-J222)&lt;0.01,"✓","✗")))</f>
        <v/>
      </c>
      <c r="P222" s="27" t="str">
        <f aca="false">IF(A222="","",IF(H222="—","—",IF(F222&amp;""=K222&amp;"","✓","✗")))</f>
        <v/>
      </c>
      <c r="Q222" s="27" t="str">
        <f aca="false">IF(A222="","",IF(H222="—","—",IF(G222&amp;""=L222&amp;"","✓","✗")))</f>
        <v/>
      </c>
      <c r="R222" s="27" t="str">
        <f aca="false">IF(A222="","",IF(COUNTIF(M222:Q222,"—")=5,"⚠ NO SCD ROW",IF(COUNTIF(M222:Q222,"✗")&gt;0,"❌ MISMATCH","✅ MATCH")))</f>
        <v/>
      </c>
    </row>
    <row r="223" customFormat="false" ht="15" hidden="false" customHeight="true" outlineLevel="0" collapsed="false">
      <c r="A223" s="22" t="str">
        <f aca="false">IF(Daily_Data!A222="","",Daily_Data!A222)</f>
        <v/>
      </c>
      <c r="B223" s="23" t="str">
        <f aca="false">IF(Daily_Data!B222="","",Daily_Data!B222)</f>
        <v/>
      </c>
      <c r="C223" s="23" t="str">
        <f aca="false">IF(A223="","",Daily_Data!C222)</f>
        <v/>
      </c>
      <c r="D223" s="23" t="str">
        <f aca="false">IF(A223="","",Daily_Data!D222)</f>
        <v/>
      </c>
      <c r="E223" s="24" t="str">
        <f aca="false">IF(A223="","",Daily_Data!E222)</f>
        <v/>
      </c>
      <c r="F223" s="23" t="str">
        <f aca="false">IF(A223="","",Daily_Data!F222)</f>
        <v/>
      </c>
      <c r="G223" s="23" t="str">
        <f aca="false">IF(A223="","",Daily_Data!G222)</f>
        <v/>
      </c>
      <c r="H223" s="25" t="str">
        <f aca="false">IF(A223="","",IFERROR(INDEX(SCD_Data!$C$3:$C$502,SUMPRODUCT((SCD_Data!$A$3:$A$502=B223)*(IFERROR(DATEVALUE(SCD_Data!$H$3:$H$502&amp;""),SCD_Data!$H$3:$H$502)&lt;=IFERROR(DATEVALUE(A223&amp;""),A223))*(IFERROR(DATEVALUE(SCD_Data!$I$3:$I$502&amp;""),SCD_Data!$I$3:$I$502)&gt;=IFERROR(DATEVALUE(A223&amp;""),A223))*(ROW(SCD_Data!$A$3:$A$502)-2))),"—"))</f>
        <v/>
      </c>
      <c r="I223" s="25" t="str">
        <f aca="false">IF(A223="","",IFERROR(INDEX(SCD_Data!$D$3:$D$502,SUMPRODUCT((SCD_Data!$A$3:$A$502=B223)*(IFERROR(DATEVALUE(SCD_Data!$H$3:$H$502&amp;""),SCD_Data!$H$3:$H$502)&lt;=IFERROR(DATEVALUE(A223&amp;""),A223))*(IFERROR(DATEVALUE(SCD_Data!$I$3:$I$502&amp;""),SCD_Data!$I$3:$I$502)&gt;=IFERROR(DATEVALUE(A223&amp;""),A223))*(ROW(SCD_Data!$A$3:$A$502)-2))),"—"))</f>
        <v/>
      </c>
      <c r="J223" s="26" t="str">
        <f aca="false">IF(A223="","",IFERROR(INDEX(SCD_Data!$E$3:$E$502,SUMPRODUCT((SCD_Data!$A$3:$A$502=B223)*(IFERROR(DATEVALUE(SCD_Data!$H$3:$H$502&amp;""),SCD_Data!$H$3:$H$502)&lt;=IFERROR(DATEVALUE(A223&amp;""),A223))*(IFERROR(DATEVALUE(SCD_Data!$I$3:$I$502&amp;""),SCD_Data!$I$3:$I$502)&gt;=IFERROR(DATEVALUE(A223&amp;""),A223))*(ROW(SCD_Data!$A$3:$A$502)-2))),"—"))</f>
        <v/>
      </c>
      <c r="K223" s="25" t="str">
        <f aca="false">IF(A223="","",IFERROR(INDEX(SCD_Data!$F$3:$F$502,SUMPRODUCT((SCD_Data!$A$3:$A$502=B223)*(IFERROR(DATEVALUE(SCD_Data!$H$3:$H$502&amp;""),SCD_Data!$H$3:$H$502)&lt;=IFERROR(DATEVALUE(A223&amp;""),A223))*(IFERROR(DATEVALUE(SCD_Data!$I$3:$I$502&amp;""),SCD_Data!$I$3:$I$502)&gt;=IFERROR(DATEVALUE(A223&amp;""),A223))*(ROW(SCD_Data!$A$3:$A$502)-2))),"—"))</f>
        <v/>
      </c>
      <c r="L223" s="25" t="str">
        <f aca="false">IF(A223="","",IFERROR(INDEX(SCD_Data!$G$3:$G$502,SUMPRODUCT((SCD_Data!$A$3:$A$502=B223)*(IFERROR(DATEVALUE(SCD_Data!$H$3:$H$502&amp;""),SCD_Data!$H$3:$H$502)&lt;=IFERROR(DATEVALUE(A223&amp;""),A223))*(IFERROR(DATEVALUE(SCD_Data!$I$3:$I$502&amp;""),SCD_Data!$I$3:$I$502)&gt;=IFERROR(DATEVALUE(A223&amp;""),A223))*(ROW(SCD_Data!$A$3:$A$502)-2))),"—"))</f>
        <v/>
      </c>
      <c r="M223" s="27" t="str">
        <f aca="false">IF(A223="","",IF(H223="—","—",IF(C223&amp;""=H223&amp;"","✓","✗")))</f>
        <v/>
      </c>
      <c r="N223" s="27" t="str">
        <f aca="false">IF(A223="","",IF(H223="—","—",IF(D223&amp;""=I223&amp;"","✓","✗")))</f>
        <v/>
      </c>
      <c r="O223" s="27" t="str">
        <f aca="false">IF(A223="","",IF(H223="—","—",IF(ABS(E223-J223)&lt;0.01,"✓","✗")))</f>
        <v/>
      </c>
      <c r="P223" s="27" t="str">
        <f aca="false">IF(A223="","",IF(H223="—","—",IF(F223&amp;""=K223&amp;"","✓","✗")))</f>
        <v/>
      </c>
      <c r="Q223" s="27" t="str">
        <f aca="false">IF(A223="","",IF(H223="—","—",IF(G223&amp;""=L223&amp;"","✓","✗")))</f>
        <v/>
      </c>
      <c r="R223" s="27" t="str">
        <f aca="false">IF(A223="","",IF(COUNTIF(M223:Q223,"—")=5,"⚠ NO SCD ROW",IF(COUNTIF(M223:Q223,"✗")&gt;0,"❌ MISMATCH","✅ MATCH")))</f>
        <v/>
      </c>
    </row>
    <row r="224" customFormat="false" ht="15" hidden="false" customHeight="true" outlineLevel="0" collapsed="false">
      <c r="A224" s="22" t="str">
        <f aca="false">IF(Daily_Data!A223="","",Daily_Data!A223)</f>
        <v/>
      </c>
      <c r="B224" s="23" t="str">
        <f aca="false">IF(Daily_Data!B223="","",Daily_Data!B223)</f>
        <v/>
      </c>
      <c r="C224" s="23" t="str">
        <f aca="false">IF(A224="","",Daily_Data!C223)</f>
        <v/>
      </c>
      <c r="D224" s="23" t="str">
        <f aca="false">IF(A224="","",Daily_Data!D223)</f>
        <v/>
      </c>
      <c r="E224" s="24" t="str">
        <f aca="false">IF(A224="","",Daily_Data!E223)</f>
        <v/>
      </c>
      <c r="F224" s="23" t="str">
        <f aca="false">IF(A224="","",Daily_Data!F223)</f>
        <v/>
      </c>
      <c r="G224" s="23" t="str">
        <f aca="false">IF(A224="","",Daily_Data!G223)</f>
        <v/>
      </c>
      <c r="H224" s="25" t="str">
        <f aca="false">IF(A224="","",IFERROR(INDEX(SCD_Data!$C$3:$C$502,SUMPRODUCT((SCD_Data!$A$3:$A$502=B224)*(IFERROR(DATEVALUE(SCD_Data!$H$3:$H$502&amp;""),SCD_Data!$H$3:$H$502)&lt;=IFERROR(DATEVALUE(A224&amp;""),A224))*(IFERROR(DATEVALUE(SCD_Data!$I$3:$I$502&amp;""),SCD_Data!$I$3:$I$502)&gt;=IFERROR(DATEVALUE(A224&amp;""),A224))*(ROW(SCD_Data!$A$3:$A$502)-2))),"—"))</f>
        <v/>
      </c>
      <c r="I224" s="25" t="str">
        <f aca="false">IF(A224="","",IFERROR(INDEX(SCD_Data!$D$3:$D$502,SUMPRODUCT((SCD_Data!$A$3:$A$502=B224)*(IFERROR(DATEVALUE(SCD_Data!$H$3:$H$502&amp;""),SCD_Data!$H$3:$H$502)&lt;=IFERROR(DATEVALUE(A224&amp;""),A224))*(IFERROR(DATEVALUE(SCD_Data!$I$3:$I$502&amp;""),SCD_Data!$I$3:$I$502)&gt;=IFERROR(DATEVALUE(A224&amp;""),A224))*(ROW(SCD_Data!$A$3:$A$502)-2))),"—"))</f>
        <v/>
      </c>
      <c r="J224" s="26" t="str">
        <f aca="false">IF(A224="","",IFERROR(INDEX(SCD_Data!$E$3:$E$502,SUMPRODUCT((SCD_Data!$A$3:$A$502=B224)*(IFERROR(DATEVALUE(SCD_Data!$H$3:$H$502&amp;""),SCD_Data!$H$3:$H$502)&lt;=IFERROR(DATEVALUE(A224&amp;""),A224))*(IFERROR(DATEVALUE(SCD_Data!$I$3:$I$502&amp;""),SCD_Data!$I$3:$I$502)&gt;=IFERROR(DATEVALUE(A224&amp;""),A224))*(ROW(SCD_Data!$A$3:$A$502)-2))),"—"))</f>
        <v/>
      </c>
      <c r="K224" s="25" t="str">
        <f aca="false">IF(A224="","",IFERROR(INDEX(SCD_Data!$F$3:$F$502,SUMPRODUCT((SCD_Data!$A$3:$A$502=B224)*(IFERROR(DATEVALUE(SCD_Data!$H$3:$H$502&amp;""),SCD_Data!$H$3:$H$502)&lt;=IFERROR(DATEVALUE(A224&amp;""),A224))*(IFERROR(DATEVALUE(SCD_Data!$I$3:$I$502&amp;""),SCD_Data!$I$3:$I$502)&gt;=IFERROR(DATEVALUE(A224&amp;""),A224))*(ROW(SCD_Data!$A$3:$A$502)-2))),"—"))</f>
        <v/>
      </c>
      <c r="L224" s="25" t="str">
        <f aca="false">IF(A224="","",IFERROR(INDEX(SCD_Data!$G$3:$G$502,SUMPRODUCT((SCD_Data!$A$3:$A$502=B224)*(IFERROR(DATEVALUE(SCD_Data!$H$3:$H$502&amp;""),SCD_Data!$H$3:$H$502)&lt;=IFERROR(DATEVALUE(A224&amp;""),A224))*(IFERROR(DATEVALUE(SCD_Data!$I$3:$I$502&amp;""),SCD_Data!$I$3:$I$502)&gt;=IFERROR(DATEVALUE(A224&amp;""),A224))*(ROW(SCD_Data!$A$3:$A$502)-2))),"—"))</f>
        <v/>
      </c>
      <c r="M224" s="27" t="str">
        <f aca="false">IF(A224="","",IF(H224="—","—",IF(C224&amp;""=H224&amp;"","✓","✗")))</f>
        <v/>
      </c>
      <c r="N224" s="27" t="str">
        <f aca="false">IF(A224="","",IF(H224="—","—",IF(D224&amp;""=I224&amp;"","✓","✗")))</f>
        <v/>
      </c>
      <c r="O224" s="27" t="str">
        <f aca="false">IF(A224="","",IF(H224="—","—",IF(ABS(E224-J224)&lt;0.01,"✓","✗")))</f>
        <v/>
      </c>
      <c r="P224" s="27" t="str">
        <f aca="false">IF(A224="","",IF(H224="—","—",IF(F224&amp;""=K224&amp;"","✓","✗")))</f>
        <v/>
      </c>
      <c r="Q224" s="27" t="str">
        <f aca="false">IF(A224="","",IF(H224="—","—",IF(G224&amp;""=L224&amp;"","✓","✗")))</f>
        <v/>
      </c>
      <c r="R224" s="27" t="str">
        <f aca="false">IF(A224="","",IF(COUNTIF(M224:Q224,"—")=5,"⚠ NO SCD ROW",IF(COUNTIF(M224:Q224,"✗")&gt;0,"❌ MISMATCH","✅ MATCH")))</f>
        <v/>
      </c>
    </row>
    <row r="225" customFormat="false" ht="15" hidden="false" customHeight="true" outlineLevel="0" collapsed="false">
      <c r="A225" s="22" t="str">
        <f aca="false">IF(Daily_Data!A224="","",Daily_Data!A224)</f>
        <v/>
      </c>
      <c r="B225" s="23" t="str">
        <f aca="false">IF(Daily_Data!B224="","",Daily_Data!B224)</f>
        <v/>
      </c>
      <c r="C225" s="23" t="str">
        <f aca="false">IF(A225="","",Daily_Data!C224)</f>
        <v/>
      </c>
      <c r="D225" s="23" t="str">
        <f aca="false">IF(A225="","",Daily_Data!D224)</f>
        <v/>
      </c>
      <c r="E225" s="24" t="str">
        <f aca="false">IF(A225="","",Daily_Data!E224)</f>
        <v/>
      </c>
      <c r="F225" s="23" t="str">
        <f aca="false">IF(A225="","",Daily_Data!F224)</f>
        <v/>
      </c>
      <c r="G225" s="23" t="str">
        <f aca="false">IF(A225="","",Daily_Data!G224)</f>
        <v/>
      </c>
      <c r="H225" s="25" t="str">
        <f aca="false">IF(A225="","",IFERROR(INDEX(SCD_Data!$C$3:$C$502,SUMPRODUCT((SCD_Data!$A$3:$A$502=B225)*(IFERROR(DATEVALUE(SCD_Data!$H$3:$H$502&amp;""),SCD_Data!$H$3:$H$502)&lt;=IFERROR(DATEVALUE(A225&amp;""),A225))*(IFERROR(DATEVALUE(SCD_Data!$I$3:$I$502&amp;""),SCD_Data!$I$3:$I$502)&gt;=IFERROR(DATEVALUE(A225&amp;""),A225))*(ROW(SCD_Data!$A$3:$A$502)-2))),"—"))</f>
        <v/>
      </c>
      <c r="I225" s="25" t="str">
        <f aca="false">IF(A225="","",IFERROR(INDEX(SCD_Data!$D$3:$D$502,SUMPRODUCT((SCD_Data!$A$3:$A$502=B225)*(IFERROR(DATEVALUE(SCD_Data!$H$3:$H$502&amp;""),SCD_Data!$H$3:$H$502)&lt;=IFERROR(DATEVALUE(A225&amp;""),A225))*(IFERROR(DATEVALUE(SCD_Data!$I$3:$I$502&amp;""),SCD_Data!$I$3:$I$502)&gt;=IFERROR(DATEVALUE(A225&amp;""),A225))*(ROW(SCD_Data!$A$3:$A$502)-2))),"—"))</f>
        <v/>
      </c>
      <c r="J225" s="26" t="str">
        <f aca="false">IF(A225="","",IFERROR(INDEX(SCD_Data!$E$3:$E$502,SUMPRODUCT((SCD_Data!$A$3:$A$502=B225)*(IFERROR(DATEVALUE(SCD_Data!$H$3:$H$502&amp;""),SCD_Data!$H$3:$H$502)&lt;=IFERROR(DATEVALUE(A225&amp;""),A225))*(IFERROR(DATEVALUE(SCD_Data!$I$3:$I$502&amp;""),SCD_Data!$I$3:$I$502)&gt;=IFERROR(DATEVALUE(A225&amp;""),A225))*(ROW(SCD_Data!$A$3:$A$502)-2))),"—"))</f>
        <v/>
      </c>
      <c r="K225" s="25" t="str">
        <f aca="false">IF(A225="","",IFERROR(INDEX(SCD_Data!$F$3:$F$502,SUMPRODUCT((SCD_Data!$A$3:$A$502=B225)*(IFERROR(DATEVALUE(SCD_Data!$H$3:$H$502&amp;""),SCD_Data!$H$3:$H$502)&lt;=IFERROR(DATEVALUE(A225&amp;""),A225))*(IFERROR(DATEVALUE(SCD_Data!$I$3:$I$502&amp;""),SCD_Data!$I$3:$I$502)&gt;=IFERROR(DATEVALUE(A225&amp;""),A225))*(ROW(SCD_Data!$A$3:$A$502)-2))),"—"))</f>
        <v/>
      </c>
      <c r="L225" s="25" t="str">
        <f aca="false">IF(A225="","",IFERROR(INDEX(SCD_Data!$G$3:$G$502,SUMPRODUCT((SCD_Data!$A$3:$A$502=B225)*(IFERROR(DATEVALUE(SCD_Data!$H$3:$H$502&amp;""),SCD_Data!$H$3:$H$502)&lt;=IFERROR(DATEVALUE(A225&amp;""),A225))*(IFERROR(DATEVALUE(SCD_Data!$I$3:$I$502&amp;""),SCD_Data!$I$3:$I$502)&gt;=IFERROR(DATEVALUE(A225&amp;""),A225))*(ROW(SCD_Data!$A$3:$A$502)-2))),"—"))</f>
        <v/>
      </c>
      <c r="M225" s="27" t="str">
        <f aca="false">IF(A225="","",IF(H225="—","—",IF(C225&amp;""=H225&amp;"","✓","✗")))</f>
        <v/>
      </c>
      <c r="N225" s="27" t="str">
        <f aca="false">IF(A225="","",IF(H225="—","—",IF(D225&amp;""=I225&amp;"","✓","✗")))</f>
        <v/>
      </c>
      <c r="O225" s="27" t="str">
        <f aca="false">IF(A225="","",IF(H225="—","—",IF(ABS(E225-J225)&lt;0.01,"✓","✗")))</f>
        <v/>
      </c>
      <c r="P225" s="27" t="str">
        <f aca="false">IF(A225="","",IF(H225="—","—",IF(F225&amp;""=K225&amp;"","✓","✗")))</f>
        <v/>
      </c>
      <c r="Q225" s="27" t="str">
        <f aca="false">IF(A225="","",IF(H225="—","—",IF(G225&amp;""=L225&amp;"","✓","✗")))</f>
        <v/>
      </c>
      <c r="R225" s="27" t="str">
        <f aca="false">IF(A225="","",IF(COUNTIF(M225:Q225,"—")=5,"⚠ NO SCD ROW",IF(COUNTIF(M225:Q225,"✗")&gt;0,"❌ MISMATCH","✅ MATCH")))</f>
        <v/>
      </c>
    </row>
    <row r="226" customFormat="false" ht="15" hidden="false" customHeight="true" outlineLevel="0" collapsed="false">
      <c r="A226" s="22" t="str">
        <f aca="false">IF(Daily_Data!A225="","",Daily_Data!A225)</f>
        <v/>
      </c>
      <c r="B226" s="23" t="str">
        <f aca="false">IF(Daily_Data!B225="","",Daily_Data!B225)</f>
        <v/>
      </c>
      <c r="C226" s="23" t="str">
        <f aca="false">IF(A226="","",Daily_Data!C225)</f>
        <v/>
      </c>
      <c r="D226" s="23" t="str">
        <f aca="false">IF(A226="","",Daily_Data!D225)</f>
        <v/>
      </c>
      <c r="E226" s="24" t="str">
        <f aca="false">IF(A226="","",Daily_Data!E225)</f>
        <v/>
      </c>
      <c r="F226" s="23" t="str">
        <f aca="false">IF(A226="","",Daily_Data!F225)</f>
        <v/>
      </c>
      <c r="G226" s="23" t="str">
        <f aca="false">IF(A226="","",Daily_Data!G225)</f>
        <v/>
      </c>
      <c r="H226" s="25" t="str">
        <f aca="false">IF(A226="","",IFERROR(INDEX(SCD_Data!$C$3:$C$502,SUMPRODUCT((SCD_Data!$A$3:$A$502=B226)*(IFERROR(DATEVALUE(SCD_Data!$H$3:$H$502&amp;""),SCD_Data!$H$3:$H$502)&lt;=IFERROR(DATEVALUE(A226&amp;""),A226))*(IFERROR(DATEVALUE(SCD_Data!$I$3:$I$502&amp;""),SCD_Data!$I$3:$I$502)&gt;=IFERROR(DATEVALUE(A226&amp;""),A226))*(ROW(SCD_Data!$A$3:$A$502)-2))),"—"))</f>
        <v/>
      </c>
      <c r="I226" s="25" t="str">
        <f aca="false">IF(A226="","",IFERROR(INDEX(SCD_Data!$D$3:$D$502,SUMPRODUCT((SCD_Data!$A$3:$A$502=B226)*(IFERROR(DATEVALUE(SCD_Data!$H$3:$H$502&amp;""),SCD_Data!$H$3:$H$502)&lt;=IFERROR(DATEVALUE(A226&amp;""),A226))*(IFERROR(DATEVALUE(SCD_Data!$I$3:$I$502&amp;""),SCD_Data!$I$3:$I$502)&gt;=IFERROR(DATEVALUE(A226&amp;""),A226))*(ROW(SCD_Data!$A$3:$A$502)-2))),"—"))</f>
        <v/>
      </c>
      <c r="J226" s="26" t="str">
        <f aca="false">IF(A226="","",IFERROR(INDEX(SCD_Data!$E$3:$E$502,SUMPRODUCT((SCD_Data!$A$3:$A$502=B226)*(IFERROR(DATEVALUE(SCD_Data!$H$3:$H$502&amp;""),SCD_Data!$H$3:$H$502)&lt;=IFERROR(DATEVALUE(A226&amp;""),A226))*(IFERROR(DATEVALUE(SCD_Data!$I$3:$I$502&amp;""),SCD_Data!$I$3:$I$502)&gt;=IFERROR(DATEVALUE(A226&amp;""),A226))*(ROW(SCD_Data!$A$3:$A$502)-2))),"—"))</f>
        <v/>
      </c>
      <c r="K226" s="25" t="str">
        <f aca="false">IF(A226="","",IFERROR(INDEX(SCD_Data!$F$3:$F$502,SUMPRODUCT((SCD_Data!$A$3:$A$502=B226)*(IFERROR(DATEVALUE(SCD_Data!$H$3:$H$502&amp;""),SCD_Data!$H$3:$H$502)&lt;=IFERROR(DATEVALUE(A226&amp;""),A226))*(IFERROR(DATEVALUE(SCD_Data!$I$3:$I$502&amp;""),SCD_Data!$I$3:$I$502)&gt;=IFERROR(DATEVALUE(A226&amp;""),A226))*(ROW(SCD_Data!$A$3:$A$502)-2))),"—"))</f>
        <v/>
      </c>
      <c r="L226" s="25" t="str">
        <f aca="false">IF(A226="","",IFERROR(INDEX(SCD_Data!$G$3:$G$502,SUMPRODUCT((SCD_Data!$A$3:$A$502=B226)*(IFERROR(DATEVALUE(SCD_Data!$H$3:$H$502&amp;""),SCD_Data!$H$3:$H$502)&lt;=IFERROR(DATEVALUE(A226&amp;""),A226))*(IFERROR(DATEVALUE(SCD_Data!$I$3:$I$502&amp;""),SCD_Data!$I$3:$I$502)&gt;=IFERROR(DATEVALUE(A226&amp;""),A226))*(ROW(SCD_Data!$A$3:$A$502)-2))),"—"))</f>
        <v/>
      </c>
      <c r="M226" s="27" t="str">
        <f aca="false">IF(A226="","",IF(H226="—","—",IF(C226&amp;""=H226&amp;"","✓","✗")))</f>
        <v/>
      </c>
      <c r="N226" s="27" t="str">
        <f aca="false">IF(A226="","",IF(H226="—","—",IF(D226&amp;""=I226&amp;"","✓","✗")))</f>
        <v/>
      </c>
      <c r="O226" s="27" t="str">
        <f aca="false">IF(A226="","",IF(H226="—","—",IF(ABS(E226-J226)&lt;0.01,"✓","✗")))</f>
        <v/>
      </c>
      <c r="P226" s="27" t="str">
        <f aca="false">IF(A226="","",IF(H226="—","—",IF(F226&amp;""=K226&amp;"","✓","✗")))</f>
        <v/>
      </c>
      <c r="Q226" s="27" t="str">
        <f aca="false">IF(A226="","",IF(H226="—","—",IF(G226&amp;""=L226&amp;"","✓","✗")))</f>
        <v/>
      </c>
      <c r="R226" s="27" t="str">
        <f aca="false">IF(A226="","",IF(COUNTIF(M226:Q226,"—")=5,"⚠ NO SCD ROW",IF(COUNTIF(M226:Q226,"✗")&gt;0,"❌ MISMATCH","✅ MATCH")))</f>
        <v/>
      </c>
    </row>
    <row r="227" customFormat="false" ht="15" hidden="false" customHeight="true" outlineLevel="0" collapsed="false">
      <c r="A227" s="22" t="str">
        <f aca="false">IF(Daily_Data!A226="","",Daily_Data!A226)</f>
        <v/>
      </c>
      <c r="B227" s="23" t="str">
        <f aca="false">IF(Daily_Data!B226="","",Daily_Data!B226)</f>
        <v/>
      </c>
      <c r="C227" s="23" t="str">
        <f aca="false">IF(A227="","",Daily_Data!C226)</f>
        <v/>
      </c>
      <c r="D227" s="23" t="str">
        <f aca="false">IF(A227="","",Daily_Data!D226)</f>
        <v/>
      </c>
      <c r="E227" s="24" t="str">
        <f aca="false">IF(A227="","",Daily_Data!E226)</f>
        <v/>
      </c>
      <c r="F227" s="23" t="str">
        <f aca="false">IF(A227="","",Daily_Data!F226)</f>
        <v/>
      </c>
      <c r="G227" s="23" t="str">
        <f aca="false">IF(A227="","",Daily_Data!G226)</f>
        <v/>
      </c>
      <c r="H227" s="25" t="str">
        <f aca="false">IF(A227="","",IFERROR(INDEX(SCD_Data!$C$3:$C$502,SUMPRODUCT((SCD_Data!$A$3:$A$502=B227)*(IFERROR(DATEVALUE(SCD_Data!$H$3:$H$502&amp;""),SCD_Data!$H$3:$H$502)&lt;=IFERROR(DATEVALUE(A227&amp;""),A227))*(IFERROR(DATEVALUE(SCD_Data!$I$3:$I$502&amp;""),SCD_Data!$I$3:$I$502)&gt;=IFERROR(DATEVALUE(A227&amp;""),A227))*(ROW(SCD_Data!$A$3:$A$502)-2))),"—"))</f>
        <v/>
      </c>
      <c r="I227" s="25" t="str">
        <f aca="false">IF(A227="","",IFERROR(INDEX(SCD_Data!$D$3:$D$502,SUMPRODUCT((SCD_Data!$A$3:$A$502=B227)*(IFERROR(DATEVALUE(SCD_Data!$H$3:$H$502&amp;""),SCD_Data!$H$3:$H$502)&lt;=IFERROR(DATEVALUE(A227&amp;""),A227))*(IFERROR(DATEVALUE(SCD_Data!$I$3:$I$502&amp;""),SCD_Data!$I$3:$I$502)&gt;=IFERROR(DATEVALUE(A227&amp;""),A227))*(ROW(SCD_Data!$A$3:$A$502)-2))),"—"))</f>
        <v/>
      </c>
      <c r="J227" s="26" t="str">
        <f aca="false">IF(A227="","",IFERROR(INDEX(SCD_Data!$E$3:$E$502,SUMPRODUCT((SCD_Data!$A$3:$A$502=B227)*(IFERROR(DATEVALUE(SCD_Data!$H$3:$H$502&amp;""),SCD_Data!$H$3:$H$502)&lt;=IFERROR(DATEVALUE(A227&amp;""),A227))*(IFERROR(DATEVALUE(SCD_Data!$I$3:$I$502&amp;""),SCD_Data!$I$3:$I$502)&gt;=IFERROR(DATEVALUE(A227&amp;""),A227))*(ROW(SCD_Data!$A$3:$A$502)-2))),"—"))</f>
        <v/>
      </c>
      <c r="K227" s="25" t="str">
        <f aca="false">IF(A227="","",IFERROR(INDEX(SCD_Data!$F$3:$F$502,SUMPRODUCT((SCD_Data!$A$3:$A$502=B227)*(IFERROR(DATEVALUE(SCD_Data!$H$3:$H$502&amp;""),SCD_Data!$H$3:$H$502)&lt;=IFERROR(DATEVALUE(A227&amp;""),A227))*(IFERROR(DATEVALUE(SCD_Data!$I$3:$I$502&amp;""),SCD_Data!$I$3:$I$502)&gt;=IFERROR(DATEVALUE(A227&amp;""),A227))*(ROW(SCD_Data!$A$3:$A$502)-2))),"—"))</f>
        <v/>
      </c>
      <c r="L227" s="25" t="str">
        <f aca="false">IF(A227="","",IFERROR(INDEX(SCD_Data!$G$3:$G$502,SUMPRODUCT((SCD_Data!$A$3:$A$502=B227)*(IFERROR(DATEVALUE(SCD_Data!$H$3:$H$502&amp;""),SCD_Data!$H$3:$H$502)&lt;=IFERROR(DATEVALUE(A227&amp;""),A227))*(IFERROR(DATEVALUE(SCD_Data!$I$3:$I$502&amp;""),SCD_Data!$I$3:$I$502)&gt;=IFERROR(DATEVALUE(A227&amp;""),A227))*(ROW(SCD_Data!$A$3:$A$502)-2))),"—"))</f>
        <v/>
      </c>
      <c r="M227" s="27" t="str">
        <f aca="false">IF(A227="","",IF(H227="—","—",IF(C227&amp;""=H227&amp;"","✓","✗")))</f>
        <v/>
      </c>
      <c r="N227" s="27" t="str">
        <f aca="false">IF(A227="","",IF(H227="—","—",IF(D227&amp;""=I227&amp;"","✓","✗")))</f>
        <v/>
      </c>
      <c r="O227" s="27" t="str">
        <f aca="false">IF(A227="","",IF(H227="—","—",IF(ABS(E227-J227)&lt;0.01,"✓","✗")))</f>
        <v/>
      </c>
      <c r="P227" s="27" t="str">
        <f aca="false">IF(A227="","",IF(H227="—","—",IF(F227&amp;""=K227&amp;"","✓","✗")))</f>
        <v/>
      </c>
      <c r="Q227" s="27" t="str">
        <f aca="false">IF(A227="","",IF(H227="—","—",IF(G227&amp;""=L227&amp;"","✓","✗")))</f>
        <v/>
      </c>
      <c r="R227" s="27" t="str">
        <f aca="false">IF(A227="","",IF(COUNTIF(M227:Q227,"—")=5,"⚠ NO SCD ROW",IF(COUNTIF(M227:Q227,"✗")&gt;0,"❌ MISMATCH","✅ MATCH")))</f>
        <v/>
      </c>
    </row>
    <row r="228" customFormat="false" ht="15" hidden="false" customHeight="true" outlineLevel="0" collapsed="false">
      <c r="A228" s="22" t="str">
        <f aca="false">IF(Daily_Data!A227="","",Daily_Data!A227)</f>
        <v/>
      </c>
      <c r="B228" s="23" t="str">
        <f aca="false">IF(Daily_Data!B227="","",Daily_Data!B227)</f>
        <v/>
      </c>
      <c r="C228" s="23" t="str">
        <f aca="false">IF(A228="","",Daily_Data!C227)</f>
        <v/>
      </c>
      <c r="D228" s="23" t="str">
        <f aca="false">IF(A228="","",Daily_Data!D227)</f>
        <v/>
      </c>
      <c r="E228" s="24" t="str">
        <f aca="false">IF(A228="","",Daily_Data!E227)</f>
        <v/>
      </c>
      <c r="F228" s="23" t="str">
        <f aca="false">IF(A228="","",Daily_Data!F227)</f>
        <v/>
      </c>
      <c r="G228" s="23" t="str">
        <f aca="false">IF(A228="","",Daily_Data!G227)</f>
        <v/>
      </c>
      <c r="H228" s="25" t="str">
        <f aca="false">IF(A228="","",IFERROR(INDEX(SCD_Data!$C$3:$C$502,SUMPRODUCT((SCD_Data!$A$3:$A$502=B228)*(IFERROR(DATEVALUE(SCD_Data!$H$3:$H$502&amp;""),SCD_Data!$H$3:$H$502)&lt;=IFERROR(DATEVALUE(A228&amp;""),A228))*(IFERROR(DATEVALUE(SCD_Data!$I$3:$I$502&amp;""),SCD_Data!$I$3:$I$502)&gt;=IFERROR(DATEVALUE(A228&amp;""),A228))*(ROW(SCD_Data!$A$3:$A$502)-2))),"—"))</f>
        <v/>
      </c>
      <c r="I228" s="25" t="str">
        <f aca="false">IF(A228="","",IFERROR(INDEX(SCD_Data!$D$3:$D$502,SUMPRODUCT((SCD_Data!$A$3:$A$502=B228)*(IFERROR(DATEVALUE(SCD_Data!$H$3:$H$502&amp;""),SCD_Data!$H$3:$H$502)&lt;=IFERROR(DATEVALUE(A228&amp;""),A228))*(IFERROR(DATEVALUE(SCD_Data!$I$3:$I$502&amp;""),SCD_Data!$I$3:$I$502)&gt;=IFERROR(DATEVALUE(A228&amp;""),A228))*(ROW(SCD_Data!$A$3:$A$502)-2))),"—"))</f>
        <v/>
      </c>
      <c r="J228" s="26" t="str">
        <f aca="false">IF(A228="","",IFERROR(INDEX(SCD_Data!$E$3:$E$502,SUMPRODUCT((SCD_Data!$A$3:$A$502=B228)*(IFERROR(DATEVALUE(SCD_Data!$H$3:$H$502&amp;""),SCD_Data!$H$3:$H$502)&lt;=IFERROR(DATEVALUE(A228&amp;""),A228))*(IFERROR(DATEVALUE(SCD_Data!$I$3:$I$502&amp;""),SCD_Data!$I$3:$I$502)&gt;=IFERROR(DATEVALUE(A228&amp;""),A228))*(ROW(SCD_Data!$A$3:$A$502)-2))),"—"))</f>
        <v/>
      </c>
      <c r="K228" s="25" t="str">
        <f aca="false">IF(A228="","",IFERROR(INDEX(SCD_Data!$F$3:$F$502,SUMPRODUCT((SCD_Data!$A$3:$A$502=B228)*(IFERROR(DATEVALUE(SCD_Data!$H$3:$H$502&amp;""),SCD_Data!$H$3:$H$502)&lt;=IFERROR(DATEVALUE(A228&amp;""),A228))*(IFERROR(DATEVALUE(SCD_Data!$I$3:$I$502&amp;""),SCD_Data!$I$3:$I$502)&gt;=IFERROR(DATEVALUE(A228&amp;""),A228))*(ROW(SCD_Data!$A$3:$A$502)-2))),"—"))</f>
        <v/>
      </c>
      <c r="L228" s="25" t="str">
        <f aca="false">IF(A228="","",IFERROR(INDEX(SCD_Data!$G$3:$G$502,SUMPRODUCT((SCD_Data!$A$3:$A$502=B228)*(IFERROR(DATEVALUE(SCD_Data!$H$3:$H$502&amp;""),SCD_Data!$H$3:$H$502)&lt;=IFERROR(DATEVALUE(A228&amp;""),A228))*(IFERROR(DATEVALUE(SCD_Data!$I$3:$I$502&amp;""),SCD_Data!$I$3:$I$502)&gt;=IFERROR(DATEVALUE(A228&amp;""),A228))*(ROW(SCD_Data!$A$3:$A$502)-2))),"—"))</f>
        <v/>
      </c>
      <c r="M228" s="27" t="str">
        <f aca="false">IF(A228="","",IF(H228="—","—",IF(C228&amp;""=H228&amp;"","✓","✗")))</f>
        <v/>
      </c>
      <c r="N228" s="27" t="str">
        <f aca="false">IF(A228="","",IF(H228="—","—",IF(D228&amp;""=I228&amp;"","✓","✗")))</f>
        <v/>
      </c>
      <c r="O228" s="27" t="str">
        <f aca="false">IF(A228="","",IF(H228="—","—",IF(ABS(E228-J228)&lt;0.01,"✓","✗")))</f>
        <v/>
      </c>
      <c r="P228" s="27" t="str">
        <f aca="false">IF(A228="","",IF(H228="—","—",IF(F228&amp;""=K228&amp;"","✓","✗")))</f>
        <v/>
      </c>
      <c r="Q228" s="27" t="str">
        <f aca="false">IF(A228="","",IF(H228="—","—",IF(G228&amp;""=L228&amp;"","✓","✗")))</f>
        <v/>
      </c>
      <c r="R228" s="27" t="str">
        <f aca="false">IF(A228="","",IF(COUNTIF(M228:Q228,"—")=5,"⚠ NO SCD ROW",IF(COUNTIF(M228:Q228,"✗")&gt;0,"❌ MISMATCH","✅ MATCH")))</f>
        <v/>
      </c>
    </row>
    <row r="229" customFormat="false" ht="15" hidden="false" customHeight="true" outlineLevel="0" collapsed="false">
      <c r="A229" s="22" t="str">
        <f aca="false">IF(Daily_Data!A228="","",Daily_Data!A228)</f>
        <v/>
      </c>
      <c r="B229" s="23" t="str">
        <f aca="false">IF(Daily_Data!B228="","",Daily_Data!B228)</f>
        <v/>
      </c>
      <c r="C229" s="23" t="str">
        <f aca="false">IF(A229="","",Daily_Data!C228)</f>
        <v/>
      </c>
      <c r="D229" s="23" t="str">
        <f aca="false">IF(A229="","",Daily_Data!D228)</f>
        <v/>
      </c>
      <c r="E229" s="24" t="str">
        <f aca="false">IF(A229="","",Daily_Data!E228)</f>
        <v/>
      </c>
      <c r="F229" s="23" t="str">
        <f aca="false">IF(A229="","",Daily_Data!F228)</f>
        <v/>
      </c>
      <c r="G229" s="23" t="str">
        <f aca="false">IF(A229="","",Daily_Data!G228)</f>
        <v/>
      </c>
      <c r="H229" s="25" t="str">
        <f aca="false">IF(A229="","",IFERROR(INDEX(SCD_Data!$C$3:$C$502,SUMPRODUCT((SCD_Data!$A$3:$A$502=B229)*(IFERROR(DATEVALUE(SCD_Data!$H$3:$H$502&amp;""),SCD_Data!$H$3:$H$502)&lt;=IFERROR(DATEVALUE(A229&amp;""),A229))*(IFERROR(DATEVALUE(SCD_Data!$I$3:$I$502&amp;""),SCD_Data!$I$3:$I$502)&gt;=IFERROR(DATEVALUE(A229&amp;""),A229))*(ROW(SCD_Data!$A$3:$A$502)-2))),"—"))</f>
        <v/>
      </c>
      <c r="I229" s="25" t="str">
        <f aca="false">IF(A229="","",IFERROR(INDEX(SCD_Data!$D$3:$D$502,SUMPRODUCT((SCD_Data!$A$3:$A$502=B229)*(IFERROR(DATEVALUE(SCD_Data!$H$3:$H$502&amp;""),SCD_Data!$H$3:$H$502)&lt;=IFERROR(DATEVALUE(A229&amp;""),A229))*(IFERROR(DATEVALUE(SCD_Data!$I$3:$I$502&amp;""),SCD_Data!$I$3:$I$502)&gt;=IFERROR(DATEVALUE(A229&amp;""),A229))*(ROW(SCD_Data!$A$3:$A$502)-2))),"—"))</f>
        <v/>
      </c>
      <c r="J229" s="26" t="str">
        <f aca="false">IF(A229="","",IFERROR(INDEX(SCD_Data!$E$3:$E$502,SUMPRODUCT((SCD_Data!$A$3:$A$502=B229)*(IFERROR(DATEVALUE(SCD_Data!$H$3:$H$502&amp;""),SCD_Data!$H$3:$H$502)&lt;=IFERROR(DATEVALUE(A229&amp;""),A229))*(IFERROR(DATEVALUE(SCD_Data!$I$3:$I$502&amp;""),SCD_Data!$I$3:$I$502)&gt;=IFERROR(DATEVALUE(A229&amp;""),A229))*(ROW(SCD_Data!$A$3:$A$502)-2))),"—"))</f>
        <v/>
      </c>
      <c r="K229" s="25" t="str">
        <f aca="false">IF(A229="","",IFERROR(INDEX(SCD_Data!$F$3:$F$502,SUMPRODUCT((SCD_Data!$A$3:$A$502=B229)*(IFERROR(DATEVALUE(SCD_Data!$H$3:$H$502&amp;""),SCD_Data!$H$3:$H$502)&lt;=IFERROR(DATEVALUE(A229&amp;""),A229))*(IFERROR(DATEVALUE(SCD_Data!$I$3:$I$502&amp;""),SCD_Data!$I$3:$I$502)&gt;=IFERROR(DATEVALUE(A229&amp;""),A229))*(ROW(SCD_Data!$A$3:$A$502)-2))),"—"))</f>
        <v/>
      </c>
      <c r="L229" s="25" t="str">
        <f aca="false">IF(A229="","",IFERROR(INDEX(SCD_Data!$G$3:$G$502,SUMPRODUCT((SCD_Data!$A$3:$A$502=B229)*(IFERROR(DATEVALUE(SCD_Data!$H$3:$H$502&amp;""),SCD_Data!$H$3:$H$502)&lt;=IFERROR(DATEVALUE(A229&amp;""),A229))*(IFERROR(DATEVALUE(SCD_Data!$I$3:$I$502&amp;""),SCD_Data!$I$3:$I$502)&gt;=IFERROR(DATEVALUE(A229&amp;""),A229))*(ROW(SCD_Data!$A$3:$A$502)-2))),"—"))</f>
        <v/>
      </c>
      <c r="M229" s="27" t="str">
        <f aca="false">IF(A229="","",IF(H229="—","—",IF(C229&amp;""=H229&amp;"","✓","✗")))</f>
        <v/>
      </c>
      <c r="N229" s="27" t="str">
        <f aca="false">IF(A229="","",IF(H229="—","—",IF(D229&amp;""=I229&amp;"","✓","✗")))</f>
        <v/>
      </c>
      <c r="O229" s="27" t="str">
        <f aca="false">IF(A229="","",IF(H229="—","—",IF(ABS(E229-J229)&lt;0.01,"✓","✗")))</f>
        <v/>
      </c>
      <c r="P229" s="27" t="str">
        <f aca="false">IF(A229="","",IF(H229="—","—",IF(F229&amp;""=K229&amp;"","✓","✗")))</f>
        <v/>
      </c>
      <c r="Q229" s="27" t="str">
        <f aca="false">IF(A229="","",IF(H229="—","—",IF(G229&amp;""=L229&amp;"","✓","✗")))</f>
        <v/>
      </c>
      <c r="R229" s="27" t="str">
        <f aca="false">IF(A229="","",IF(COUNTIF(M229:Q229,"—")=5,"⚠ NO SCD ROW",IF(COUNTIF(M229:Q229,"✗")&gt;0,"❌ MISMATCH","✅ MATCH")))</f>
        <v/>
      </c>
    </row>
    <row r="230" customFormat="false" ht="15" hidden="false" customHeight="true" outlineLevel="0" collapsed="false">
      <c r="A230" s="22" t="str">
        <f aca="false">IF(Daily_Data!A229="","",Daily_Data!A229)</f>
        <v/>
      </c>
      <c r="B230" s="23" t="str">
        <f aca="false">IF(Daily_Data!B229="","",Daily_Data!B229)</f>
        <v/>
      </c>
      <c r="C230" s="23" t="str">
        <f aca="false">IF(A230="","",Daily_Data!C229)</f>
        <v/>
      </c>
      <c r="D230" s="23" t="str">
        <f aca="false">IF(A230="","",Daily_Data!D229)</f>
        <v/>
      </c>
      <c r="E230" s="24" t="str">
        <f aca="false">IF(A230="","",Daily_Data!E229)</f>
        <v/>
      </c>
      <c r="F230" s="23" t="str">
        <f aca="false">IF(A230="","",Daily_Data!F229)</f>
        <v/>
      </c>
      <c r="G230" s="23" t="str">
        <f aca="false">IF(A230="","",Daily_Data!G229)</f>
        <v/>
      </c>
      <c r="H230" s="25" t="str">
        <f aca="false">IF(A230="","",IFERROR(INDEX(SCD_Data!$C$3:$C$502,SUMPRODUCT((SCD_Data!$A$3:$A$502=B230)*(IFERROR(DATEVALUE(SCD_Data!$H$3:$H$502&amp;""),SCD_Data!$H$3:$H$502)&lt;=IFERROR(DATEVALUE(A230&amp;""),A230))*(IFERROR(DATEVALUE(SCD_Data!$I$3:$I$502&amp;""),SCD_Data!$I$3:$I$502)&gt;=IFERROR(DATEVALUE(A230&amp;""),A230))*(ROW(SCD_Data!$A$3:$A$502)-2))),"—"))</f>
        <v/>
      </c>
      <c r="I230" s="25" t="str">
        <f aca="false">IF(A230="","",IFERROR(INDEX(SCD_Data!$D$3:$D$502,SUMPRODUCT((SCD_Data!$A$3:$A$502=B230)*(IFERROR(DATEVALUE(SCD_Data!$H$3:$H$502&amp;""),SCD_Data!$H$3:$H$502)&lt;=IFERROR(DATEVALUE(A230&amp;""),A230))*(IFERROR(DATEVALUE(SCD_Data!$I$3:$I$502&amp;""),SCD_Data!$I$3:$I$502)&gt;=IFERROR(DATEVALUE(A230&amp;""),A230))*(ROW(SCD_Data!$A$3:$A$502)-2))),"—"))</f>
        <v/>
      </c>
      <c r="J230" s="26" t="str">
        <f aca="false">IF(A230="","",IFERROR(INDEX(SCD_Data!$E$3:$E$502,SUMPRODUCT((SCD_Data!$A$3:$A$502=B230)*(IFERROR(DATEVALUE(SCD_Data!$H$3:$H$502&amp;""),SCD_Data!$H$3:$H$502)&lt;=IFERROR(DATEVALUE(A230&amp;""),A230))*(IFERROR(DATEVALUE(SCD_Data!$I$3:$I$502&amp;""),SCD_Data!$I$3:$I$502)&gt;=IFERROR(DATEVALUE(A230&amp;""),A230))*(ROW(SCD_Data!$A$3:$A$502)-2))),"—"))</f>
        <v/>
      </c>
      <c r="K230" s="25" t="str">
        <f aca="false">IF(A230="","",IFERROR(INDEX(SCD_Data!$F$3:$F$502,SUMPRODUCT((SCD_Data!$A$3:$A$502=B230)*(IFERROR(DATEVALUE(SCD_Data!$H$3:$H$502&amp;""),SCD_Data!$H$3:$H$502)&lt;=IFERROR(DATEVALUE(A230&amp;""),A230))*(IFERROR(DATEVALUE(SCD_Data!$I$3:$I$502&amp;""),SCD_Data!$I$3:$I$502)&gt;=IFERROR(DATEVALUE(A230&amp;""),A230))*(ROW(SCD_Data!$A$3:$A$502)-2))),"—"))</f>
        <v/>
      </c>
      <c r="L230" s="25" t="str">
        <f aca="false">IF(A230="","",IFERROR(INDEX(SCD_Data!$G$3:$G$502,SUMPRODUCT((SCD_Data!$A$3:$A$502=B230)*(IFERROR(DATEVALUE(SCD_Data!$H$3:$H$502&amp;""),SCD_Data!$H$3:$H$502)&lt;=IFERROR(DATEVALUE(A230&amp;""),A230))*(IFERROR(DATEVALUE(SCD_Data!$I$3:$I$502&amp;""),SCD_Data!$I$3:$I$502)&gt;=IFERROR(DATEVALUE(A230&amp;""),A230))*(ROW(SCD_Data!$A$3:$A$502)-2))),"—"))</f>
        <v/>
      </c>
      <c r="M230" s="27" t="str">
        <f aca="false">IF(A230="","",IF(H230="—","—",IF(C230&amp;""=H230&amp;"","✓","✗")))</f>
        <v/>
      </c>
      <c r="N230" s="27" t="str">
        <f aca="false">IF(A230="","",IF(H230="—","—",IF(D230&amp;""=I230&amp;"","✓","✗")))</f>
        <v/>
      </c>
      <c r="O230" s="27" t="str">
        <f aca="false">IF(A230="","",IF(H230="—","—",IF(ABS(E230-J230)&lt;0.01,"✓","✗")))</f>
        <v/>
      </c>
      <c r="P230" s="27" t="str">
        <f aca="false">IF(A230="","",IF(H230="—","—",IF(F230&amp;""=K230&amp;"","✓","✗")))</f>
        <v/>
      </c>
      <c r="Q230" s="27" t="str">
        <f aca="false">IF(A230="","",IF(H230="—","—",IF(G230&amp;""=L230&amp;"","✓","✗")))</f>
        <v/>
      </c>
      <c r="R230" s="27" t="str">
        <f aca="false">IF(A230="","",IF(COUNTIF(M230:Q230,"—")=5,"⚠ NO SCD ROW",IF(COUNTIF(M230:Q230,"✗")&gt;0,"❌ MISMATCH","✅ MATCH")))</f>
        <v/>
      </c>
    </row>
    <row r="231" customFormat="false" ht="15" hidden="false" customHeight="true" outlineLevel="0" collapsed="false">
      <c r="A231" s="22" t="str">
        <f aca="false">IF(Daily_Data!A230="","",Daily_Data!A230)</f>
        <v/>
      </c>
      <c r="B231" s="23" t="str">
        <f aca="false">IF(Daily_Data!B230="","",Daily_Data!B230)</f>
        <v/>
      </c>
      <c r="C231" s="23" t="str">
        <f aca="false">IF(A231="","",Daily_Data!C230)</f>
        <v/>
      </c>
      <c r="D231" s="23" t="str">
        <f aca="false">IF(A231="","",Daily_Data!D230)</f>
        <v/>
      </c>
      <c r="E231" s="24" t="str">
        <f aca="false">IF(A231="","",Daily_Data!E230)</f>
        <v/>
      </c>
      <c r="F231" s="23" t="str">
        <f aca="false">IF(A231="","",Daily_Data!F230)</f>
        <v/>
      </c>
      <c r="G231" s="23" t="str">
        <f aca="false">IF(A231="","",Daily_Data!G230)</f>
        <v/>
      </c>
      <c r="H231" s="25" t="str">
        <f aca="false">IF(A231="","",IFERROR(INDEX(SCD_Data!$C$3:$C$502,SUMPRODUCT((SCD_Data!$A$3:$A$502=B231)*(IFERROR(DATEVALUE(SCD_Data!$H$3:$H$502&amp;""),SCD_Data!$H$3:$H$502)&lt;=IFERROR(DATEVALUE(A231&amp;""),A231))*(IFERROR(DATEVALUE(SCD_Data!$I$3:$I$502&amp;""),SCD_Data!$I$3:$I$502)&gt;=IFERROR(DATEVALUE(A231&amp;""),A231))*(ROW(SCD_Data!$A$3:$A$502)-2))),"—"))</f>
        <v/>
      </c>
      <c r="I231" s="25" t="str">
        <f aca="false">IF(A231="","",IFERROR(INDEX(SCD_Data!$D$3:$D$502,SUMPRODUCT((SCD_Data!$A$3:$A$502=B231)*(IFERROR(DATEVALUE(SCD_Data!$H$3:$H$502&amp;""),SCD_Data!$H$3:$H$502)&lt;=IFERROR(DATEVALUE(A231&amp;""),A231))*(IFERROR(DATEVALUE(SCD_Data!$I$3:$I$502&amp;""),SCD_Data!$I$3:$I$502)&gt;=IFERROR(DATEVALUE(A231&amp;""),A231))*(ROW(SCD_Data!$A$3:$A$502)-2))),"—"))</f>
        <v/>
      </c>
      <c r="J231" s="26" t="str">
        <f aca="false">IF(A231="","",IFERROR(INDEX(SCD_Data!$E$3:$E$502,SUMPRODUCT((SCD_Data!$A$3:$A$502=B231)*(IFERROR(DATEVALUE(SCD_Data!$H$3:$H$502&amp;""),SCD_Data!$H$3:$H$502)&lt;=IFERROR(DATEVALUE(A231&amp;""),A231))*(IFERROR(DATEVALUE(SCD_Data!$I$3:$I$502&amp;""),SCD_Data!$I$3:$I$502)&gt;=IFERROR(DATEVALUE(A231&amp;""),A231))*(ROW(SCD_Data!$A$3:$A$502)-2))),"—"))</f>
        <v/>
      </c>
      <c r="K231" s="25" t="str">
        <f aca="false">IF(A231="","",IFERROR(INDEX(SCD_Data!$F$3:$F$502,SUMPRODUCT((SCD_Data!$A$3:$A$502=B231)*(IFERROR(DATEVALUE(SCD_Data!$H$3:$H$502&amp;""),SCD_Data!$H$3:$H$502)&lt;=IFERROR(DATEVALUE(A231&amp;""),A231))*(IFERROR(DATEVALUE(SCD_Data!$I$3:$I$502&amp;""),SCD_Data!$I$3:$I$502)&gt;=IFERROR(DATEVALUE(A231&amp;""),A231))*(ROW(SCD_Data!$A$3:$A$502)-2))),"—"))</f>
        <v/>
      </c>
      <c r="L231" s="25" t="str">
        <f aca="false">IF(A231="","",IFERROR(INDEX(SCD_Data!$G$3:$G$502,SUMPRODUCT((SCD_Data!$A$3:$A$502=B231)*(IFERROR(DATEVALUE(SCD_Data!$H$3:$H$502&amp;""),SCD_Data!$H$3:$H$502)&lt;=IFERROR(DATEVALUE(A231&amp;""),A231))*(IFERROR(DATEVALUE(SCD_Data!$I$3:$I$502&amp;""),SCD_Data!$I$3:$I$502)&gt;=IFERROR(DATEVALUE(A231&amp;""),A231))*(ROW(SCD_Data!$A$3:$A$502)-2))),"—"))</f>
        <v/>
      </c>
      <c r="M231" s="27" t="str">
        <f aca="false">IF(A231="","",IF(H231="—","—",IF(C231&amp;""=H231&amp;"","✓","✗")))</f>
        <v/>
      </c>
      <c r="N231" s="27" t="str">
        <f aca="false">IF(A231="","",IF(H231="—","—",IF(D231&amp;""=I231&amp;"","✓","✗")))</f>
        <v/>
      </c>
      <c r="O231" s="27" t="str">
        <f aca="false">IF(A231="","",IF(H231="—","—",IF(ABS(E231-J231)&lt;0.01,"✓","✗")))</f>
        <v/>
      </c>
      <c r="P231" s="27" t="str">
        <f aca="false">IF(A231="","",IF(H231="—","—",IF(F231&amp;""=K231&amp;"","✓","✗")))</f>
        <v/>
      </c>
      <c r="Q231" s="27" t="str">
        <f aca="false">IF(A231="","",IF(H231="—","—",IF(G231&amp;""=L231&amp;"","✓","✗")))</f>
        <v/>
      </c>
      <c r="R231" s="27" t="str">
        <f aca="false">IF(A231="","",IF(COUNTIF(M231:Q231,"—")=5,"⚠ NO SCD ROW",IF(COUNTIF(M231:Q231,"✗")&gt;0,"❌ MISMATCH","✅ MATCH")))</f>
        <v/>
      </c>
    </row>
    <row r="232" customFormat="false" ht="15" hidden="false" customHeight="true" outlineLevel="0" collapsed="false">
      <c r="A232" s="22" t="str">
        <f aca="false">IF(Daily_Data!A231="","",Daily_Data!A231)</f>
        <v/>
      </c>
      <c r="B232" s="23" t="str">
        <f aca="false">IF(Daily_Data!B231="","",Daily_Data!B231)</f>
        <v/>
      </c>
      <c r="C232" s="23" t="str">
        <f aca="false">IF(A232="","",Daily_Data!C231)</f>
        <v/>
      </c>
      <c r="D232" s="23" t="str">
        <f aca="false">IF(A232="","",Daily_Data!D231)</f>
        <v/>
      </c>
      <c r="E232" s="24" t="str">
        <f aca="false">IF(A232="","",Daily_Data!E231)</f>
        <v/>
      </c>
      <c r="F232" s="23" t="str">
        <f aca="false">IF(A232="","",Daily_Data!F231)</f>
        <v/>
      </c>
      <c r="G232" s="23" t="str">
        <f aca="false">IF(A232="","",Daily_Data!G231)</f>
        <v/>
      </c>
      <c r="H232" s="25" t="str">
        <f aca="false">IF(A232="","",IFERROR(INDEX(SCD_Data!$C$3:$C$502,SUMPRODUCT((SCD_Data!$A$3:$A$502=B232)*(IFERROR(DATEVALUE(SCD_Data!$H$3:$H$502&amp;""),SCD_Data!$H$3:$H$502)&lt;=IFERROR(DATEVALUE(A232&amp;""),A232))*(IFERROR(DATEVALUE(SCD_Data!$I$3:$I$502&amp;""),SCD_Data!$I$3:$I$502)&gt;=IFERROR(DATEVALUE(A232&amp;""),A232))*(ROW(SCD_Data!$A$3:$A$502)-2))),"—"))</f>
        <v/>
      </c>
      <c r="I232" s="25" t="str">
        <f aca="false">IF(A232="","",IFERROR(INDEX(SCD_Data!$D$3:$D$502,SUMPRODUCT((SCD_Data!$A$3:$A$502=B232)*(IFERROR(DATEVALUE(SCD_Data!$H$3:$H$502&amp;""),SCD_Data!$H$3:$H$502)&lt;=IFERROR(DATEVALUE(A232&amp;""),A232))*(IFERROR(DATEVALUE(SCD_Data!$I$3:$I$502&amp;""),SCD_Data!$I$3:$I$502)&gt;=IFERROR(DATEVALUE(A232&amp;""),A232))*(ROW(SCD_Data!$A$3:$A$502)-2))),"—"))</f>
        <v/>
      </c>
      <c r="J232" s="26" t="str">
        <f aca="false">IF(A232="","",IFERROR(INDEX(SCD_Data!$E$3:$E$502,SUMPRODUCT((SCD_Data!$A$3:$A$502=B232)*(IFERROR(DATEVALUE(SCD_Data!$H$3:$H$502&amp;""),SCD_Data!$H$3:$H$502)&lt;=IFERROR(DATEVALUE(A232&amp;""),A232))*(IFERROR(DATEVALUE(SCD_Data!$I$3:$I$502&amp;""),SCD_Data!$I$3:$I$502)&gt;=IFERROR(DATEVALUE(A232&amp;""),A232))*(ROW(SCD_Data!$A$3:$A$502)-2))),"—"))</f>
        <v/>
      </c>
      <c r="K232" s="25" t="str">
        <f aca="false">IF(A232="","",IFERROR(INDEX(SCD_Data!$F$3:$F$502,SUMPRODUCT((SCD_Data!$A$3:$A$502=B232)*(IFERROR(DATEVALUE(SCD_Data!$H$3:$H$502&amp;""),SCD_Data!$H$3:$H$502)&lt;=IFERROR(DATEVALUE(A232&amp;""),A232))*(IFERROR(DATEVALUE(SCD_Data!$I$3:$I$502&amp;""),SCD_Data!$I$3:$I$502)&gt;=IFERROR(DATEVALUE(A232&amp;""),A232))*(ROW(SCD_Data!$A$3:$A$502)-2))),"—"))</f>
        <v/>
      </c>
      <c r="L232" s="25" t="str">
        <f aca="false">IF(A232="","",IFERROR(INDEX(SCD_Data!$G$3:$G$502,SUMPRODUCT((SCD_Data!$A$3:$A$502=B232)*(IFERROR(DATEVALUE(SCD_Data!$H$3:$H$502&amp;""),SCD_Data!$H$3:$H$502)&lt;=IFERROR(DATEVALUE(A232&amp;""),A232))*(IFERROR(DATEVALUE(SCD_Data!$I$3:$I$502&amp;""),SCD_Data!$I$3:$I$502)&gt;=IFERROR(DATEVALUE(A232&amp;""),A232))*(ROW(SCD_Data!$A$3:$A$502)-2))),"—"))</f>
        <v/>
      </c>
      <c r="M232" s="27" t="str">
        <f aca="false">IF(A232="","",IF(H232="—","—",IF(C232&amp;""=H232&amp;"","✓","✗")))</f>
        <v/>
      </c>
      <c r="N232" s="27" t="str">
        <f aca="false">IF(A232="","",IF(H232="—","—",IF(D232&amp;""=I232&amp;"","✓","✗")))</f>
        <v/>
      </c>
      <c r="O232" s="27" t="str">
        <f aca="false">IF(A232="","",IF(H232="—","—",IF(ABS(E232-J232)&lt;0.01,"✓","✗")))</f>
        <v/>
      </c>
      <c r="P232" s="27" t="str">
        <f aca="false">IF(A232="","",IF(H232="—","—",IF(F232&amp;""=K232&amp;"","✓","✗")))</f>
        <v/>
      </c>
      <c r="Q232" s="27" t="str">
        <f aca="false">IF(A232="","",IF(H232="—","—",IF(G232&amp;""=L232&amp;"","✓","✗")))</f>
        <v/>
      </c>
      <c r="R232" s="27" t="str">
        <f aca="false">IF(A232="","",IF(COUNTIF(M232:Q232,"—")=5,"⚠ NO SCD ROW",IF(COUNTIF(M232:Q232,"✗")&gt;0,"❌ MISMATCH","✅ MATCH")))</f>
        <v/>
      </c>
    </row>
    <row r="233" customFormat="false" ht="15" hidden="false" customHeight="true" outlineLevel="0" collapsed="false">
      <c r="A233" s="22" t="str">
        <f aca="false">IF(Daily_Data!A232="","",Daily_Data!A232)</f>
        <v/>
      </c>
      <c r="B233" s="23" t="str">
        <f aca="false">IF(Daily_Data!B232="","",Daily_Data!B232)</f>
        <v/>
      </c>
      <c r="C233" s="23" t="str">
        <f aca="false">IF(A233="","",Daily_Data!C232)</f>
        <v/>
      </c>
      <c r="D233" s="23" t="str">
        <f aca="false">IF(A233="","",Daily_Data!D232)</f>
        <v/>
      </c>
      <c r="E233" s="24" t="str">
        <f aca="false">IF(A233="","",Daily_Data!E232)</f>
        <v/>
      </c>
      <c r="F233" s="23" t="str">
        <f aca="false">IF(A233="","",Daily_Data!F232)</f>
        <v/>
      </c>
      <c r="G233" s="23" t="str">
        <f aca="false">IF(A233="","",Daily_Data!G232)</f>
        <v/>
      </c>
      <c r="H233" s="25" t="str">
        <f aca="false">IF(A233="","",IFERROR(INDEX(SCD_Data!$C$3:$C$502,SUMPRODUCT((SCD_Data!$A$3:$A$502=B233)*(IFERROR(DATEVALUE(SCD_Data!$H$3:$H$502&amp;""),SCD_Data!$H$3:$H$502)&lt;=IFERROR(DATEVALUE(A233&amp;""),A233))*(IFERROR(DATEVALUE(SCD_Data!$I$3:$I$502&amp;""),SCD_Data!$I$3:$I$502)&gt;=IFERROR(DATEVALUE(A233&amp;""),A233))*(ROW(SCD_Data!$A$3:$A$502)-2))),"—"))</f>
        <v/>
      </c>
      <c r="I233" s="25" t="str">
        <f aca="false">IF(A233="","",IFERROR(INDEX(SCD_Data!$D$3:$D$502,SUMPRODUCT((SCD_Data!$A$3:$A$502=B233)*(IFERROR(DATEVALUE(SCD_Data!$H$3:$H$502&amp;""),SCD_Data!$H$3:$H$502)&lt;=IFERROR(DATEVALUE(A233&amp;""),A233))*(IFERROR(DATEVALUE(SCD_Data!$I$3:$I$502&amp;""),SCD_Data!$I$3:$I$502)&gt;=IFERROR(DATEVALUE(A233&amp;""),A233))*(ROW(SCD_Data!$A$3:$A$502)-2))),"—"))</f>
        <v/>
      </c>
      <c r="J233" s="26" t="str">
        <f aca="false">IF(A233="","",IFERROR(INDEX(SCD_Data!$E$3:$E$502,SUMPRODUCT((SCD_Data!$A$3:$A$502=B233)*(IFERROR(DATEVALUE(SCD_Data!$H$3:$H$502&amp;""),SCD_Data!$H$3:$H$502)&lt;=IFERROR(DATEVALUE(A233&amp;""),A233))*(IFERROR(DATEVALUE(SCD_Data!$I$3:$I$502&amp;""),SCD_Data!$I$3:$I$502)&gt;=IFERROR(DATEVALUE(A233&amp;""),A233))*(ROW(SCD_Data!$A$3:$A$502)-2))),"—"))</f>
        <v/>
      </c>
      <c r="K233" s="25" t="str">
        <f aca="false">IF(A233="","",IFERROR(INDEX(SCD_Data!$F$3:$F$502,SUMPRODUCT((SCD_Data!$A$3:$A$502=B233)*(IFERROR(DATEVALUE(SCD_Data!$H$3:$H$502&amp;""),SCD_Data!$H$3:$H$502)&lt;=IFERROR(DATEVALUE(A233&amp;""),A233))*(IFERROR(DATEVALUE(SCD_Data!$I$3:$I$502&amp;""),SCD_Data!$I$3:$I$502)&gt;=IFERROR(DATEVALUE(A233&amp;""),A233))*(ROW(SCD_Data!$A$3:$A$502)-2))),"—"))</f>
        <v/>
      </c>
      <c r="L233" s="25" t="str">
        <f aca="false">IF(A233="","",IFERROR(INDEX(SCD_Data!$G$3:$G$502,SUMPRODUCT((SCD_Data!$A$3:$A$502=B233)*(IFERROR(DATEVALUE(SCD_Data!$H$3:$H$502&amp;""),SCD_Data!$H$3:$H$502)&lt;=IFERROR(DATEVALUE(A233&amp;""),A233))*(IFERROR(DATEVALUE(SCD_Data!$I$3:$I$502&amp;""),SCD_Data!$I$3:$I$502)&gt;=IFERROR(DATEVALUE(A233&amp;""),A233))*(ROW(SCD_Data!$A$3:$A$502)-2))),"—"))</f>
        <v/>
      </c>
      <c r="M233" s="27" t="str">
        <f aca="false">IF(A233="","",IF(H233="—","—",IF(C233&amp;""=H233&amp;"","✓","✗")))</f>
        <v/>
      </c>
      <c r="N233" s="27" t="str">
        <f aca="false">IF(A233="","",IF(H233="—","—",IF(D233&amp;""=I233&amp;"","✓","✗")))</f>
        <v/>
      </c>
      <c r="O233" s="27" t="str">
        <f aca="false">IF(A233="","",IF(H233="—","—",IF(ABS(E233-J233)&lt;0.01,"✓","✗")))</f>
        <v/>
      </c>
      <c r="P233" s="27" t="str">
        <f aca="false">IF(A233="","",IF(H233="—","—",IF(F233&amp;""=K233&amp;"","✓","✗")))</f>
        <v/>
      </c>
      <c r="Q233" s="27" t="str">
        <f aca="false">IF(A233="","",IF(H233="—","—",IF(G233&amp;""=L233&amp;"","✓","✗")))</f>
        <v/>
      </c>
      <c r="R233" s="27" t="str">
        <f aca="false">IF(A233="","",IF(COUNTIF(M233:Q233,"—")=5,"⚠ NO SCD ROW",IF(COUNTIF(M233:Q233,"✗")&gt;0,"❌ MISMATCH","✅ MATCH")))</f>
        <v/>
      </c>
    </row>
    <row r="234" customFormat="false" ht="15" hidden="false" customHeight="true" outlineLevel="0" collapsed="false">
      <c r="A234" s="22" t="str">
        <f aca="false">IF(Daily_Data!A233="","",Daily_Data!A233)</f>
        <v/>
      </c>
      <c r="B234" s="23" t="str">
        <f aca="false">IF(Daily_Data!B233="","",Daily_Data!B233)</f>
        <v/>
      </c>
      <c r="C234" s="23" t="str">
        <f aca="false">IF(A234="","",Daily_Data!C233)</f>
        <v/>
      </c>
      <c r="D234" s="23" t="str">
        <f aca="false">IF(A234="","",Daily_Data!D233)</f>
        <v/>
      </c>
      <c r="E234" s="24" t="str">
        <f aca="false">IF(A234="","",Daily_Data!E233)</f>
        <v/>
      </c>
      <c r="F234" s="23" t="str">
        <f aca="false">IF(A234="","",Daily_Data!F233)</f>
        <v/>
      </c>
      <c r="G234" s="23" t="str">
        <f aca="false">IF(A234="","",Daily_Data!G233)</f>
        <v/>
      </c>
      <c r="H234" s="25" t="str">
        <f aca="false">IF(A234="","",IFERROR(INDEX(SCD_Data!$C$3:$C$502,SUMPRODUCT((SCD_Data!$A$3:$A$502=B234)*(IFERROR(DATEVALUE(SCD_Data!$H$3:$H$502&amp;""),SCD_Data!$H$3:$H$502)&lt;=IFERROR(DATEVALUE(A234&amp;""),A234))*(IFERROR(DATEVALUE(SCD_Data!$I$3:$I$502&amp;""),SCD_Data!$I$3:$I$502)&gt;=IFERROR(DATEVALUE(A234&amp;""),A234))*(ROW(SCD_Data!$A$3:$A$502)-2))),"—"))</f>
        <v/>
      </c>
      <c r="I234" s="25" t="str">
        <f aca="false">IF(A234="","",IFERROR(INDEX(SCD_Data!$D$3:$D$502,SUMPRODUCT((SCD_Data!$A$3:$A$502=B234)*(IFERROR(DATEVALUE(SCD_Data!$H$3:$H$502&amp;""),SCD_Data!$H$3:$H$502)&lt;=IFERROR(DATEVALUE(A234&amp;""),A234))*(IFERROR(DATEVALUE(SCD_Data!$I$3:$I$502&amp;""),SCD_Data!$I$3:$I$502)&gt;=IFERROR(DATEVALUE(A234&amp;""),A234))*(ROW(SCD_Data!$A$3:$A$502)-2))),"—"))</f>
        <v/>
      </c>
      <c r="J234" s="26" t="str">
        <f aca="false">IF(A234="","",IFERROR(INDEX(SCD_Data!$E$3:$E$502,SUMPRODUCT((SCD_Data!$A$3:$A$502=B234)*(IFERROR(DATEVALUE(SCD_Data!$H$3:$H$502&amp;""),SCD_Data!$H$3:$H$502)&lt;=IFERROR(DATEVALUE(A234&amp;""),A234))*(IFERROR(DATEVALUE(SCD_Data!$I$3:$I$502&amp;""),SCD_Data!$I$3:$I$502)&gt;=IFERROR(DATEVALUE(A234&amp;""),A234))*(ROW(SCD_Data!$A$3:$A$502)-2))),"—"))</f>
        <v/>
      </c>
      <c r="K234" s="25" t="str">
        <f aca="false">IF(A234="","",IFERROR(INDEX(SCD_Data!$F$3:$F$502,SUMPRODUCT((SCD_Data!$A$3:$A$502=B234)*(IFERROR(DATEVALUE(SCD_Data!$H$3:$H$502&amp;""),SCD_Data!$H$3:$H$502)&lt;=IFERROR(DATEVALUE(A234&amp;""),A234))*(IFERROR(DATEVALUE(SCD_Data!$I$3:$I$502&amp;""),SCD_Data!$I$3:$I$502)&gt;=IFERROR(DATEVALUE(A234&amp;""),A234))*(ROW(SCD_Data!$A$3:$A$502)-2))),"—"))</f>
        <v/>
      </c>
      <c r="L234" s="25" t="str">
        <f aca="false">IF(A234="","",IFERROR(INDEX(SCD_Data!$G$3:$G$502,SUMPRODUCT((SCD_Data!$A$3:$A$502=B234)*(IFERROR(DATEVALUE(SCD_Data!$H$3:$H$502&amp;""),SCD_Data!$H$3:$H$502)&lt;=IFERROR(DATEVALUE(A234&amp;""),A234))*(IFERROR(DATEVALUE(SCD_Data!$I$3:$I$502&amp;""),SCD_Data!$I$3:$I$502)&gt;=IFERROR(DATEVALUE(A234&amp;""),A234))*(ROW(SCD_Data!$A$3:$A$502)-2))),"—"))</f>
        <v/>
      </c>
      <c r="M234" s="27" t="str">
        <f aca="false">IF(A234="","",IF(H234="—","—",IF(C234&amp;""=H234&amp;"","✓","✗")))</f>
        <v/>
      </c>
      <c r="N234" s="27" t="str">
        <f aca="false">IF(A234="","",IF(H234="—","—",IF(D234&amp;""=I234&amp;"","✓","✗")))</f>
        <v/>
      </c>
      <c r="O234" s="27" t="str">
        <f aca="false">IF(A234="","",IF(H234="—","—",IF(ABS(E234-J234)&lt;0.01,"✓","✗")))</f>
        <v/>
      </c>
      <c r="P234" s="27" t="str">
        <f aca="false">IF(A234="","",IF(H234="—","—",IF(F234&amp;""=K234&amp;"","✓","✗")))</f>
        <v/>
      </c>
      <c r="Q234" s="27" t="str">
        <f aca="false">IF(A234="","",IF(H234="—","—",IF(G234&amp;""=L234&amp;"","✓","✗")))</f>
        <v/>
      </c>
      <c r="R234" s="27" t="str">
        <f aca="false">IF(A234="","",IF(COUNTIF(M234:Q234,"—")=5,"⚠ NO SCD ROW",IF(COUNTIF(M234:Q234,"✗")&gt;0,"❌ MISMATCH","✅ MATCH")))</f>
        <v/>
      </c>
    </row>
    <row r="235" customFormat="false" ht="15" hidden="false" customHeight="true" outlineLevel="0" collapsed="false">
      <c r="A235" s="22" t="str">
        <f aca="false">IF(Daily_Data!A234="","",Daily_Data!A234)</f>
        <v/>
      </c>
      <c r="B235" s="23" t="str">
        <f aca="false">IF(Daily_Data!B234="","",Daily_Data!B234)</f>
        <v/>
      </c>
      <c r="C235" s="23" t="str">
        <f aca="false">IF(A235="","",Daily_Data!C234)</f>
        <v/>
      </c>
      <c r="D235" s="23" t="str">
        <f aca="false">IF(A235="","",Daily_Data!D234)</f>
        <v/>
      </c>
      <c r="E235" s="24" t="str">
        <f aca="false">IF(A235="","",Daily_Data!E234)</f>
        <v/>
      </c>
      <c r="F235" s="23" t="str">
        <f aca="false">IF(A235="","",Daily_Data!F234)</f>
        <v/>
      </c>
      <c r="G235" s="23" t="str">
        <f aca="false">IF(A235="","",Daily_Data!G234)</f>
        <v/>
      </c>
      <c r="H235" s="25" t="str">
        <f aca="false">IF(A235="","",IFERROR(INDEX(SCD_Data!$C$3:$C$502,SUMPRODUCT((SCD_Data!$A$3:$A$502=B235)*(IFERROR(DATEVALUE(SCD_Data!$H$3:$H$502&amp;""),SCD_Data!$H$3:$H$502)&lt;=IFERROR(DATEVALUE(A235&amp;""),A235))*(IFERROR(DATEVALUE(SCD_Data!$I$3:$I$502&amp;""),SCD_Data!$I$3:$I$502)&gt;=IFERROR(DATEVALUE(A235&amp;""),A235))*(ROW(SCD_Data!$A$3:$A$502)-2))),"—"))</f>
        <v/>
      </c>
      <c r="I235" s="25" t="str">
        <f aca="false">IF(A235="","",IFERROR(INDEX(SCD_Data!$D$3:$D$502,SUMPRODUCT((SCD_Data!$A$3:$A$502=B235)*(IFERROR(DATEVALUE(SCD_Data!$H$3:$H$502&amp;""),SCD_Data!$H$3:$H$502)&lt;=IFERROR(DATEVALUE(A235&amp;""),A235))*(IFERROR(DATEVALUE(SCD_Data!$I$3:$I$502&amp;""),SCD_Data!$I$3:$I$502)&gt;=IFERROR(DATEVALUE(A235&amp;""),A235))*(ROW(SCD_Data!$A$3:$A$502)-2))),"—"))</f>
        <v/>
      </c>
      <c r="J235" s="26" t="str">
        <f aca="false">IF(A235="","",IFERROR(INDEX(SCD_Data!$E$3:$E$502,SUMPRODUCT((SCD_Data!$A$3:$A$502=B235)*(IFERROR(DATEVALUE(SCD_Data!$H$3:$H$502&amp;""),SCD_Data!$H$3:$H$502)&lt;=IFERROR(DATEVALUE(A235&amp;""),A235))*(IFERROR(DATEVALUE(SCD_Data!$I$3:$I$502&amp;""),SCD_Data!$I$3:$I$502)&gt;=IFERROR(DATEVALUE(A235&amp;""),A235))*(ROW(SCD_Data!$A$3:$A$502)-2))),"—"))</f>
        <v/>
      </c>
      <c r="K235" s="25" t="str">
        <f aca="false">IF(A235="","",IFERROR(INDEX(SCD_Data!$F$3:$F$502,SUMPRODUCT((SCD_Data!$A$3:$A$502=B235)*(IFERROR(DATEVALUE(SCD_Data!$H$3:$H$502&amp;""),SCD_Data!$H$3:$H$502)&lt;=IFERROR(DATEVALUE(A235&amp;""),A235))*(IFERROR(DATEVALUE(SCD_Data!$I$3:$I$502&amp;""),SCD_Data!$I$3:$I$502)&gt;=IFERROR(DATEVALUE(A235&amp;""),A235))*(ROW(SCD_Data!$A$3:$A$502)-2))),"—"))</f>
        <v/>
      </c>
      <c r="L235" s="25" t="str">
        <f aca="false">IF(A235="","",IFERROR(INDEX(SCD_Data!$G$3:$G$502,SUMPRODUCT((SCD_Data!$A$3:$A$502=B235)*(IFERROR(DATEVALUE(SCD_Data!$H$3:$H$502&amp;""),SCD_Data!$H$3:$H$502)&lt;=IFERROR(DATEVALUE(A235&amp;""),A235))*(IFERROR(DATEVALUE(SCD_Data!$I$3:$I$502&amp;""),SCD_Data!$I$3:$I$502)&gt;=IFERROR(DATEVALUE(A235&amp;""),A235))*(ROW(SCD_Data!$A$3:$A$502)-2))),"—"))</f>
        <v/>
      </c>
      <c r="M235" s="27" t="str">
        <f aca="false">IF(A235="","",IF(H235="—","—",IF(C235&amp;""=H235&amp;"","✓","✗")))</f>
        <v/>
      </c>
      <c r="N235" s="27" t="str">
        <f aca="false">IF(A235="","",IF(H235="—","—",IF(D235&amp;""=I235&amp;"","✓","✗")))</f>
        <v/>
      </c>
      <c r="O235" s="27" t="str">
        <f aca="false">IF(A235="","",IF(H235="—","—",IF(ABS(E235-J235)&lt;0.01,"✓","✗")))</f>
        <v/>
      </c>
      <c r="P235" s="27" t="str">
        <f aca="false">IF(A235="","",IF(H235="—","—",IF(F235&amp;""=K235&amp;"","✓","✗")))</f>
        <v/>
      </c>
      <c r="Q235" s="27" t="str">
        <f aca="false">IF(A235="","",IF(H235="—","—",IF(G235&amp;""=L235&amp;"","✓","✗")))</f>
        <v/>
      </c>
      <c r="R235" s="27" t="str">
        <f aca="false">IF(A235="","",IF(COUNTIF(M235:Q235,"—")=5,"⚠ NO SCD ROW",IF(COUNTIF(M235:Q235,"✗")&gt;0,"❌ MISMATCH","✅ MATCH")))</f>
        <v/>
      </c>
    </row>
    <row r="236" customFormat="false" ht="15" hidden="false" customHeight="true" outlineLevel="0" collapsed="false">
      <c r="A236" s="22" t="str">
        <f aca="false">IF(Daily_Data!A235="","",Daily_Data!A235)</f>
        <v/>
      </c>
      <c r="B236" s="23" t="str">
        <f aca="false">IF(Daily_Data!B235="","",Daily_Data!B235)</f>
        <v/>
      </c>
      <c r="C236" s="23" t="str">
        <f aca="false">IF(A236="","",Daily_Data!C235)</f>
        <v/>
      </c>
      <c r="D236" s="23" t="str">
        <f aca="false">IF(A236="","",Daily_Data!D235)</f>
        <v/>
      </c>
      <c r="E236" s="24" t="str">
        <f aca="false">IF(A236="","",Daily_Data!E235)</f>
        <v/>
      </c>
      <c r="F236" s="23" t="str">
        <f aca="false">IF(A236="","",Daily_Data!F235)</f>
        <v/>
      </c>
      <c r="G236" s="23" t="str">
        <f aca="false">IF(A236="","",Daily_Data!G235)</f>
        <v/>
      </c>
      <c r="H236" s="25" t="str">
        <f aca="false">IF(A236="","",IFERROR(INDEX(SCD_Data!$C$3:$C$502,SUMPRODUCT((SCD_Data!$A$3:$A$502=B236)*(IFERROR(DATEVALUE(SCD_Data!$H$3:$H$502&amp;""),SCD_Data!$H$3:$H$502)&lt;=IFERROR(DATEVALUE(A236&amp;""),A236))*(IFERROR(DATEVALUE(SCD_Data!$I$3:$I$502&amp;""),SCD_Data!$I$3:$I$502)&gt;=IFERROR(DATEVALUE(A236&amp;""),A236))*(ROW(SCD_Data!$A$3:$A$502)-2))),"—"))</f>
        <v/>
      </c>
      <c r="I236" s="25" t="str">
        <f aca="false">IF(A236="","",IFERROR(INDEX(SCD_Data!$D$3:$D$502,SUMPRODUCT((SCD_Data!$A$3:$A$502=B236)*(IFERROR(DATEVALUE(SCD_Data!$H$3:$H$502&amp;""),SCD_Data!$H$3:$H$502)&lt;=IFERROR(DATEVALUE(A236&amp;""),A236))*(IFERROR(DATEVALUE(SCD_Data!$I$3:$I$502&amp;""),SCD_Data!$I$3:$I$502)&gt;=IFERROR(DATEVALUE(A236&amp;""),A236))*(ROW(SCD_Data!$A$3:$A$502)-2))),"—"))</f>
        <v/>
      </c>
      <c r="J236" s="26" t="str">
        <f aca="false">IF(A236="","",IFERROR(INDEX(SCD_Data!$E$3:$E$502,SUMPRODUCT((SCD_Data!$A$3:$A$502=B236)*(IFERROR(DATEVALUE(SCD_Data!$H$3:$H$502&amp;""),SCD_Data!$H$3:$H$502)&lt;=IFERROR(DATEVALUE(A236&amp;""),A236))*(IFERROR(DATEVALUE(SCD_Data!$I$3:$I$502&amp;""),SCD_Data!$I$3:$I$502)&gt;=IFERROR(DATEVALUE(A236&amp;""),A236))*(ROW(SCD_Data!$A$3:$A$502)-2))),"—"))</f>
        <v/>
      </c>
      <c r="K236" s="25" t="str">
        <f aca="false">IF(A236="","",IFERROR(INDEX(SCD_Data!$F$3:$F$502,SUMPRODUCT((SCD_Data!$A$3:$A$502=B236)*(IFERROR(DATEVALUE(SCD_Data!$H$3:$H$502&amp;""),SCD_Data!$H$3:$H$502)&lt;=IFERROR(DATEVALUE(A236&amp;""),A236))*(IFERROR(DATEVALUE(SCD_Data!$I$3:$I$502&amp;""),SCD_Data!$I$3:$I$502)&gt;=IFERROR(DATEVALUE(A236&amp;""),A236))*(ROW(SCD_Data!$A$3:$A$502)-2))),"—"))</f>
        <v/>
      </c>
      <c r="L236" s="25" t="str">
        <f aca="false">IF(A236="","",IFERROR(INDEX(SCD_Data!$G$3:$G$502,SUMPRODUCT((SCD_Data!$A$3:$A$502=B236)*(IFERROR(DATEVALUE(SCD_Data!$H$3:$H$502&amp;""),SCD_Data!$H$3:$H$502)&lt;=IFERROR(DATEVALUE(A236&amp;""),A236))*(IFERROR(DATEVALUE(SCD_Data!$I$3:$I$502&amp;""),SCD_Data!$I$3:$I$502)&gt;=IFERROR(DATEVALUE(A236&amp;""),A236))*(ROW(SCD_Data!$A$3:$A$502)-2))),"—"))</f>
        <v/>
      </c>
      <c r="M236" s="27" t="str">
        <f aca="false">IF(A236="","",IF(H236="—","—",IF(C236&amp;""=H236&amp;"","✓","✗")))</f>
        <v/>
      </c>
      <c r="N236" s="27" t="str">
        <f aca="false">IF(A236="","",IF(H236="—","—",IF(D236&amp;""=I236&amp;"","✓","✗")))</f>
        <v/>
      </c>
      <c r="O236" s="27" t="str">
        <f aca="false">IF(A236="","",IF(H236="—","—",IF(ABS(E236-J236)&lt;0.01,"✓","✗")))</f>
        <v/>
      </c>
      <c r="P236" s="27" t="str">
        <f aca="false">IF(A236="","",IF(H236="—","—",IF(F236&amp;""=K236&amp;"","✓","✗")))</f>
        <v/>
      </c>
      <c r="Q236" s="27" t="str">
        <f aca="false">IF(A236="","",IF(H236="—","—",IF(G236&amp;""=L236&amp;"","✓","✗")))</f>
        <v/>
      </c>
      <c r="R236" s="27" t="str">
        <f aca="false">IF(A236="","",IF(COUNTIF(M236:Q236,"—")=5,"⚠ NO SCD ROW",IF(COUNTIF(M236:Q236,"✗")&gt;0,"❌ MISMATCH","✅ MATCH")))</f>
        <v/>
      </c>
    </row>
    <row r="237" customFormat="false" ht="15" hidden="false" customHeight="true" outlineLevel="0" collapsed="false">
      <c r="A237" s="22" t="str">
        <f aca="false">IF(Daily_Data!A236="","",Daily_Data!A236)</f>
        <v/>
      </c>
      <c r="B237" s="23" t="str">
        <f aca="false">IF(Daily_Data!B236="","",Daily_Data!B236)</f>
        <v/>
      </c>
      <c r="C237" s="23" t="str">
        <f aca="false">IF(A237="","",Daily_Data!C236)</f>
        <v/>
      </c>
      <c r="D237" s="23" t="str">
        <f aca="false">IF(A237="","",Daily_Data!D236)</f>
        <v/>
      </c>
      <c r="E237" s="24" t="str">
        <f aca="false">IF(A237="","",Daily_Data!E236)</f>
        <v/>
      </c>
      <c r="F237" s="23" t="str">
        <f aca="false">IF(A237="","",Daily_Data!F236)</f>
        <v/>
      </c>
      <c r="G237" s="23" t="str">
        <f aca="false">IF(A237="","",Daily_Data!G236)</f>
        <v/>
      </c>
      <c r="H237" s="25" t="str">
        <f aca="false">IF(A237="","",IFERROR(INDEX(SCD_Data!$C$3:$C$502,SUMPRODUCT((SCD_Data!$A$3:$A$502=B237)*(IFERROR(DATEVALUE(SCD_Data!$H$3:$H$502&amp;""),SCD_Data!$H$3:$H$502)&lt;=IFERROR(DATEVALUE(A237&amp;""),A237))*(IFERROR(DATEVALUE(SCD_Data!$I$3:$I$502&amp;""),SCD_Data!$I$3:$I$502)&gt;=IFERROR(DATEVALUE(A237&amp;""),A237))*(ROW(SCD_Data!$A$3:$A$502)-2))),"—"))</f>
        <v/>
      </c>
      <c r="I237" s="25" t="str">
        <f aca="false">IF(A237="","",IFERROR(INDEX(SCD_Data!$D$3:$D$502,SUMPRODUCT((SCD_Data!$A$3:$A$502=B237)*(IFERROR(DATEVALUE(SCD_Data!$H$3:$H$502&amp;""),SCD_Data!$H$3:$H$502)&lt;=IFERROR(DATEVALUE(A237&amp;""),A237))*(IFERROR(DATEVALUE(SCD_Data!$I$3:$I$502&amp;""),SCD_Data!$I$3:$I$502)&gt;=IFERROR(DATEVALUE(A237&amp;""),A237))*(ROW(SCD_Data!$A$3:$A$502)-2))),"—"))</f>
        <v/>
      </c>
      <c r="J237" s="26" t="str">
        <f aca="false">IF(A237="","",IFERROR(INDEX(SCD_Data!$E$3:$E$502,SUMPRODUCT((SCD_Data!$A$3:$A$502=B237)*(IFERROR(DATEVALUE(SCD_Data!$H$3:$H$502&amp;""),SCD_Data!$H$3:$H$502)&lt;=IFERROR(DATEVALUE(A237&amp;""),A237))*(IFERROR(DATEVALUE(SCD_Data!$I$3:$I$502&amp;""),SCD_Data!$I$3:$I$502)&gt;=IFERROR(DATEVALUE(A237&amp;""),A237))*(ROW(SCD_Data!$A$3:$A$502)-2))),"—"))</f>
        <v/>
      </c>
      <c r="K237" s="25" t="str">
        <f aca="false">IF(A237="","",IFERROR(INDEX(SCD_Data!$F$3:$F$502,SUMPRODUCT((SCD_Data!$A$3:$A$502=B237)*(IFERROR(DATEVALUE(SCD_Data!$H$3:$H$502&amp;""),SCD_Data!$H$3:$H$502)&lt;=IFERROR(DATEVALUE(A237&amp;""),A237))*(IFERROR(DATEVALUE(SCD_Data!$I$3:$I$502&amp;""),SCD_Data!$I$3:$I$502)&gt;=IFERROR(DATEVALUE(A237&amp;""),A237))*(ROW(SCD_Data!$A$3:$A$502)-2))),"—"))</f>
        <v/>
      </c>
      <c r="L237" s="25" t="str">
        <f aca="false">IF(A237="","",IFERROR(INDEX(SCD_Data!$G$3:$G$502,SUMPRODUCT((SCD_Data!$A$3:$A$502=B237)*(IFERROR(DATEVALUE(SCD_Data!$H$3:$H$502&amp;""),SCD_Data!$H$3:$H$502)&lt;=IFERROR(DATEVALUE(A237&amp;""),A237))*(IFERROR(DATEVALUE(SCD_Data!$I$3:$I$502&amp;""),SCD_Data!$I$3:$I$502)&gt;=IFERROR(DATEVALUE(A237&amp;""),A237))*(ROW(SCD_Data!$A$3:$A$502)-2))),"—"))</f>
        <v/>
      </c>
      <c r="M237" s="27" t="str">
        <f aca="false">IF(A237="","",IF(H237="—","—",IF(C237&amp;""=H237&amp;"","✓","✗")))</f>
        <v/>
      </c>
      <c r="N237" s="27" t="str">
        <f aca="false">IF(A237="","",IF(H237="—","—",IF(D237&amp;""=I237&amp;"","✓","✗")))</f>
        <v/>
      </c>
      <c r="O237" s="27" t="str">
        <f aca="false">IF(A237="","",IF(H237="—","—",IF(ABS(E237-J237)&lt;0.01,"✓","✗")))</f>
        <v/>
      </c>
      <c r="P237" s="27" t="str">
        <f aca="false">IF(A237="","",IF(H237="—","—",IF(F237&amp;""=K237&amp;"","✓","✗")))</f>
        <v/>
      </c>
      <c r="Q237" s="27" t="str">
        <f aca="false">IF(A237="","",IF(H237="—","—",IF(G237&amp;""=L237&amp;"","✓","✗")))</f>
        <v/>
      </c>
      <c r="R237" s="27" t="str">
        <f aca="false">IF(A237="","",IF(COUNTIF(M237:Q237,"—")=5,"⚠ NO SCD ROW",IF(COUNTIF(M237:Q237,"✗")&gt;0,"❌ MISMATCH","✅ MATCH")))</f>
        <v/>
      </c>
    </row>
    <row r="238" customFormat="false" ht="15" hidden="false" customHeight="true" outlineLevel="0" collapsed="false">
      <c r="A238" s="22" t="str">
        <f aca="false">IF(Daily_Data!A237="","",Daily_Data!A237)</f>
        <v/>
      </c>
      <c r="B238" s="23" t="str">
        <f aca="false">IF(Daily_Data!B237="","",Daily_Data!B237)</f>
        <v/>
      </c>
      <c r="C238" s="23" t="str">
        <f aca="false">IF(A238="","",Daily_Data!C237)</f>
        <v/>
      </c>
      <c r="D238" s="23" t="str">
        <f aca="false">IF(A238="","",Daily_Data!D237)</f>
        <v/>
      </c>
      <c r="E238" s="24" t="str">
        <f aca="false">IF(A238="","",Daily_Data!E237)</f>
        <v/>
      </c>
      <c r="F238" s="23" t="str">
        <f aca="false">IF(A238="","",Daily_Data!F237)</f>
        <v/>
      </c>
      <c r="G238" s="23" t="str">
        <f aca="false">IF(A238="","",Daily_Data!G237)</f>
        <v/>
      </c>
      <c r="H238" s="25" t="str">
        <f aca="false">IF(A238="","",IFERROR(INDEX(SCD_Data!$C$3:$C$502,SUMPRODUCT((SCD_Data!$A$3:$A$502=B238)*(IFERROR(DATEVALUE(SCD_Data!$H$3:$H$502&amp;""),SCD_Data!$H$3:$H$502)&lt;=IFERROR(DATEVALUE(A238&amp;""),A238))*(IFERROR(DATEVALUE(SCD_Data!$I$3:$I$502&amp;""),SCD_Data!$I$3:$I$502)&gt;=IFERROR(DATEVALUE(A238&amp;""),A238))*(ROW(SCD_Data!$A$3:$A$502)-2))),"—"))</f>
        <v/>
      </c>
      <c r="I238" s="25" t="str">
        <f aca="false">IF(A238="","",IFERROR(INDEX(SCD_Data!$D$3:$D$502,SUMPRODUCT((SCD_Data!$A$3:$A$502=B238)*(IFERROR(DATEVALUE(SCD_Data!$H$3:$H$502&amp;""),SCD_Data!$H$3:$H$502)&lt;=IFERROR(DATEVALUE(A238&amp;""),A238))*(IFERROR(DATEVALUE(SCD_Data!$I$3:$I$502&amp;""),SCD_Data!$I$3:$I$502)&gt;=IFERROR(DATEVALUE(A238&amp;""),A238))*(ROW(SCD_Data!$A$3:$A$502)-2))),"—"))</f>
        <v/>
      </c>
      <c r="J238" s="26" t="str">
        <f aca="false">IF(A238="","",IFERROR(INDEX(SCD_Data!$E$3:$E$502,SUMPRODUCT((SCD_Data!$A$3:$A$502=B238)*(IFERROR(DATEVALUE(SCD_Data!$H$3:$H$502&amp;""),SCD_Data!$H$3:$H$502)&lt;=IFERROR(DATEVALUE(A238&amp;""),A238))*(IFERROR(DATEVALUE(SCD_Data!$I$3:$I$502&amp;""),SCD_Data!$I$3:$I$502)&gt;=IFERROR(DATEVALUE(A238&amp;""),A238))*(ROW(SCD_Data!$A$3:$A$502)-2))),"—"))</f>
        <v/>
      </c>
      <c r="K238" s="25" t="str">
        <f aca="false">IF(A238="","",IFERROR(INDEX(SCD_Data!$F$3:$F$502,SUMPRODUCT((SCD_Data!$A$3:$A$502=B238)*(IFERROR(DATEVALUE(SCD_Data!$H$3:$H$502&amp;""),SCD_Data!$H$3:$H$502)&lt;=IFERROR(DATEVALUE(A238&amp;""),A238))*(IFERROR(DATEVALUE(SCD_Data!$I$3:$I$502&amp;""),SCD_Data!$I$3:$I$502)&gt;=IFERROR(DATEVALUE(A238&amp;""),A238))*(ROW(SCD_Data!$A$3:$A$502)-2))),"—"))</f>
        <v/>
      </c>
      <c r="L238" s="25" t="str">
        <f aca="false">IF(A238="","",IFERROR(INDEX(SCD_Data!$G$3:$G$502,SUMPRODUCT((SCD_Data!$A$3:$A$502=B238)*(IFERROR(DATEVALUE(SCD_Data!$H$3:$H$502&amp;""),SCD_Data!$H$3:$H$502)&lt;=IFERROR(DATEVALUE(A238&amp;""),A238))*(IFERROR(DATEVALUE(SCD_Data!$I$3:$I$502&amp;""),SCD_Data!$I$3:$I$502)&gt;=IFERROR(DATEVALUE(A238&amp;""),A238))*(ROW(SCD_Data!$A$3:$A$502)-2))),"—"))</f>
        <v/>
      </c>
      <c r="M238" s="27" t="str">
        <f aca="false">IF(A238="","",IF(H238="—","—",IF(C238&amp;""=H238&amp;"","✓","✗")))</f>
        <v/>
      </c>
      <c r="N238" s="27" t="str">
        <f aca="false">IF(A238="","",IF(H238="—","—",IF(D238&amp;""=I238&amp;"","✓","✗")))</f>
        <v/>
      </c>
      <c r="O238" s="27" t="str">
        <f aca="false">IF(A238="","",IF(H238="—","—",IF(ABS(E238-J238)&lt;0.01,"✓","✗")))</f>
        <v/>
      </c>
      <c r="P238" s="27" t="str">
        <f aca="false">IF(A238="","",IF(H238="—","—",IF(F238&amp;""=K238&amp;"","✓","✗")))</f>
        <v/>
      </c>
      <c r="Q238" s="27" t="str">
        <f aca="false">IF(A238="","",IF(H238="—","—",IF(G238&amp;""=L238&amp;"","✓","✗")))</f>
        <v/>
      </c>
      <c r="R238" s="27" t="str">
        <f aca="false">IF(A238="","",IF(COUNTIF(M238:Q238,"—")=5,"⚠ NO SCD ROW",IF(COUNTIF(M238:Q238,"✗")&gt;0,"❌ MISMATCH","✅ MATCH")))</f>
        <v/>
      </c>
    </row>
    <row r="239" customFormat="false" ht="15" hidden="false" customHeight="true" outlineLevel="0" collapsed="false">
      <c r="A239" s="22" t="str">
        <f aca="false">IF(Daily_Data!A238="","",Daily_Data!A238)</f>
        <v/>
      </c>
      <c r="B239" s="23" t="str">
        <f aca="false">IF(Daily_Data!B238="","",Daily_Data!B238)</f>
        <v/>
      </c>
      <c r="C239" s="23" t="str">
        <f aca="false">IF(A239="","",Daily_Data!C238)</f>
        <v/>
      </c>
      <c r="D239" s="23" t="str">
        <f aca="false">IF(A239="","",Daily_Data!D238)</f>
        <v/>
      </c>
      <c r="E239" s="24" t="str">
        <f aca="false">IF(A239="","",Daily_Data!E238)</f>
        <v/>
      </c>
      <c r="F239" s="23" t="str">
        <f aca="false">IF(A239="","",Daily_Data!F238)</f>
        <v/>
      </c>
      <c r="G239" s="23" t="str">
        <f aca="false">IF(A239="","",Daily_Data!G238)</f>
        <v/>
      </c>
      <c r="H239" s="25" t="str">
        <f aca="false">IF(A239="","",IFERROR(INDEX(SCD_Data!$C$3:$C$502,SUMPRODUCT((SCD_Data!$A$3:$A$502=B239)*(IFERROR(DATEVALUE(SCD_Data!$H$3:$H$502&amp;""),SCD_Data!$H$3:$H$502)&lt;=IFERROR(DATEVALUE(A239&amp;""),A239))*(IFERROR(DATEVALUE(SCD_Data!$I$3:$I$502&amp;""),SCD_Data!$I$3:$I$502)&gt;=IFERROR(DATEVALUE(A239&amp;""),A239))*(ROW(SCD_Data!$A$3:$A$502)-2))),"—"))</f>
        <v/>
      </c>
      <c r="I239" s="25" t="str">
        <f aca="false">IF(A239="","",IFERROR(INDEX(SCD_Data!$D$3:$D$502,SUMPRODUCT((SCD_Data!$A$3:$A$502=B239)*(IFERROR(DATEVALUE(SCD_Data!$H$3:$H$502&amp;""),SCD_Data!$H$3:$H$502)&lt;=IFERROR(DATEVALUE(A239&amp;""),A239))*(IFERROR(DATEVALUE(SCD_Data!$I$3:$I$502&amp;""),SCD_Data!$I$3:$I$502)&gt;=IFERROR(DATEVALUE(A239&amp;""),A239))*(ROW(SCD_Data!$A$3:$A$502)-2))),"—"))</f>
        <v/>
      </c>
      <c r="J239" s="26" t="str">
        <f aca="false">IF(A239="","",IFERROR(INDEX(SCD_Data!$E$3:$E$502,SUMPRODUCT((SCD_Data!$A$3:$A$502=B239)*(IFERROR(DATEVALUE(SCD_Data!$H$3:$H$502&amp;""),SCD_Data!$H$3:$H$502)&lt;=IFERROR(DATEVALUE(A239&amp;""),A239))*(IFERROR(DATEVALUE(SCD_Data!$I$3:$I$502&amp;""),SCD_Data!$I$3:$I$502)&gt;=IFERROR(DATEVALUE(A239&amp;""),A239))*(ROW(SCD_Data!$A$3:$A$502)-2))),"—"))</f>
        <v/>
      </c>
      <c r="K239" s="25" t="str">
        <f aca="false">IF(A239="","",IFERROR(INDEX(SCD_Data!$F$3:$F$502,SUMPRODUCT((SCD_Data!$A$3:$A$502=B239)*(IFERROR(DATEVALUE(SCD_Data!$H$3:$H$502&amp;""),SCD_Data!$H$3:$H$502)&lt;=IFERROR(DATEVALUE(A239&amp;""),A239))*(IFERROR(DATEVALUE(SCD_Data!$I$3:$I$502&amp;""),SCD_Data!$I$3:$I$502)&gt;=IFERROR(DATEVALUE(A239&amp;""),A239))*(ROW(SCD_Data!$A$3:$A$502)-2))),"—"))</f>
        <v/>
      </c>
      <c r="L239" s="25" t="str">
        <f aca="false">IF(A239="","",IFERROR(INDEX(SCD_Data!$G$3:$G$502,SUMPRODUCT((SCD_Data!$A$3:$A$502=B239)*(IFERROR(DATEVALUE(SCD_Data!$H$3:$H$502&amp;""),SCD_Data!$H$3:$H$502)&lt;=IFERROR(DATEVALUE(A239&amp;""),A239))*(IFERROR(DATEVALUE(SCD_Data!$I$3:$I$502&amp;""),SCD_Data!$I$3:$I$502)&gt;=IFERROR(DATEVALUE(A239&amp;""),A239))*(ROW(SCD_Data!$A$3:$A$502)-2))),"—"))</f>
        <v/>
      </c>
      <c r="M239" s="27" t="str">
        <f aca="false">IF(A239="","",IF(H239="—","—",IF(C239&amp;""=H239&amp;"","✓","✗")))</f>
        <v/>
      </c>
      <c r="N239" s="27" t="str">
        <f aca="false">IF(A239="","",IF(H239="—","—",IF(D239&amp;""=I239&amp;"","✓","✗")))</f>
        <v/>
      </c>
      <c r="O239" s="27" t="str">
        <f aca="false">IF(A239="","",IF(H239="—","—",IF(ABS(E239-J239)&lt;0.01,"✓","✗")))</f>
        <v/>
      </c>
      <c r="P239" s="27" t="str">
        <f aca="false">IF(A239="","",IF(H239="—","—",IF(F239&amp;""=K239&amp;"","✓","✗")))</f>
        <v/>
      </c>
      <c r="Q239" s="27" t="str">
        <f aca="false">IF(A239="","",IF(H239="—","—",IF(G239&amp;""=L239&amp;"","✓","✗")))</f>
        <v/>
      </c>
      <c r="R239" s="27" t="str">
        <f aca="false">IF(A239="","",IF(COUNTIF(M239:Q239,"—")=5,"⚠ NO SCD ROW",IF(COUNTIF(M239:Q239,"✗")&gt;0,"❌ MISMATCH","✅ MATCH")))</f>
        <v/>
      </c>
    </row>
    <row r="240" customFormat="false" ht="15" hidden="false" customHeight="true" outlineLevel="0" collapsed="false">
      <c r="A240" s="22" t="str">
        <f aca="false">IF(Daily_Data!A239="","",Daily_Data!A239)</f>
        <v/>
      </c>
      <c r="B240" s="23" t="str">
        <f aca="false">IF(Daily_Data!B239="","",Daily_Data!B239)</f>
        <v/>
      </c>
      <c r="C240" s="23" t="str">
        <f aca="false">IF(A240="","",Daily_Data!C239)</f>
        <v/>
      </c>
      <c r="D240" s="23" t="str">
        <f aca="false">IF(A240="","",Daily_Data!D239)</f>
        <v/>
      </c>
      <c r="E240" s="24" t="str">
        <f aca="false">IF(A240="","",Daily_Data!E239)</f>
        <v/>
      </c>
      <c r="F240" s="23" t="str">
        <f aca="false">IF(A240="","",Daily_Data!F239)</f>
        <v/>
      </c>
      <c r="G240" s="23" t="str">
        <f aca="false">IF(A240="","",Daily_Data!G239)</f>
        <v/>
      </c>
      <c r="H240" s="25" t="str">
        <f aca="false">IF(A240="","",IFERROR(INDEX(SCD_Data!$C$3:$C$502,SUMPRODUCT((SCD_Data!$A$3:$A$502=B240)*(IFERROR(DATEVALUE(SCD_Data!$H$3:$H$502&amp;""),SCD_Data!$H$3:$H$502)&lt;=IFERROR(DATEVALUE(A240&amp;""),A240))*(IFERROR(DATEVALUE(SCD_Data!$I$3:$I$502&amp;""),SCD_Data!$I$3:$I$502)&gt;=IFERROR(DATEVALUE(A240&amp;""),A240))*(ROW(SCD_Data!$A$3:$A$502)-2))),"—"))</f>
        <v/>
      </c>
      <c r="I240" s="25" t="str">
        <f aca="false">IF(A240="","",IFERROR(INDEX(SCD_Data!$D$3:$D$502,SUMPRODUCT((SCD_Data!$A$3:$A$502=B240)*(IFERROR(DATEVALUE(SCD_Data!$H$3:$H$502&amp;""),SCD_Data!$H$3:$H$502)&lt;=IFERROR(DATEVALUE(A240&amp;""),A240))*(IFERROR(DATEVALUE(SCD_Data!$I$3:$I$502&amp;""),SCD_Data!$I$3:$I$502)&gt;=IFERROR(DATEVALUE(A240&amp;""),A240))*(ROW(SCD_Data!$A$3:$A$502)-2))),"—"))</f>
        <v/>
      </c>
      <c r="J240" s="26" t="str">
        <f aca="false">IF(A240="","",IFERROR(INDEX(SCD_Data!$E$3:$E$502,SUMPRODUCT((SCD_Data!$A$3:$A$502=B240)*(IFERROR(DATEVALUE(SCD_Data!$H$3:$H$502&amp;""),SCD_Data!$H$3:$H$502)&lt;=IFERROR(DATEVALUE(A240&amp;""),A240))*(IFERROR(DATEVALUE(SCD_Data!$I$3:$I$502&amp;""),SCD_Data!$I$3:$I$502)&gt;=IFERROR(DATEVALUE(A240&amp;""),A240))*(ROW(SCD_Data!$A$3:$A$502)-2))),"—"))</f>
        <v/>
      </c>
      <c r="K240" s="25" t="str">
        <f aca="false">IF(A240="","",IFERROR(INDEX(SCD_Data!$F$3:$F$502,SUMPRODUCT((SCD_Data!$A$3:$A$502=B240)*(IFERROR(DATEVALUE(SCD_Data!$H$3:$H$502&amp;""),SCD_Data!$H$3:$H$502)&lt;=IFERROR(DATEVALUE(A240&amp;""),A240))*(IFERROR(DATEVALUE(SCD_Data!$I$3:$I$502&amp;""),SCD_Data!$I$3:$I$502)&gt;=IFERROR(DATEVALUE(A240&amp;""),A240))*(ROW(SCD_Data!$A$3:$A$502)-2))),"—"))</f>
        <v/>
      </c>
      <c r="L240" s="25" t="str">
        <f aca="false">IF(A240="","",IFERROR(INDEX(SCD_Data!$G$3:$G$502,SUMPRODUCT((SCD_Data!$A$3:$A$502=B240)*(IFERROR(DATEVALUE(SCD_Data!$H$3:$H$502&amp;""),SCD_Data!$H$3:$H$502)&lt;=IFERROR(DATEVALUE(A240&amp;""),A240))*(IFERROR(DATEVALUE(SCD_Data!$I$3:$I$502&amp;""),SCD_Data!$I$3:$I$502)&gt;=IFERROR(DATEVALUE(A240&amp;""),A240))*(ROW(SCD_Data!$A$3:$A$502)-2))),"—"))</f>
        <v/>
      </c>
      <c r="M240" s="27" t="str">
        <f aca="false">IF(A240="","",IF(H240="—","—",IF(C240&amp;""=H240&amp;"","✓","✗")))</f>
        <v/>
      </c>
      <c r="N240" s="27" t="str">
        <f aca="false">IF(A240="","",IF(H240="—","—",IF(D240&amp;""=I240&amp;"","✓","✗")))</f>
        <v/>
      </c>
      <c r="O240" s="27" t="str">
        <f aca="false">IF(A240="","",IF(H240="—","—",IF(ABS(E240-J240)&lt;0.01,"✓","✗")))</f>
        <v/>
      </c>
      <c r="P240" s="27" t="str">
        <f aca="false">IF(A240="","",IF(H240="—","—",IF(F240&amp;""=K240&amp;"","✓","✗")))</f>
        <v/>
      </c>
      <c r="Q240" s="27" t="str">
        <f aca="false">IF(A240="","",IF(H240="—","—",IF(G240&amp;""=L240&amp;"","✓","✗")))</f>
        <v/>
      </c>
      <c r="R240" s="27" t="str">
        <f aca="false">IF(A240="","",IF(COUNTIF(M240:Q240,"—")=5,"⚠ NO SCD ROW",IF(COUNTIF(M240:Q240,"✗")&gt;0,"❌ MISMATCH","✅ MATCH")))</f>
        <v/>
      </c>
    </row>
    <row r="241" customFormat="false" ht="15" hidden="false" customHeight="true" outlineLevel="0" collapsed="false">
      <c r="A241" s="22" t="str">
        <f aca="false">IF(Daily_Data!A240="","",Daily_Data!A240)</f>
        <v/>
      </c>
      <c r="B241" s="23" t="str">
        <f aca="false">IF(Daily_Data!B240="","",Daily_Data!B240)</f>
        <v/>
      </c>
      <c r="C241" s="23" t="str">
        <f aca="false">IF(A241="","",Daily_Data!C240)</f>
        <v/>
      </c>
      <c r="D241" s="23" t="str">
        <f aca="false">IF(A241="","",Daily_Data!D240)</f>
        <v/>
      </c>
      <c r="E241" s="24" t="str">
        <f aca="false">IF(A241="","",Daily_Data!E240)</f>
        <v/>
      </c>
      <c r="F241" s="23" t="str">
        <f aca="false">IF(A241="","",Daily_Data!F240)</f>
        <v/>
      </c>
      <c r="G241" s="23" t="str">
        <f aca="false">IF(A241="","",Daily_Data!G240)</f>
        <v/>
      </c>
      <c r="H241" s="25" t="str">
        <f aca="false">IF(A241="","",IFERROR(INDEX(SCD_Data!$C$3:$C$502,SUMPRODUCT((SCD_Data!$A$3:$A$502=B241)*(IFERROR(DATEVALUE(SCD_Data!$H$3:$H$502&amp;""),SCD_Data!$H$3:$H$502)&lt;=IFERROR(DATEVALUE(A241&amp;""),A241))*(IFERROR(DATEVALUE(SCD_Data!$I$3:$I$502&amp;""),SCD_Data!$I$3:$I$502)&gt;=IFERROR(DATEVALUE(A241&amp;""),A241))*(ROW(SCD_Data!$A$3:$A$502)-2))),"—"))</f>
        <v/>
      </c>
      <c r="I241" s="25" t="str">
        <f aca="false">IF(A241="","",IFERROR(INDEX(SCD_Data!$D$3:$D$502,SUMPRODUCT((SCD_Data!$A$3:$A$502=B241)*(IFERROR(DATEVALUE(SCD_Data!$H$3:$H$502&amp;""),SCD_Data!$H$3:$H$502)&lt;=IFERROR(DATEVALUE(A241&amp;""),A241))*(IFERROR(DATEVALUE(SCD_Data!$I$3:$I$502&amp;""),SCD_Data!$I$3:$I$502)&gt;=IFERROR(DATEVALUE(A241&amp;""),A241))*(ROW(SCD_Data!$A$3:$A$502)-2))),"—"))</f>
        <v/>
      </c>
      <c r="J241" s="26" t="str">
        <f aca="false">IF(A241="","",IFERROR(INDEX(SCD_Data!$E$3:$E$502,SUMPRODUCT((SCD_Data!$A$3:$A$502=B241)*(IFERROR(DATEVALUE(SCD_Data!$H$3:$H$502&amp;""),SCD_Data!$H$3:$H$502)&lt;=IFERROR(DATEVALUE(A241&amp;""),A241))*(IFERROR(DATEVALUE(SCD_Data!$I$3:$I$502&amp;""),SCD_Data!$I$3:$I$502)&gt;=IFERROR(DATEVALUE(A241&amp;""),A241))*(ROW(SCD_Data!$A$3:$A$502)-2))),"—"))</f>
        <v/>
      </c>
      <c r="K241" s="25" t="str">
        <f aca="false">IF(A241="","",IFERROR(INDEX(SCD_Data!$F$3:$F$502,SUMPRODUCT((SCD_Data!$A$3:$A$502=B241)*(IFERROR(DATEVALUE(SCD_Data!$H$3:$H$502&amp;""),SCD_Data!$H$3:$H$502)&lt;=IFERROR(DATEVALUE(A241&amp;""),A241))*(IFERROR(DATEVALUE(SCD_Data!$I$3:$I$502&amp;""),SCD_Data!$I$3:$I$502)&gt;=IFERROR(DATEVALUE(A241&amp;""),A241))*(ROW(SCD_Data!$A$3:$A$502)-2))),"—"))</f>
        <v/>
      </c>
      <c r="L241" s="25" t="str">
        <f aca="false">IF(A241="","",IFERROR(INDEX(SCD_Data!$G$3:$G$502,SUMPRODUCT((SCD_Data!$A$3:$A$502=B241)*(IFERROR(DATEVALUE(SCD_Data!$H$3:$H$502&amp;""),SCD_Data!$H$3:$H$502)&lt;=IFERROR(DATEVALUE(A241&amp;""),A241))*(IFERROR(DATEVALUE(SCD_Data!$I$3:$I$502&amp;""),SCD_Data!$I$3:$I$502)&gt;=IFERROR(DATEVALUE(A241&amp;""),A241))*(ROW(SCD_Data!$A$3:$A$502)-2))),"—"))</f>
        <v/>
      </c>
      <c r="M241" s="27" t="str">
        <f aca="false">IF(A241="","",IF(H241="—","—",IF(C241&amp;""=H241&amp;"","✓","✗")))</f>
        <v/>
      </c>
      <c r="N241" s="27" t="str">
        <f aca="false">IF(A241="","",IF(H241="—","—",IF(D241&amp;""=I241&amp;"","✓","✗")))</f>
        <v/>
      </c>
      <c r="O241" s="27" t="str">
        <f aca="false">IF(A241="","",IF(H241="—","—",IF(ABS(E241-J241)&lt;0.01,"✓","✗")))</f>
        <v/>
      </c>
      <c r="P241" s="27" t="str">
        <f aca="false">IF(A241="","",IF(H241="—","—",IF(F241&amp;""=K241&amp;"","✓","✗")))</f>
        <v/>
      </c>
      <c r="Q241" s="27" t="str">
        <f aca="false">IF(A241="","",IF(H241="—","—",IF(G241&amp;""=L241&amp;"","✓","✗")))</f>
        <v/>
      </c>
      <c r="R241" s="27" t="str">
        <f aca="false">IF(A241="","",IF(COUNTIF(M241:Q241,"—")=5,"⚠ NO SCD ROW",IF(COUNTIF(M241:Q241,"✗")&gt;0,"❌ MISMATCH","✅ MATCH")))</f>
        <v/>
      </c>
    </row>
    <row r="242" customFormat="false" ht="15" hidden="false" customHeight="true" outlineLevel="0" collapsed="false">
      <c r="A242" s="22" t="str">
        <f aca="false">IF(Daily_Data!A241="","",Daily_Data!A241)</f>
        <v/>
      </c>
      <c r="B242" s="23" t="str">
        <f aca="false">IF(Daily_Data!B241="","",Daily_Data!B241)</f>
        <v/>
      </c>
      <c r="C242" s="23" t="str">
        <f aca="false">IF(A242="","",Daily_Data!C241)</f>
        <v/>
      </c>
      <c r="D242" s="23" t="str">
        <f aca="false">IF(A242="","",Daily_Data!D241)</f>
        <v/>
      </c>
      <c r="E242" s="24" t="str">
        <f aca="false">IF(A242="","",Daily_Data!E241)</f>
        <v/>
      </c>
      <c r="F242" s="23" t="str">
        <f aca="false">IF(A242="","",Daily_Data!F241)</f>
        <v/>
      </c>
      <c r="G242" s="23" t="str">
        <f aca="false">IF(A242="","",Daily_Data!G241)</f>
        <v/>
      </c>
      <c r="H242" s="25" t="str">
        <f aca="false">IF(A242="","",IFERROR(INDEX(SCD_Data!$C$3:$C$502,SUMPRODUCT((SCD_Data!$A$3:$A$502=B242)*(IFERROR(DATEVALUE(SCD_Data!$H$3:$H$502&amp;""),SCD_Data!$H$3:$H$502)&lt;=IFERROR(DATEVALUE(A242&amp;""),A242))*(IFERROR(DATEVALUE(SCD_Data!$I$3:$I$502&amp;""),SCD_Data!$I$3:$I$502)&gt;=IFERROR(DATEVALUE(A242&amp;""),A242))*(ROW(SCD_Data!$A$3:$A$502)-2))),"—"))</f>
        <v/>
      </c>
      <c r="I242" s="25" t="str">
        <f aca="false">IF(A242="","",IFERROR(INDEX(SCD_Data!$D$3:$D$502,SUMPRODUCT((SCD_Data!$A$3:$A$502=B242)*(IFERROR(DATEVALUE(SCD_Data!$H$3:$H$502&amp;""),SCD_Data!$H$3:$H$502)&lt;=IFERROR(DATEVALUE(A242&amp;""),A242))*(IFERROR(DATEVALUE(SCD_Data!$I$3:$I$502&amp;""),SCD_Data!$I$3:$I$502)&gt;=IFERROR(DATEVALUE(A242&amp;""),A242))*(ROW(SCD_Data!$A$3:$A$502)-2))),"—"))</f>
        <v/>
      </c>
      <c r="J242" s="26" t="str">
        <f aca="false">IF(A242="","",IFERROR(INDEX(SCD_Data!$E$3:$E$502,SUMPRODUCT((SCD_Data!$A$3:$A$502=B242)*(IFERROR(DATEVALUE(SCD_Data!$H$3:$H$502&amp;""),SCD_Data!$H$3:$H$502)&lt;=IFERROR(DATEVALUE(A242&amp;""),A242))*(IFERROR(DATEVALUE(SCD_Data!$I$3:$I$502&amp;""),SCD_Data!$I$3:$I$502)&gt;=IFERROR(DATEVALUE(A242&amp;""),A242))*(ROW(SCD_Data!$A$3:$A$502)-2))),"—"))</f>
        <v/>
      </c>
      <c r="K242" s="25" t="str">
        <f aca="false">IF(A242="","",IFERROR(INDEX(SCD_Data!$F$3:$F$502,SUMPRODUCT((SCD_Data!$A$3:$A$502=B242)*(IFERROR(DATEVALUE(SCD_Data!$H$3:$H$502&amp;""),SCD_Data!$H$3:$H$502)&lt;=IFERROR(DATEVALUE(A242&amp;""),A242))*(IFERROR(DATEVALUE(SCD_Data!$I$3:$I$502&amp;""),SCD_Data!$I$3:$I$502)&gt;=IFERROR(DATEVALUE(A242&amp;""),A242))*(ROW(SCD_Data!$A$3:$A$502)-2))),"—"))</f>
        <v/>
      </c>
      <c r="L242" s="25" t="str">
        <f aca="false">IF(A242="","",IFERROR(INDEX(SCD_Data!$G$3:$G$502,SUMPRODUCT((SCD_Data!$A$3:$A$502=B242)*(IFERROR(DATEVALUE(SCD_Data!$H$3:$H$502&amp;""),SCD_Data!$H$3:$H$502)&lt;=IFERROR(DATEVALUE(A242&amp;""),A242))*(IFERROR(DATEVALUE(SCD_Data!$I$3:$I$502&amp;""),SCD_Data!$I$3:$I$502)&gt;=IFERROR(DATEVALUE(A242&amp;""),A242))*(ROW(SCD_Data!$A$3:$A$502)-2))),"—"))</f>
        <v/>
      </c>
      <c r="M242" s="27" t="str">
        <f aca="false">IF(A242="","",IF(H242="—","—",IF(C242&amp;""=H242&amp;"","✓","✗")))</f>
        <v/>
      </c>
      <c r="N242" s="27" t="str">
        <f aca="false">IF(A242="","",IF(H242="—","—",IF(D242&amp;""=I242&amp;"","✓","✗")))</f>
        <v/>
      </c>
      <c r="O242" s="27" t="str">
        <f aca="false">IF(A242="","",IF(H242="—","—",IF(ABS(E242-J242)&lt;0.01,"✓","✗")))</f>
        <v/>
      </c>
      <c r="P242" s="27" t="str">
        <f aca="false">IF(A242="","",IF(H242="—","—",IF(F242&amp;""=K242&amp;"","✓","✗")))</f>
        <v/>
      </c>
      <c r="Q242" s="27" t="str">
        <f aca="false">IF(A242="","",IF(H242="—","—",IF(G242&amp;""=L242&amp;"","✓","✗")))</f>
        <v/>
      </c>
      <c r="R242" s="27" t="str">
        <f aca="false">IF(A242="","",IF(COUNTIF(M242:Q242,"—")=5,"⚠ NO SCD ROW",IF(COUNTIF(M242:Q242,"✗")&gt;0,"❌ MISMATCH","✅ MATCH")))</f>
        <v/>
      </c>
    </row>
    <row r="243" customFormat="false" ht="15" hidden="false" customHeight="true" outlineLevel="0" collapsed="false">
      <c r="A243" s="22" t="str">
        <f aca="false">IF(Daily_Data!A242="","",Daily_Data!A242)</f>
        <v/>
      </c>
      <c r="B243" s="23" t="str">
        <f aca="false">IF(Daily_Data!B242="","",Daily_Data!B242)</f>
        <v/>
      </c>
      <c r="C243" s="23" t="str">
        <f aca="false">IF(A243="","",Daily_Data!C242)</f>
        <v/>
      </c>
      <c r="D243" s="23" t="str">
        <f aca="false">IF(A243="","",Daily_Data!D242)</f>
        <v/>
      </c>
      <c r="E243" s="24" t="str">
        <f aca="false">IF(A243="","",Daily_Data!E242)</f>
        <v/>
      </c>
      <c r="F243" s="23" t="str">
        <f aca="false">IF(A243="","",Daily_Data!F242)</f>
        <v/>
      </c>
      <c r="G243" s="23" t="str">
        <f aca="false">IF(A243="","",Daily_Data!G242)</f>
        <v/>
      </c>
      <c r="H243" s="25" t="str">
        <f aca="false">IF(A243="","",IFERROR(INDEX(SCD_Data!$C$3:$C$502,SUMPRODUCT((SCD_Data!$A$3:$A$502=B243)*(IFERROR(DATEVALUE(SCD_Data!$H$3:$H$502&amp;""),SCD_Data!$H$3:$H$502)&lt;=IFERROR(DATEVALUE(A243&amp;""),A243))*(IFERROR(DATEVALUE(SCD_Data!$I$3:$I$502&amp;""),SCD_Data!$I$3:$I$502)&gt;=IFERROR(DATEVALUE(A243&amp;""),A243))*(ROW(SCD_Data!$A$3:$A$502)-2))),"—"))</f>
        <v/>
      </c>
      <c r="I243" s="25" t="str">
        <f aca="false">IF(A243="","",IFERROR(INDEX(SCD_Data!$D$3:$D$502,SUMPRODUCT((SCD_Data!$A$3:$A$502=B243)*(IFERROR(DATEVALUE(SCD_Data!$H$3:$H$502&amp;""),SCD_Data!$H$3:$H$502)&lt;=IFERROR(DATEVALUE(A243&amp;""),A243))*(IFERROR(DATEVALUE(SCD_Data!$I$3:$I$502&amp;""),SCD_Data!$I$3:$I$502)&gt;=IFERROR(DATEVALUE(A243&amp;""),A243))*(ROW(SCD_Data!$A$3:$A$502)-2))),"—"))</f>
        <v/>
      </c>
      <c r="J243" s="26" t="str">
        <f aca="false">IF(A243="","",IFERROR(INDEX(SCD_Data!$E$3:$E$502,SUMPRODUCT((SCD_Data!$A$3:$A$502=B243)*(IFERROR(DATEVALUE(SCD_Data!$H$3:$H$502&amp;""),SCD_Data!$H$3:$H$502)&lt;=IFERROR(DATEVALUE(A243&amp;""),A243))*(IFERROR(DATEVALUE(SCD_Data!$I$3:$I$502&amp;""),SCD_Data!$I$3:$I$502)&gt;=IFERROR(DATEVALUE(A243&amp;""),A243))*(ROW(SCD_Data!$A$3:$A$502)-2))),"—"))</f>
        <v/>
      </c>
      <c r="K243" s="25" t="str">
        <f aca="false">IF(A243="","",IFERROR(INDEX(SCD_Data!$F$3:$F$502,SUMPRODUCT((SCD_Data!$A$3:$A$502=B243)*(IFERROR(DATEVALUE(SCD_Data!$H$3:$H$502&amp;""),SCD_Data!$H$3:$H$502)&lt;=IFERROR(DATEVALUE(A243&amp;""),A243))*(IFERROR(DATEVALUE(SCD_Data!$I$3:$I$502&amp;""),SCD_Data!$I$3:$I$502)&gt;=IFERROR(DATEVALUE(A243&amp;""),A243))*(ROW(SCD_Data!$A$3:$A$502)-2))),"—"))</f>
        <v/>
      </c>
      <c r="L243" s="25" t="str">
        <f aca="false">IF(A243="","",IFERROR(INDEX(SCD_Data!$G$3:$G$502,SUMPRODUCT((SCD_Data!$A$3:$A$502=B243)*(IFERROR(DATEVALUE(SCD_Data!$H$3:$H$502&amp;""),SCD_Data!$H$3:$H$502)&lt;=IFERROR(DATEVALUE(A243&amp;""),A243))*(IFERROR(DATEVALUE(SCD_Data!$I$3:$I$502&amp;""),SCD_Data!$I$3:$I$502)&gt;=IFERROR(DATEVALUE(A243&amp;""),A243))*(ROW(SCD_Data!$A$3:$A$502)-2))),"—"))</f>
        <v/>
      </c>
      <c r="M243" s="27" t="str">
        <f aca="false">IF(A243="","",IF(H243="—","—",IF(C243&amp;""=H243&amp;"","✓","✗")))</f>
        <v/>
      </c>
      <c r="N243" s="27" t="str">
        <f aca="false">IF(A243="","",IF(H243="—","—",IF(D243&amp;""=I243&amp;"","✓","✗")))</f>
        <v/>
      </c>
      <c r="O243" s="27" t="str">
        <f aca="false">IF(A243="","",IF(H243="—","—",IF(ABS(E243-J243)&lt;0.01,"✓","✗")))</f>
        <v/>
      </c>
      <c r="P243" s="27" t="str">
        <f aca="false">IF(A243="","",IF(H243="—","—",IF(F243&amp;""=K243&amp;"","✓","✗")))</f>
        <v/>
      </c>
      <c r="Q243" s="27" t="str">
        <f aca="false">IF(A243="","",IF(H243="—","—",IF(G243&amp;""=L243&amp;"","✓","✗")))</f>
        <v/>
      </c>
      <c r="R243" s="27" t="str">
        <f aca="false">IF(A243="","",IF(COUNTIF(M243:Q243,"—")=5,"⚠ NO SCD ROW",IF(COUNTIF(M243:Q243,"✗")&gt;0,"❌ MISMATCH","✅ MATCH")))</f>
        <v/>
      </c>
    </row>
    <row r="244" customFormat="false" ht="15" hidden="false" customHeight="true" outlineLevel="0" collapsed="false">
      <c r="A244" s="22" t="str">
        <f aca="false">IF(Daily_Data!A243="","",Daily_Data!A243)</f>
        <v/>
      </c>
      <c r="B244" s="23" t="str">
        <f aca="false">IF(Daily_Data!B243="","",Daily_Data!B243)</f>
        <v/>
      </c>
      <c r="C244" s="23" t="str">
        <f aca="false">IF(A244="","",Daily_Data!C243)</f>
        <v/>
      </c>
      <c r="D244" s="23" t="str">
        <f aca="false">IF(A244="","",Daily_Data!D243)</f>
        <v/>
      </c>
      <c r="E244" s="24" t="str">
        <f aca="false">IF(A244="","",Daily_Data!E243)</f>
        <v/>
      </c>
      <c r="F244" s="23" t="str">
        <f aca="false">IF(A244="","",Daily_Data!F243)</f>
        <v/>
      </c>
      <c r="G244" s="23" t="str">
        <f aca="false">IF(A244="","",Daily_Data!G243)</f>
        <v/>
      </c>
      <c r="H244" s="25" t="str">
        <f aca="false">IF(A244="","",IFERROR(INDEX(SCD_Data!$C$3:$C$502,SUMPRODUCT((SCD_Data!$A$3:$A$502=B244)*(IFERROR(DATEVALUE(SCD_Data!$H$3:$H$502&amp;""),SCD_Data!$H$3:$H$502)&lt;=IFERROR(DATEVALUE(A244&amp;""),A244))*(IFERROR(DATEVALUE(SCD_Data!$I$3:$I$502&amp;""),SCD_Data!$I$3:$I$502)&gt;=IFERROR(DATEVALUE(A244&amp;""),A244))*(ROW(SCD_Data!$A$3:$A$502)-2))),"—"))</f>
        <v/>
      </c>
      <c r="I244" s="25" t="str">
        <f aca="false">IF(A244="","",IFERROR(INDEX(SCD_Data!$D$3:$D$502,SUMPRODUCT((SCD_Data!$A$3:$A$502=B244)*(IFERROR(DATEVALUE(SCD_Data!$H$3:$H$502&amp;""),SCD_Data!$H$3:$H$502)&lt;=IFERROR(DATEVALUE(A244&amp;""),A244))*(IFERROR(DATEVALUE(SCD_Data!$I$3:$I$502&amp;""),SCD_Data!$I$3:$I$502)&gt;=IFERROR(DATEVALUE(A244&amp;""),A244))*(ROW(SCD_Data!$A$3:$A$502)-2))),"—"))</f>
        <v/>
      </c>
      <c r="J244" s="26" t="str">
        <f aca="false">IF(A244="","",IFERROR(INDEX(SCD_Data!$E$3:$E$502,SUMPRODUCT((SCD_Data!$A$3:$A$502=B244)*(IFERROR(DATEVALUE(SCD_Data!$H$3:$H$502&amp;""),SCD_Data!$H$3:$H$502)&lt;=IFERROR(DATEVALUE(A244&amp;""),A244))*(IFERROR(DATEVALUE(SCD_Data!$I$3:$I$502&amp;""),SCD_Data!$I$3:$I$502)&gt;=IFERROR(DATEVALUE(A244&amp;""),A244))*(ROW(SCD_Data!$A$3:$A$502)-2))),"—"))</f>
        <v/>
      </c>
      <c r="K244" s="25" t="str">
        <f aca="false">IF(A244="","",IFERROR(INDEX(SCD_Data!$F$3:$F$502,SUMPRODUCT((SCD_Data!$A$3:$A$502=B244)*(IFERROR(DATEVALUE(SCD_Data!$H$3:$H$502&amp;""),SCD_Data!$H$3:$H$502)&lt;=IFERROR(DATEVALUE(A244&amp;""),A244))*(IFERROR(DATEVALUE(SCD_Data!$I$3:$I$502&amp;""),SCD_Data!$I$3:$I$502)&gt;=IFERROR(DATEVALUE(A244&amp;""),A244))*(ROW(SCD_Data!$A$3:$A$502)-2))),"—"))</f>
        <v/>
      </c>
      <c r="L244" s="25" t="str">
        <f aca="false">IF(A244="","",IFERROR(INDEX(SCD_Data!$G$3:$G$502,SUMPRODUCT((SCD_Data!$A$3:$A$502=B244)*(IFERROR(DATEVALUE(SCD_Data!$H$3:$H$502&amp;""),SCD_Data!$H$3:$H$502)&lt;=IFERROR(DATEVALUE(A244&amp;""),A244))*(IFERROR(DATEVALUE(SCD_Data!$I$3:$I$502&amp;""),SCD_Data!$I$3:$I$502)&gt;=IFERROR(DATEVALUE(A244&amp;""),A244))*(ROW(SCD_Data!$A$3:$A$502)-2))),"—"))</f>
        <v/>
      </c>
      <c r="M244" s="27" t="str">
        <f aca="false">IF(A244="","",IF(H244="—","—",IF(C244&amp;""=H244&amp;"","✓","✗")))</f>
        <v/>
      </c>
      <c r="N244" s="27" t="str">
        <f aca="false">IF(A244="","",IF(H244="—","—",IF(D244&amp;""=I244&amp;"","✓","✗")))</f>
        <v/>
      </c>
      <c r="O244" s="27" t="str">
        <f aca="false">IF(A244="","",IF(H244="—","—",IF(ABS(E244-J244)&lt;0.01,"✓","✗")))</f>
        <v/>
      </c>
      <c r="P244" s="27" t="str">
        <f aca="false">IF(A244="","",IF(H244="—","—",IF(F244&amp;""=K244&amp;"","✓","✗")))</f>
        <v/>
      </c>
      <c r="Q244" s="27" t="str">
        <f aca="false">IF(A244="","",IF(H244="—","—",IF(G244&amp;""=L244&amp;"","✓","✗")))</f>
        <v/>
      </c>
      <c r="R244" s="27" t="str">
        <f aca="false">IF(A244="","",IF(COUNTIF(M244:Q244,"—")=5,"⚠ NO SCD ROW",IF(COUNTIF(M244:Q244,"✗")&gt;0,"❌ MISMATCH","✅ MATCH")))</f>
        <v/>
      </c>
    </row>
    <row r="245" customFormat="false" ht="15" hidden="false" customHeight="true" outlineLevel="0" collapsed="false">
      <c r="A245" s="22" t="str">
        <f aca="false">IF(Daily_Data!A244="","",Daily_Data!A244)</f>
        <v/>
      </c>
      <c r="B245" s="23" t="str">
        <f aca="false">IF(Daily_Data!B244="","",Daily_Data!B244)</f>
        <v/>
      </c>
      <c r="C245" s="23" t="str">
        <f aca="false">IF(A245="","",Daily_Data!C244)</f>
        <v/>
      </c>
      <c r="D245" s="23" t="str">
        <f aca="false">IF(A245="","",Daily_Data!D244)</f>
        <v/>
      </c>
      <c r="E245" s="24" t="str">
        <f aca="false">IF(A245="","",Daily_Data!E244)</f>
        <v/>
      </c>
      <c r="F245" s="23" t="str">
        <f aca="false">IF(A245="","",Daily_Data!F244)</f>
        <v/>
      </c>
      <c r="G245" s="23" t="str">
        <f aca="false">IF(A245="","",Daily_Data!G244)</f>
        <v/>
      </c>
      <c r="H245" s="25" t="str">
        <f aca="false">IF(A245="","",IFERROR(INDEX(SCD_Data!$C$3:$C$502,SUMPRODUCT((SCD_Data!$A$3:$A$502=B245)*(IFERROR(DATEVALUE(SCD_Data!$H$3:$H$502&amp;""),SCD_Data!$H$3:$H$502)&lt;=IFERROR(DATEVALUE(A245&amp;""),A245))*(IFERROR(DATEVALUE(SCD_Data!$I$3:$I$502&amp;""),SCD_Data!$I$3:$I$502)&gt;=IFERROR(DATEVALUE(A245&amp;""),A245))*(ROW(SCD_Data!$A$3:$A$502)-2))),"—"))</f>
        <v/>
      </c>
      <c r="I245" s="25" t="str">
        <f aca="false">IF(A245="","",IFERROR(INDEX(SCD_Data!$D$3:$D$502,SUMPRODUCT((SCD_Data!$A$3:$A$502=B245)*(IFERROR(DATEVALUE(SCD_Data!$H$3:$H$502&amp;""),SCD_Data!$H$3:$H$502)&lt;=IFERROR(DATEVALUE(A245&amp;""),A245))*(IFERROR(DATEVALUE(SCD_Data!$I$3:$I$502&amp;""),SCD_Data!$I$3:$I$502)&gt;=IFERROR(DATEVALUE(A245&amp;""),A245))*(ROW(SCD_Data!$A$3:$A$502)-2))),"—"))</f>
        <v/>
      </c>
      <c r="J245" s="26" t="str">
        <f aca="false">IF(A245="","",IFERROR(INDEX(SCD_Data!$E$3:$E$502,SUMPRODUCT((SCD_Data!$A$3:$A$502=B245)*(IFERROR(DATEVALUE(SCD_Data!$H$3:$H$502&amp;""),SCD_Data!$H$3:$H$502)&lt;=IFERROR(DATEVALUE(A245&amp;""),A245))*(IFERROR(DATEVALUE(SCD_Data!$I$3:$I$502&amp;""),SCD_Data!$I$3:$I$502)&gt;=IFERROR(DATEVALUE(A245&amp;""),A245))*(ROW(SCD_Data!$A$3:$A$502)-2))),"—"))</f>
        <v/>
      </c>
      <c r="K245" s="25" t="str">
        <f aca="false">IF(A245="","",IFERROR(INDEX(SCD_Data!$F$3:$F$502,SUMPRODUCT((SCD_Data!$A$3:$A$502=B245)*(IFERROR(DATEVALUE(SCD_Data!$H$3:$H$502&amp;""),SCD_Data!$H$3:$H$502)&lt;=IFERROR(DATEVALUE(A245&amp;""),A245))*(IFERROR(DATEVALUE(SCD_Data!$I$3:$I$502&amp;""),SCD_Data!$I$3:$I$502)&gt;=IFERROR(DATEVALUE(A245&amp;""),A245))*(ROW(SCD_Data!$A$3:$A$502)-2))),"—"))</f>
        <v/>
      </c>
      <c r="L245" s="25" t="str">
        <f aca="false">IF(A245="","",IFERROR(INDEX(SCD_Data!$G$3:$G$502,SUMPRODUCT((SCD_Data!$A$3:$A$502=B245)*(IFERROR(DATEVALUE(SCD_Data!$H$3:$H$502&amp;""),SCD_Data!$H$3:$H$502)&lt;=IFERROR(DATEVALUE(A245&amp;""),A245))*(IFERROR(DATEVALUE(SCD_Data!$I$3:$I$502&amp;""),SCD_Data!$I$3:$I$502)&gt;=IFERROR(DATEVALUE(A245&amp;""),A245))*(ROW(SCD_Data!$A$3:$A$502)-2))),"—"))</f>
        <v/>
      </c>
      <c r="M245" s="27" t="str">
        <f aca="false">IF(A245="","",IF(H245="—","—",IF(C245&amp;""=H245&amp;"","✓","✗")))</f>
        <v/>
      </c>
      <c r="N245" s="27" t="str">
        <f aca="false">IF(A245="","",IF(H245="—","—",IF(D245&amp;""=I245&amp;"","✓","✗")))</f>
        <v/>
      </c>
      <c r="O245" s="27" t="str">
        <f aca="false">IF(A245="","",IF(H245="—","—",IF(ABS(E245-J245)&lt;0.01,"✓","✗")))</f>
        <v/>
      </c>
      <c r="P245" s="27" t="str">
        <f aca="false">IF(A245="","",IF(H245="—","—",IF(F245&amp;""=K245&amp;"","✓","✗")))</f>
        <v/>
      </c>
      <c r="Q245" s="27" t="str">
        <f aca="false">IF(A245="","",IF(H245="—","—",IF(G245&amp;""=L245&amp;"","✓","✗")))</f>
        <v/>
      </c>
      <c r="R245" s="27" t="str">
        <f aca="false">IF(A245="","",IF(COUNTIF(M245:Q245,"—")=5,"⚠ NO SCD ROW",IF(COUNTIF(M245:Q245,"✗")&gt;0,"❌ MISMATCH","✅ MATCH")))</f>
        <v/>
      </c>
    </row>
    <row r="246" customFormat="false" ht="15" hidden="false" customHeight="true" outlineLevel="0" collapsed="false">
      <c r="A246" s="22" t="str">
        <f aca="false">IF(Daily_Data!A245="","",Daily_Data!A245)</f>
        <v/>
      </c>
      <c r="B246" s="23" t="str">
        <f aca="false">IF(Daily_Data!B245="","",Daily_Data!B245)</f>
        <v/>
      </c>
      <c r="C246" s="23" t="str">
        <f aca="false">IF(A246="","",Daily_Data!C245)</f>
        <v/>
      </c>
      <c r="D246" s="23" t="str">
        <f aca="false">IF(A246="","",Daily_Data!D245)</f>
        <v/>
      </c>
      <c r="E246" s="24" t="str">
        <f aca="false">IF(A246="","",Daily_Data!E245)</f>
        <v/>
      </c>
      <c r="F246" s="23" t="str">
        <f aca="false">IF(A246="","",Daily_Data!F245)</f>
        <v/>
      </c>
      <c r="G246" s="23" t="str">
        <f aca="false">IF(A246="","",Daily_Data!G245)</f>
        <v/>
      </c>
      <c r="H246" s="25" t="str">
        <f aca="false">IF(A246="","",IFERROR(INDEX(SCD_Data!$C$3:$C$502,SUMPRODUCT((SCD_Data!$A$3:$A$502=B246)*(IFERROR(DATEVALUE(SCD_Data!$H$3:$H$502&amp;""),SCD_Data!$H$3:$H$502)&lt;=IFERROR(DATEVALUE(A246&amp;""),A246))*(IFERROR(DATEVALUE(SCD_Data!$I$3:$I$502&amp;""),SCD_Data!$I$3:$I$502)&gt;=IFERROR(DATEVALUE(A246&amp;""),A246))*(ROW(SCD_Data!$A$3:$A$502)-2))),"—"))</f>
        <v/>
      </c>
      <c r="I246" s="25" t="str">
        <f aca="false">IF(A246="","",IFERROR(INDEX(SCD_Data!$D$3:$D$502,SUMPRODUCT((SCD_Data!$A$3:$A$502=B246)*(IFERROR(DATEVALUE(SCD_Data!$H$3:$H$502&amp;""),SCD_Data!$H$3:$H$502)&lt;=IFERROR(DATEVALUE(A246&amp;""),A246))*(IFERROR(DATEVALUE(SCD_Data!$I$3:$I$502&amp;""),SCD_Data!$I$3:$I$502)&gt;=IFERROR(DATEVALUE(A246&amp;""),A246))*(ROW(SCD_Data!$A$3:$A$502)-2))),"—"))</f>
        <v/>
      </c>
      <c r="J246" s="26" t="str">
        <f aca="false">IF(A246="","",IFERROR(INDEX(SCD_Data!$E$3:$E$502,SUMPRODUCT((SCD_Data!$A$3:$A$502=B246)*(IFERROR(DATEVALUE(SCD_Data!$H$3:$H$502&amp;""),SCD_Data!$H$3:$H$502)&lt;=IFERROR(DATEVALUE(A246&amp;""),A246))*(IFERROR(DATEVALUE(SCD_Data!$I$3:$I$502&amp;""),SCD_Data!$I$3:$I$502)&gt;=IFERROR(DATEVALUE(A246&amp;""),A246))*(ROW(SCD_Data!$A$3:$A$502)-2))),"—"))</f>
        <v/>
      </c>
      <c r="K246" s="25" t="str">
        <f aca="false">IF(A246="","",IFERROR(INDEX(SCD_Data!$F$3:$F$502,SUMPRODUCT((SCD_Data!$A$3:$A$502=B246)*(IFERROR(DATEVALUE(SCD_Data!$H$3:$H$502&amp;""),SCD_Data!$H$3:$H$502)&lt;=IFERROR(DATEVALUE(A246&amp;""),A246))*(IFERROR(DATEVALUE(SCD_Data!$I$3:$I$502&amp;""),SCD_Data!$I$3:$I$502)&gt;=IFERROR(DATEVALUE(A246&amp;""),A246))*(ROW(SCD_Data!$A$3:$A$502)-2))),"—"))</f>
        <v/>
      </c>
      <c r="L246" s="25" t="str">
        <f aca="false">IF(A246="","",IFERROR(INDEX(SCD_Data!$G$3:$G$502,SUMPRODUCT((SCD_Data!$A$3:$A$502=B246)*(IFERROR(DATEVALUE(SCD_Data!$H$3:$H$502&amp;""),SCD_Data!$H$3:$H$502)&lt;=IFERROR(DATEVALUE(A246&amp;""),A246))*(IFERROR(DATEVALUE(SCD_Data!$I$3:$I$502&amp;""),SCD_Data!$I$3:$I$502)&gt;=IFERROR(DATEVALUE(A246&amp;""),A246))*(ROW(SCD_Data!$A$3:$A$502)-2))),"—"))</f>
        <v/>
      </c>
      <c r="M246" s="27" t="str">
        <f aca="false">IF(A246="","",IF(H246="—","—",IF(C246&amp;""=H246&amp;"","✓","✗")))</f>
        <v/>
      </c>
      <c r="N246" s="27" t="str">
        <f aca="false">IF(A246="","",IF(H246="—","—",IF(D246&amp;""=I246&amp;"","✓","✗")))</f>
        <v/>
      </c>
      <c r="O246" s="27" t="str">
        <f aca="false">IF(A246="","",IF(H246="—","—",IF(ABS(E246-J246)&lt;0.01,"✓","✗")))</f>
        <v/>
      </c>
      <c r="P246" s="27" t="str">
        <f aca="false">IF(A246="","",IF(H246="—","—",IF(F246&amp;""=K246&amp;"","✓","✗")))</f>
        <v/>
      </c>
      <c r="Q246" s="27" t="str">
        <f aca="false">IF(A246="","",IF(H246="—","—",IF(G246&amp;""=L246&amp;"","✓","✗")))</f>
        <v/>
      </c>
      <c r="R246" s="27" t="str">
        <f aca="false">IF(A246="","",IF(COUNTIF(M246:Q246,"—")=5,"⚠ NO SCD ROW",IF(COUNTIF(M246:Q246,"✗")&gt;0,"❌ MISMATCH","✅ MATCH")))</f>
        <v/>
      </c>
    </row>
    <row r="247" customFormat="false" ht="15" hidden="false" customHeight="true" outlineLevel="0" collapsed="false">
      <c r="A247" s="22" t="str">
        <f aca="false">IF(Daily_Data!A246="","",Daily_Data!A246)</f>
        <v/>
      </c>
      <c r="B247" s="23" t="str">
        <f aca="false">IF(Daily_Data!B246="","",Daily_Data!B246)</f>
        <v/>
      </c>
      <c r="C247" s="23" t="str">
        <f aca="false">IF(A247="","",Daily_Data!C246)</f>
        <v/>
      </c>
      <c r="D247" s="23" t="str">
        <f aca="false">IF(A247="","",Daily_Data!D246)</f>
        <v/>
      </c>
      <c r="E247" s="24" t="str">
        <f aca="false">IF(A247="","",Daily_Data!E246)</f>
        <v/>
      </c>
      <c r="F247" s="23" t="str">
        <f aca="false">IF(A247="","",Daily_Data!F246)</f>
        <v/>
      </c>
      <c r="G247" s="23" t="str">
        <f aca="false">IF(A247="","",Daily_Data!G246)</f>
        <v/>
      </c>
      <c r="H247" s="25" t="str">
        <f aca="false">IF(A247="","",IFERROR(INDEX(SCD_Data!$C$3:$C$502,SUMPRODUCT((SCD_Data!$A$3:$A$502=B247)*(IFERROR(DATEVALUE(SCD_Data!$H$3:$H$502&amp;""),SCD_Data!$H$3:$H$502)&lt;=IFERROR(DATEVALUE(A247&amp;""),A247))*(IFERROR(DATEVALUE(SCD_Data!$I$3:$I$502&amp;""),SCD_Data!$I$3:$I$502)&gt;=IFERROR(DATEVALUE(A247&amp;""),A247))*(ROW(SCD_Data!$A$3:$A$502)-2))),"—"))</f>
        <v/>
      </c>
      <c r="I247" s="25" t="str">
        <f aca="false">IF(A247="","",IFERROR(INDEX(SCD_Data!$D$3:$D$502,SUMPRODUCT((SCD_Data!$A$3:$A$502=B247)*(IFERROR(DATEVALUE(SCD_Data!$H$3:$H$502&amp;""),SCD_Data!$H$3:$H$502)&lt;=IFERROR(DATEVALUE(A247&amp;""),A247))*(IFERROR(DATEVALUE(SCD_Data!$I$3:$I$502&amp;""),SCD_Data!$I$3:$I$502)&gt;=IFERROR(DATEVALUE(A247&amp;""),A247))*(ROW(SCD_Data!$A$3:$A$502)-2))),"—"))</f>
        <v/>
      </c>
      <c r="J247" s="26" t="str">
        <f aca="false">IF(A247="","",IFERROR(INDEX(SCD_Data!$E$3:$E$502,SUMPRODUCT((SCD_Data!$A$3:$A$502=B247)*(IFERROR(DATEVALUE(SCD_Data!$H$3:$H$502&amp;""),SCD_Data!$H$3:$H$502)&lt;=IFERROR(DATEVALUE(A247&amp;""),A247))*(IFERROR(DATEVALUE(SCD_Data!$I$3:$I$502&amp;""),SCD_Data!$I$3:$I$502)&gt;=IFERROR(DATEVALUE(A247&amp;""),A247))*(ROW(SCD_Data!$A$3:$A$502)-2))),"—"))</f>
        <v/>
      </c>
      <c r="K247" s="25" t="str">
        <f aca="false">IF(A247="","",IFERROR(INDEX(SCD_Data!$F$3:$F$502,SUMPRODUCT((SCD_Data!$A$3:$A$502=B247)*(IFERROR(DATEVALUE(SCD_Data!$H$3:$H$502&amp;""),SCD_Data!$H$3:$H$502)&lt;=IFERROR(DATEVALUE(A247&amp;""),A247))*(IFERROR(DATEVALUE(SCD_Data!$I$3:$I$502&amp;""),SCD_Data!$I$3:$I$502)&gt;=IFERROR(DATEVALUE(A247&amp;""),A247))*(ROW(SCD_Data!$A$3:$A$502)-2))),"—"))</f>
        <v/>
      </c>
      <c r="L247" s="25" t="str">
        <f aca="false">IF(A247="","",IFERROR(INDEX(SCD_Data!$G$3:$G$502,SUMPRODUCT((SCD_Data!$A$3:$A$502=B247)*(IFERROR(DATEVALUE(SCD_Data!$H$3:$H$502&amp;""),SCD_Data!$H$3:$H$502)&lt;=IFERROR(DATEVALUE(A247&amp;""),A247))*(IFERROR(DATEVALUE(SCD_Data!$I$3:$I$502&amp;""),SCD_Data!$I$3:$I$502)&gt;=IFERROR(DATEVALUE(A247&amp;""),A247))*(ROW(SCD_Data!$A$3:$A$502)-2))),"—"))</f>
        <v/>
      </c>
      <c r="M247" s="27" t="str">
        <f aca="false">IF(A247="","",IF(H247="—","—",IF(C247&amp;""=H247&amp;"","✓","✗")))</f>
        <v/>
      </c>
      <c r="N247" s="27" t="str">
        <f aca="false">IF(A247="","",IF(H247="—","—",IF(D247&amp;""=I247&amp;"","✓","✗")))</f>
        <v/>
      </c>
      <c r="O247" s="27" t="str">
        <f aca="false">IF(A247="","",IF(H247="—","—",IF(ABS(E247-J247)&lt;0.01,"✓","✗")))</f>
        <v/>
      </c>
      <c r="P247" s="27" t="str">
        <f aca="false">IF(A247="","",IF(H247="—","—",IF(F247&amp;""=K247&amp;"","✓","✗")))</f>
        <v/>
      </c>
      <c r="Q247" s="27" t="str">
        <f aca="false">IF(A247="","",IF(H247="—","—",IF(G247&amp;""=L247&amp;"","✓","✗")))</f>
        <v/>
      </c>
      <c r="R247" s="27" t="str">
        <f aca="false">IF(A247="","",IF(COUNTIF(M247:Q247,"—")=5,"⚠ NO SCD ROW",IF(COUNTIF(M247:Q247,"✗")&gt;0,"❌ MISMATCH","✅ MATCH")))</f>
        <v/>
      </c>
    </row>
    <row r="248" customFormat="false" ht="15" hidden="false" customHeight="true" outlineLevel="0" collapsed="false">
      <c r="A248" s="22" t="str">
        <f aca="false">IF(Daily_Data!A247="","",Daily_Data!A247)</f>
        <v/>
      </c>
      <c r="B248" s="23" t="str">
        <f aca="false">IF(Daily_Data!B247="","",Daily_Data!B247)</f>
        <v/>
      </c>
      <c r="C248" s="23" t="str">
        <f aca="false">IF(A248="","",Daily_Data!C247)</f>
        <v/>
      </c>
      <c r="D248" s="23" t="str">
        <f aca="false">IF(A248="","",Daily_Data!D247)</f>
        <v/>
      </c>
      <c r="E248" s="24" t="str">
        <f aca="false">IF(A248="","",Daily_Data!E247)</f>
        <v/>
      </c>
      <c r="F248" s="23" t="str">
        <f aca="false">IF(A248="","",Daily_Data!F247)</f>
        <v/>
      </c>
      <c r="G248" s="23" t="str">
        <f aca="false">IF(A248="","",Daily_Data!G247)</f>
        <v/>
      </c>
      <c r="H248" s="25" t="str">
        <f aca="false">IF(A248="","",IFERROR(INDEX(SCD_Data!$C$3:$C$502,SUMPRODUCT((SCD_Data!$A$3:$A$502=B248)*(IFERROR(DATEVALUE(SCD_Data!$H$3:$H$502&amp;""),SCD_Data!$H$3:$H$502)&lt;=IFERROR(DATEVALUE(A248&amp;""),A248))*(IFERROR(DATEVALUE(SCD_Data!$I$3:$I$502&amp;""),SCD_Data!$I$3:$I$502)&gt;=IFERROR(DATEVALUE(A248&amp;""),A248))*(ROW(SCD_Data!$A$3:$A$502)-2))),"—"))</f>
        <v/>
      </c>
      <c r="I248" s="25" t="str">
        <f aca="false">IF(A248="","",IFERROR(INDEX(SCD_Data!$D$3:$D$502,SUMPRODUCT((SCD_Data!$A$3:$A$502=B248)*(IFERROR(DATEVALUE(SCD_Data!$H$3:$H$502&amp;""),SCD_Data!$H$3:$H$502)&lt;=IFERROR(DATEVALUE(A248&amp;""),A248))*(IFERROR(DATEVALUE(SCD_Data!$I$3:$I$502&amp;""),SCD_Data!$I$3:$I$502)&gt;=IFERROR(DATEVALUE(A248&amp;""),A248))*(ROW(SCD_Data!$A$3:$A$502)-2))),"—"))</f>
        <v/>
      </c>
      <c r="J248" s="26" t="str">
        <f aca="false">IF(A248="","",IFERROR(INDEX(SCD_Data!$E$3:$E$502,SUMPRODUCT((SCD_Data!$A$3:$A$502=B248)*(IFERROR(DATEVALUE(SCD_Data!$H$3:$H$502&amp;""),SCD_Data!$H$3:$H$502)&lt;=IFERROR(DATEVALUE(A248&amp;""),A248))*(IFERROR(DATEVALUE(SCD_Data!$I$3:$I$502&amp;""),SCD_Data!$I$3:$I$502)&gt;=IFERROR(DATEVALUE(A248&amp;""),A248))*(ROW(SCD_Data!$A$3:$A$502)-2))),"—"))</f>
        <v/>
      </c>
      <c r="K248" s="25" t="str">
        <f aca="false">IF(A248="","",IFERROR(INDEX(SCD_Data!$F$3:$F$502,SUMPRODUCT((SCD_Data!$A$3:$A$502=B248)*(IFERROR(DATEVALUE(SCD_Data!$H$3:$H$502&amp;""),SCD_Data!$H$3:$H$502)&lt;=IFERROR(DATEVALUE(A248&amp;""),A248))*(IFERROR(DATEVALUE(SCD_Data!$I$3:$I$502&amp;""),SCD_Data!$I$3:$I$502)&gt;=IFERROR(DATEVALUE(A248&amp;""),A248))*(ROW(SCD_Data!$A$3:$A$502)-2))),"—"))</f>
        <v/>
      </c>
      <c r="L248" s="25" t="str">
        <f aca="false">IF(A248="","",IFERROR(INDEX(SCD_Data!$G$3:$G$502,SUMPRODUCT((SCD_Data!$A$3:$A$502=B248)*(IFERROR(DATEVALUE(SCD_Data!$H$3:$H$502&amp;""),SCD_Data!$H$3:$H$502)&lt;=IFERROR(DATEVALUE(A248&amp;""),A248))*(IFERROR(DATEVALUE(SCD_Data!$I$3:$I$502&amp;""),SCD_Data!$I$3:$I$502)&gt;=IFERROR(DATEVALUE(A248&amp;""),A248))*(ROW(SCD_Data!$A$3:$A$502)-2))),"—"))</f>
        <v/>
      </c>
      <c r="M248" s="27" t="str">
        <f aca="false">IF(A248="","",IF(H248="—","—",IF(C248&amp;""=H248&amp;"","✓","✗")))</f>
        <v/>
      </c>
      <c r="N248" s="27" t="str">
        <f aca="false">IF(A248="","",IF(H248="—","—",IF(D248&amp;""=I248&amp;"","✓","✗")))</f>
        <v/>
      </c>
      <c r="O248" s="27" t="str">
        <f aca="false">IF(A248="","",IF(H248="—","—",IF(ABS(E248-J248)&lt;0.01,"✓","✗")))</f>
        <v/>
      </c>
      <c r="P248" s="27" t="str">
        <f aca="false">IF(A248="","",IF(H248="—","—",IF(F248&amp;""=K248&amp;"","✓","✗")))</f>
        <v/>
      </c>
      <c r="Q248" s="27" t="str">
        <f aca="false">IF(A248="","",IF(H248="—","—",IF(G248&amp;""=L248&amp;"","✓","✗")))</f>
        <v/>
      </c>
      <c r="R248" s="27" t="str">
        <f aca="false">IF(A248="","",IF(COUNTIF(M248:Q248,"—")=5,"⚠ NO SCD ROW",IF(COUNTIF(M248:Q248,"✗")&gt;0,"❌ MISMATCH","✅ MATCH")))</f>
        <v/>
      </c>
    </row>
    <row r="249" customFormat="false" ht="15" hidden="false" customHeight="true" outlineLevel="0" collapsed="false">
      <c r="A249" s="22" t="str">
        <f aca="false">IF(Daily_Data!A248="","",Daily_Data!A248)</f>
        <v/>
      </c>
      <c r="B249" s="23" t="str">
        <f aca="false">IF(Daily_Data!B248="","",Daily_Data!B248)</f>
        <v/>
      </c>
      <c r="C249" s="23" t="str">
        <f aca="false">IF(A249="","",Daily_Data!C248)</f>
        <v/>
      </c>
      <c r="D249" s="23" t="str">
        <f aca="false">IF(A249="","",Daily_Data!D248)</f>
        <v/>
      </c>
      <c r="E249" s="24" t="str">
        <f aca="false">IF(A249="","",Daily_Data!E248)</f>
        <v/>
      </c>
      <c r="F249" s="23" t="str">
        <f aca="false">IF(A249="","",Daily_Data!F248)</f>
        <v/>
      </c>
      <c r="G249" s="23" t="str">
        <f aca="false">IF(A249="","",Daily_Data!G248)</f>
        <v/>
      </c>
      <c r="H249" s="25" t="str">
        <f aca="false">IF(A249="","",IFERROR(INDEX(SCD_Data!$C$3:$C$502,SUMPRODUCT((SCD_Data!$A$3:$A$502=B249)*(IFERROR(DATEVALUE(SCD_Data!$H$3:$H$502&amp;""),SCD_Data!$H$3:$H$502)&lt;=IFERROR(DATEVALUE(A249&amp;""),A249))*(IFERROR(DATEVALUE(SCD_Data!$I$3:$I$502&amp;""),SCD_Data!$I$3:$I$502)&gt;=IFERROR(DATEVALUE(A249&amp;""),A249))*(ROW(SCD_Data!$A$3:$A$502)-2))),"—"))</f>
        <v/>
      </c>
      <c r="I249" s="25" t="str">
        <f aca="false">IF(A249="","",IFERROR(INDEX(SCD_Data!$D$3:$D$502,SUMPRODUCT((SCD_Data!$A$3:$A$502=B249)*(IFERROR(DATEVALUE(SCD_Data!$H$3:$H$502&amp;""),SCD_Data!$H$3:$H$502)&lt;=IFERROR(DATEVALUE(A249&amp;""),A249))*(IFERROR(DATEVALUE(SCD_Data!$I$3:$I$502&amp;""),SCD_Data!$I$3:$I$502)&gt;=IFERROR(DATEVALUE(A249&amp;""),A249))*(ROW(SCD_Data!$A$3:$A$502)-2))),"—"))</f>
        <v/>
      </c>
      <c r="J249" s="26" t="str">
        <f aca="false">IF(A249="","",IFERROR(INDEX(SCD_Data!$E$3:$E$502,SUMPRODUCT((SCD_Data!$A$3:$A$502=B249)*(IFERROR(DATEVALUE(SCD_Data!$H$3:$H$502&amp;""),SCD_Data!$H$3:$H$502)&lt;=IFERROR(DATEVALUE(A249&amp;""),A249))*(IFERROR(DATEVALUE(SCD_Data!$I$3:$I$502&amp;""),SCD_Data!$I$3:$I$502)&gt;=IFERROR(DATEVALUE(A249&amp;""),A249))*(ROW(SCD_Data!$A$3:$A$502)-2))),"—"))</f>
        <v/>
      </c>
      <c r="K249" s="25" t="str">
        <f aca="false">IF(A249="","",IFERROR(INDEX(SCD_Data!$F$3:$F$502,SUMPRODUCT((SCD_Data!$A$3:$A$502=B249)*(IFERROR(DATEVALUE(SCD_Data!$H$3:$H$502&amp;""),SCD_Data!$H$3:$H$502)&lt;=IFERROR(DATEVALUE(A249&amp;""),A249))*(IFERROR(DATEVALUE(SCD_Data!$I$3:$I$502&amp;""),SCD_Data!$I$3:$I$502)&gt;=IFERROR(DATEVALUE(A249&amp;""),A249))*(ROW(SCD_Data!$A$3:$A$502)-2))),"—"))</f>
        <v/>
      </c>
      <c r="L249" s="25" t="str">
        <f aca="false">IF(A249="","",IFERROR(INDEX(SCD_Data!$G$3:$G$502,SUMPRODUCT((SCD_Data!$A$3:$A$502=B249)*(IFERROR(DATEVALUE(SCD_Data!$H$3:$H$502&amp;""),SCD_Data!$H$3:$H$502)&lt;=IFERROR(DATEVALUE(A249&amp;""),A249))*(IFERROR(DATEVALUE(SCD_Data!$I$3:$I$502&amp;""),SCD_Data!$I$3:$I$502)&gt;=IFERROR(DATEVALUE(A249&amp;""),A249))*(ROW(SCD_Data!$A$3:$A$502)-2))),"—"))</f>
        <v/>
      </c>
      <c r="M249" s="27" t="str">
        <f aca="false">IF(A249="","",IF(H249="—","—",IF(C249&amp;""=H249&amp;"","✓","✗")))</f>
        <v/>
      </c>
      <c r="N249" s="27" t="str">
        <f aca="false">IF(A249="","",IF(H249="—","—",IF(D249&amp;""=I249&amp;"","✓","✗")))</f>
        <v/>
      </c>
      <c r="O249" s="27" t="str">
        <f aca="false">IF(A249="","",IF(H249="—","—",IF(ABS(E249-J249)&lt;0.01,"✓","✗")))</f>
        <v/>
      </c>
      <c r="P249" s="27" t="str">
        <f aca="false">IF(A249="","",IF(H249="—","—",IF(F249&amp;""=K249&amp;"","✓","✗")))</f>
        <v/>
      </c>
      <c r="Q249" s="27" t="str">
        <f aca="false">IF(A249="","",IF(H249="—","—",IF(G249&amp;""=L249&amp;"","✓","✗")))</f>
        <v/>
      </c>
      <c r="R249" s="27" t="str">
        <f aca="false">IF(A249="","",IF(COUNTIF(M249:Q249,"—")=5,"⚠ NO SCD ROW",IF(COUNTIF(M249:Q249,"✗")&gt;0,"❌ MISMATCH","✅ MATCH")))</f>
        <v/>
      </c>
    </row>
    <row r="250" customFormat="false" ht="15" hidden="false" customHeight="true" outlineLevel="0" collapsed="false">
      <c r="A250" s="22" t="str">
        <f aca="false">IF(Daily_Data!A249="","",Daily_Data!A249)</f>
        <v/>
      </c>
      <c r="B250" s="23" t="str">
        <f aca="false">IF(Daily_Data!B249="","",Daily_Data!B249)</f>
        <v/>
      </c>
      <c r="C250" s="23" t="str">
        <f aca="false">IF(A250="","",Daily_Data!C249)</f>
        <v/>
      </c>
      <c r="D250" s="23" t="str">
        <f aca="false">IF(A250="","",Daily_Data!D249)</f>
        <v/>
      </c>
      <c r="E250" s="24" t="str">
        <f aca="false">IF(A250="","",Daily_Data!E249)</f>
        <v/>
      </c>
      <c r="F250" s="23" t="str">
        <f aca="false">IF(A250="","",Daily_Data!F249)</f>
        <v/>
      </c>
      <c r="G250" s="23" t="str">
        <f aca="false">IF(A250="","",Daily_Data!G249)</f>
        <v/>
      </c>
      <c r="H250" s="25" t="str">
        <f aca="false">IF(A250="","",IFERROR(INDEX(SCD_Data!$C$3:$C$502,SUMPRODUCT((SCD_Data!$A$3:$A$502=B250)*(IFERROR(DATEVALUE(SCD_Data!$H$3:$H$502&amp;""),SCD_Data!$H$3:$H$502)&lt;=IFERROR(DATEVALUE(A250&amp;""),A250))*(IFERROR(DATEVALUE(SCD_Data!$I$3:$I$502&amp;""),SCD_Data!$I$3:$I$502)&gt;=IFERROR(DATEVALUE(A250&amp;""),A250))*(ROW(SCD_Data!$A$3:$A$502)-2))),"—"))</f>
        <v/>
      </c>
      <c r="I250" s="25" t="str">
        <f aca="false">IF(A250="","",IFERROR(INDEX(SCD_Data!$D$3:$D$502,SUMPRODUCT((SCD_Data!$A$3:$A$502=B250)*(IFERROR(DATEVALUE(SCD_Data!$H$3:$H$502&amp;""),SCD_Data!$H$3:$H$502)&lt;=IFERROR(DATEVALUE(A250&amp;""),A250))*(IFERROR(DATEVALUE(SCD_Data!$I$3:$I$502&amp;""),SCD_Data!$I$3:$I$502)&gt;=IFERROR(DATEVALUE(A250&amp;""),A250))*(ROW(SCD_Data!$A$3:$A$502)-2))),"—"))</f>
        <v/>
      </c>
      <c r="J250" s="26" t="str">
        <f aca="false">IF(A250="","",IFERROR(INDEX(SCD_Data!$E$3:$E$502,SUMPRODUCT((SCD_Data!$A$3:$A$502=B250)*(IFERROR(DATEVALUE(SCD_Data!$H$3:$H$502&amp;""),SCD_Data!$H$3:$H$502)&lt;=IFERROR(DATEVALUE(A250&amp;""),A250))*(IFERROR(DATEVALUE(SCD_Data!$I$3:$I$502&amp;""),SCD_Data!$I$3:$I$502)&gt;=IFERROR(DATEVALUE(A250&amp;""),A250))*(ROW(SCD_Data!$A$3:$A$502)-2))),"—"))</f>
        <v/>
      </c>
      <c r="K250" s="25" t="str">
        <f aca="false">IF(A250="","",IFERROR(INDEX(SCD_Data!$F$3:$F$502,SUMPRODUCT((SCD_Data!$A$3:$A$502=B250)*(IFERROR(DATEVALUE(SCD_Data!$H$3:$H$502&amp;""),SCD_Data!$H$3:$H$502)&lt;=IFERROR(DATEVALUE(A250&amp;""),A250))*(IFERROR(DATEVALUE(SCD_Data!$I$3:$I$502&amp;""),SCD_Data!$I$3:$I$502)&gt;=IFERROR(DATEVALUE(A250&amp;""),A250))*(ROW(SCD_Data!$A$3:$A$502)-2))),"—"))</f>
        <v/>
      </c>
      <c r="L250" s="25" t="str">
        <f aca="false">IF(A250="","",IFERROR(INDEX(SCD_Data!$G$3:$G$502,SUMPRODUCT((SCD_Data!$A$3:$A$502=B250)*(IFERROR(DATEVALUE(SCD_Data!$H$3:$H$502&amp;""),SCD_Data!$H$3:$H$502)&lt;=IFERROR(DATEVALUE(A250&amp;""),A250))*(IFERROR(DATEVALUE(SCD_Data!$I$3:$I$502&amp;""),SCD_Data!$I$3:$I$502)&gt;=IFERROR(DATEVALUE(A250&amp;""),A250))*(ROW(SCD_Data!$A$3:$A$502)-2))),"—"))</f>
        <v/>
      </c>
      <c r="M250" s="27" t="str">
        <f aca="false">IF(A250="","",IF(H250="—","—",IF(C250&amp;""=H250&amp;"","✓","✗")))</f>
        <v/>
      </c>
      <c r="N250" s="27" t="str">
        <f aca="false">IF(A250="","",IF(H250="—","—",IF(D250&amp;""=I250&amp;"","✓","✗")))</f>
        <v/>
      </c>
      <c r="O250" s="27" t="str">
        <f aca="false">IF(A250="","",IF(H250="—","—",IF(ABS(E250-J250)&lt;0.01,"✓","✗")))</f>
        <v/>
      </c>
      <c r="P250" s="27" t="str">
        <f aca="false">IF(A250="","",IF(H250="—","—",IF(F250&amp;""=K250&amp;"","✓","✗")))</f>
        <v/>
      </c>
      <c r="Q250" s="27" t="str">
        <f aca="false">IF(A250="","",IF(H250="—","—",IF(G250&amp;""=L250&amp;"","✓","✗")))</f>
        <v/>
      </c>
      <c r="R250" s="27" t="str">
        <f aca="false">IF(A250="","",IF(COUNTIF(M250:Q250,"—")=5,"⚠ NO SCD ROW",IF(COUNTIF(M250:Q250,"✗")&gt;0,"❌ MISMATCH","✅ MATCH")))</f>
        <v/>
      </c>
    </row>
    <row r="251" customFormat="false" ht="15" hidden="false" customHeight="true" outlineLevel="0" collapsed="false">
      <c r="A251" s="22" t="str">
        <f aca="false">IF(Daily_Data!A250="","",Daily_Data!A250)</f>
        <v/>
      </c>
      <c r="B251" s="23" t="str">
        <f aca="false">IF(Daily_Data!B250="","",Daily_Data!B250)</f>
        <v/>
      </c>
      <c r="C251" s="23" t="str">
        <f aca="false">IF(A251="","",Daily_Data!C250)</f>
        <v/>
      </c>
      <c r="D251" s="23" t="str">
        <f aca="false">IF(A251="","",Daily_Data!D250)</f>
        <v/>
      </c>
      <c r="E251" s="24" t="str">
        <f aca="false">IF(A251="","",Daily_Data!E250)</f>
        <v/>
      </c>
      <c r="F251" s="23" t="str">
        <f aca="false">IF(A251="","",Daily_Data!F250)</f>
        <v/>
      </c>
      <c r="G251" s="23" t="str">
        <f aca="false">IF(A251="","",Daily_Data!G250)</f>
        <v/>
      </c>
      <c r="H251" s="25" t="str">
        <f aca="false">IF(A251="","",IFERROR(INDEX(SCD_Data!$C$3:$C$502,SUMPRODUCT((SCD_Data!$A$3:$A$502=B251)*(IFERROR(DATEVALUE(SCD_Data!$H$3:$H$502&amp;""),SCD_Data!$H$3:$H$502)&lt;=IFERROR(DATEVALUE(A251&amp;""),A251))*(IFERROR(DATEVALUE(SCD_Data!$I$3:$I$502&amp;""),SCD_Data!$I$3:$I$502)&gt;=IFERROR(DATEVALUE(A251&amp;""),A251))*(ROW(SCD_Data!$A$3:$A$502)-2))),"—"))</f>
        <v/>
      </c>
      <c r="I251" s="25" t="str">
        <f aca="false">IF(A251="","",IFERROR(INDEX(SCD_Data!$D$3:$D$502,SUMPRODUCT((SCD_Data!$A$3:$A$502=B251)*(IFERROR(DATEVALUE(SCD_Data!$H$3:$H$502&amp;""),SCD_Data!$H$3:$H$502)&lt;=IFERROR(DATEVALUE(A251&amp;""),A251))*(IFERROR(DATEVALUE(SCD_Data!$I$3:$I$502&amp;""),SCD_Data!$I$3:$I$502)&gt;=IFERROR(DATEVALUE(A251&amp;""),A251))*(ROW(SCD_Data!$A$3:$A$502)-2))),"—"))</f>
        <v/>
      </c>
      <c r="J251" s="26" t="str">
        <f aca="false">IF(A251="","",IFERROR(INDEX(SCD_Data!$E$3:$E$502,SUMPRODUCT((SCD_Data!$A$3:$A$502=B251)*(IFERROR(DATEVALUE(SCD_Data!$H$3:$H$502&amp;""),SCD_Data!$H$3:$H$502)&lt;=IFERROR(DATEVALUE(A251&amp;""),A251))*(IFERROR(DATEVALUE(SCD_Data!$I$3:$I$502&amp;""),SCD_Data!$I$3:$I$502)&gt;=IFERROR(DATEVALUE(A251&amp;""),A251))*(ROW(SCD_Data!$A$3:$A$502)-2))),"—"))</f>
        <v/>
      </c>
      <c r="K251" s="25" t="str">
        <f aca="false">IF(A251="","",IFERROR(INDEX(SCD_Data!$F$3:$F$502,SUMPRODUCT((SCD_Data!$A$3:$A$502=B251)*(IFERROR(DATEVALUE(SCD_Data!$H$3:$H$502&amp;""),SCD_Data!$H$3:$H$502)&lt;=IFERROR(DATEVALUE(A251&amp;""),A251))*(IFERROR(DATEVALUE(SCD_Data!$I$3:$I$502&amp;""),SCD_Data!$I$3:$I$502)&gt;=IFERROR(DATEVALUE(A251&amp;""),A251))*(ROW(SCD_Data!$A$3:$A$502)-2))),"—"))</f>
        <v/>
      </c>
      <c r="L251" s="25" t="str">
        <f aca="false">IF(A251="","",IFERROR(INDEX(SCD_Data!$G$3:$G$502,SUMPRODUCT((SCD_Data!$A$3:$A$502=B251)*(IFERROR(DATEVALUE(SCD_Data!$H$3:$H$502&amp;""),SCD_Data!$H$3:$H$502)&lt;=IFERROR(DATEVALUE(A251&amp;""),A251))*(IFERROR(DATEVALUE(SCD_Data!$I$3:$I$502&amp;""),SCD_Data!$I$3:$I$502)&gt;=IFERROR(DATEVALUE(A251&amp;""),A251))*(ROW(SCD_Data!$A$3:$A$502)-2))),"—"))</f>
        <v/>
      </c>
      <c r="M251" s="27" t="str">
        <f aca="false">IF(A251="","",IF(H251="—","—",IF(C251&amp;""=H251&amp;"","✓","✗")))</f>
        <v/>
      </c>
      <c r="N251" s="27" t="str">
        <f aca="false">IF(A251="","",IF(H251="—","—",IF(D251&amp;""=I251&amp;"","✓","✗")))</f>
        <v/>
      </c>
      <c r="O251" s="27" t="str">
        <f aca="false">IF(A251="","",IF(H251="—","—",IF(ABS(E251-J251)&lt;0.01,"✓","✗")))</f>
        <v/>
      </c>
      <c r="P251" s="27" t="str">
        <f aca="false">IF(A251="","",IF(H251="—","—",IF(F251&amp;""=K251&amp;"","✓","✗")))</f>
        <v/>
      </c>
      <c r="Q251" s="27" t="str">
        <f aca="false">IF(A251="","",IF(H251="—","—",IF(G251&amp;""=L251&amp;"","✓","✗")))</f>
        <v/>
      </c>
      <c r="R251" s="27" t="str">
        <f aca="false">IF(A251="","",IF(COUNTIF(M251:Q251,"—")=5,"⚠ NO SCD ROW",IF(COUNTIF(M251:Q251,"✗")&gt;0,"❌ MISMATCH","✅ MATCH")))</f>
        <v/>
      </c>
    </row>
    <row r="252" customFormat="false" ht="15" hidden="false" customHeight="true" outlineLevel="0" collapsed="false">
      <c r="A252" s="22" t="str">
        <f aca="false">IF(Daily_Data!A251="","",Daily_Data!A251)</f>
        <v/>
      </c>
      <c r="B252" s="23" t="str">
        <f aca="false">IF(Daily_Data!B251="","",Daily_Data!B251)</f>
        <v/>
      </c>
      <c r="C252" s="23" t="str">
        <f aca="false">IF(A252="","",Daily_Data!C251)</f>
        <v/>
      </c>
      <c r="D252" s="23" t="str">
        <f aca="false">IF(A252="","",Daily_Data!D251)</f>
        <v/>
      </c>
      <c r="E252" s="24" t="str">
        <f aca="false">IF(A252="","",Daily_Data!E251)</f>
        <v/>
      </c>
      <c r="F252" s="23" t="str">
        <f aca="false">IF(A252="","",Daily_Data!F251)</f>
        <v/>
      </c>
      <c r="G252" s="23" t="str">
        <f aca="false">IF(A252="","",Daily_Data!G251)</f>
        <v/>
      </c>
      <c r="H252" s="25" t="str">
        <f aca="false">IF(A252="","",IFERROR(INDEX(SCD_Data!$C$3:$C$502,SUMPRODUCT((SCD_Data!$A$3:$A$502=B252)*(IFERROR(DATEVALUE(SCD_Data!$H$3:$H$502&amp;""),SCD_Data!$H$3:$H$502)&lt;=IFERROR(DATEVALUE(A252&amp;""),A252))*(IFERROR(DATEVALUE(SCD_Data!$I$3:$I$502&amp;""),SCD_Data!$I$3:$I$502)&gt;=IFERROR(DATEVALUE(A252&amp;""),A252))*(ROW(SCD_Data!$A$3:$A$502)-2))),"—"))</f>
        <v/>
      </c>
      <c r="I252" s="25" t="str">
        <f aca="false">IF(A252="","",IFERROR(INDEX(SCD_Data!$D$3:$D$502,SUMPRODUCT((SCD_Data!$A$3:$A$502=B252)*(IFERROR(DATEVALUE(SCD_Data!$H$3:$H$502&amp;""),SCD_Data!$H$3:$H$502)&lt;=IFERROR(DATEVALUE(A252&amp;""),A252))*(IFERROR(DATEVALUE(SCD_Data!$I$3:$I$502&amp;""),SCD_Data!$I$3:$I$502)&gt;=IFERROR(DATEVALUE(A252&amp;""),A252))*(ROW(SCD_Data!$A$3:$A$502)-2))),"—"))</f>
        <v/>
      </c>
      <c r="J252" s="26" t="str">
        <f aca="false">IF(A252="","",IFERROR(INDEX(SCD_Data!$E$3:$E$502,SUMPRODUCT((SCD_Data!$A$3:$A$502=B252)*(IFERROR(DATEVALUE(SCD_Data!$H$3:$H$502&amp;""),SCD_Data!$H$3:$H$502)&lt;=IFERROR(DATEVALUE(A252&amp;""),A252))*(IFERROR(DATEVALUE(SCD_Data!$I$3:$I$502&amp;""),SCD_Data!$I$3:$I$502)&gt;=IFERROR(DATEVALUE(A252&amp;""),A252))*(ROW(SCD_Data!$A$3:$A$502)-2))),"—"))</f>
        <v/>
      </c>
      <c r="K252" s="25" t="str">
        <f aca="false">IF(A252="","",IFERROR(INDEX(SCD_Data!$F$3:$F$502,SUMPRODUCT((SCD_Data!$A$3:$A$502=B252)*(IFERROR(DATEVALUE(SCD_Data!$H$3:$H$502&amp;""),SCD_Data!$H$3:$H$502)&lt;=IFERROR(DATEVALUE(A252&amp;""),A252))*(IFERROR(DATEVALUE(SCD_Data!$I$3:$I$502&amp;""),SCD_Data!$I$3:$I$502)&gt;=IFERROR(DATEVALUE(A252&amp;""),A252))*(ROW(SCD_Data!$A$3:$A$502)-2))),"—"))</f>
        <v/>
      </c>
      <c r="L252" s="25" t="str">
        <f aca="false">IF(A252="","",IFERROR(INDEX(SCD_Data!$G$3:$G$502,SUMPRODUCT((SCD_Data!$A$3:$A$502=B252)*(IFERROR(DATEVALUE(SCD_Data!$H$3:$H$502&amp;""),SCD_Data!$H$3:$H$502)&lt;=IFERROR(DATEVALUE(A252&amp;""),A252))*(IFERROR(DATEVALUE(SCD_Data!$I$3:$I$502&amp;""),SCD_Data!$I$3:$I$502)&gt;=IFERROR(DATEVALUE(A252&amp;""),A252))*(ROW(SCD_Data!$A$3:$A$502)-2))),"—"))</f>
        <v/>
      </c>
      <c r="M252" s="27" t="str">
        <f aca="false">IF(A252="","",IF(H252="—","—",IF(C252&amp;""=H252&amp;"","✓","✗")))</f>
        <v/>
      </c>
      <c r="N252" s="27" t="str">
        <f aca="false">IF(A252="","",IF(H252="—","—",IF(D252&amp;""=I252&amp;"","✓","✗")))</f>
        <v/>
      </c>
      <c r="O252" s="27" t="str">
        <f aca="false">IF(A252="","",IF(H252="—","—",IF(ABS(E252-J252)&lt;0.01,"✓","✗")))</f>
        <v/>
      </c>
      <c r="P252" s="27" t="str">
        <f aca="false">IF(A252="","",IF(H252="—","—",IF(F252&amp;""=K252&amp;"","✓","✗")))</f>
        <v/>
      </c>
      <c r="Q252" s="27" t="str">
        <f aca="false">IF(A252="","",IF(H252="—","—",IF(G252&amp;""=L252&amp;"","✓","✗")))</f>
        <v/>
      </c>
      <c r="R252" s="27" t="str">
        <f aca="false">IF(A252="","",IF(COUNTIF(M252:Q252,"—")=5,"⚠ NO SCD ROW",IF(COUNTIF(M252:Q252,"✗")&gt;0,"❌ MISMATCH","✅ MATCH")))</f>
        <v/>
      </c>
    </row>
    <row r="253" customFormat="false" ht="15" hidden="false" customHeight="true" outlineLevel="0" collapsed="false">
      <c r="A253" s="22" t="str">
        <f aca="false">IF(Daily_Data!A252="","",Daily_Data!A252)</f>
        <v/>
      </c>
      <c r="B253" s="23" t="str">
        <f aca="false">IF(Daily_Data!B252="","",Daily_Data!B252)</f>
        <v/>
      </c>
      <c r="C253" s="23" t="str">
        <f aca="false">IF(A253="","",Daily_Data!C252)</f>
        <v/>
      </c>
      <c r="D253" s="23" t="str">
        <f aca="false">IF(A253="","",Daily_Data!D252)</f>
        <v/>
      </c>
      <c r="E253" s="24" t="str">
        <f aca="false">IF(A253="","",Daily_Data!E252)</f>
        <v/>
      </c>
      <c r="F253" s="23" t="str">
        <f aca="false">IF(A253="","",Daily_Data!F252)</f>
        <v/>
      </c>
      <c r="G253" s="23" t="str">
        <f aca="false">IF(A253="","",Daily_Data!G252)</f>
        <v/>
      </c>
      <c r="H253" s="25" t="str">
        <f aca="false">IF(A253="","",IFERROR(INDEX(SCD_Data!$C$3:$C$502,SUMPRODUCT((SCD_Data!$A$3:$A$502=B253)*(IFERROR(DATEVALUE(SCD_Data!$H$3:$H$502&amp;""),SCD_Data!$H$3:$H$502)&lt;=IFERROR(DATEVALUE(A253&amp;""),A253))*(IFERROR(DATEVALUE(SCD_Data!$I$3:$I$502&amp;""),SCD_Data!$I$3:$I$502)&gt;=IFERROR(DATEVALUE(A253&amp;""),A253))*(ROW(SCD_Data!$A$3:$A$502)-2))),"—"))</f>
        <v/>
      </c>
      <c r="I253" s="25" t="str">
        <f aca="false">IF(A253="","",IFERROR(INDEX(SCD_Data!$D$3:$D$502,SUMPRODUCT((SCD_Data!$A$3:$A$502=B253)*(IFERROR(DATEVALUE(SCD_Data!$H$3:$H$502&amp;""),SCD_Data!$H$3:$H$502)&lt;=IFERROR(DATEVALUE(A253&amp;""),A253))*(IFERROR(DATEVALUE(SCD_Data!$I$3:$I$502&amp;""),SCD_Data!$I$3:$I$502)&gt;=IFERROR(DATEVALUE(A253&amp;""),A253))*(ROW(SCD_Data!$A$3:$A$502)-2))),"—"))</f>
        <v/>
      </c>
      <c r="J253" s="26" t="str">
        <f aca="false">IF(A253="","",IFERROR(INDEX(SCD_Data!$E$3:$E$502,SUMPRODUCT((SCD_Data!$A$3:$A$502=B253)*(IFERROR(DATEVALUE(SCD_Data!$H$3:$H$502&amp;""),SCD_Data!$H$3:$H$502)&lt;=IFERROR(DATEVALUE(A253&amp;""),A253))*(IFERROR(DATEVALUE(SCD_Data!$I$3:$I$502&amp;""),SCD_Data!$I$3:$I$502)&gt;=IFERROR(DATEVALUE(A253&amp;""),A253))*(ROW(SCD_Data!$A$3:$A$502)-2))),"—"))</f>
        <v/>
      </c>
      <c r="K253" s="25" t="str">
        <f aca="false">IF(A253="","",IFERROR(INDEX(SCD_Data!$F$3:$F$502,SUMPRODUCT((SCD_Data!$A$3:$A$502=B253)*(IFERROR(DATEVALUE(SCD_Data!$H$3:$H$502&amp;""),SCD_Data!$H$3:$H$502)&lt;=IFERROR(DATEVALUE(A253&amp;""),A253))*(IFERROR(DATEVALUE(SCD_Data!$I$3:$I$502&amp;""),SCD_Data!$I$3:$I$502)&gt;=IFERROR(DATEVALUE(A253&amp;""),A253))*(ROW(SCD_Data!$A$3:$A$502)-2))),"—"))</f>
        <v/>
      </c>
      <c r="L253" s="25" t="str">
        <f aca="false">IF(A253="","",IFERROR(INDEX(SCD_Data!$G$3:$G$502,SUMPRODUCT((SCD_Data!$A$3:$A$502=B253)*(IFERROR(DATEVALUE(SCD_Data!$H$3:$H$502&amp;""),SCD_Data!$H$3:$H$502)&lt;=IFERROR(DATEVALUE(A253&amp;""),A253))*(IFERROR(DATEVALUE(SCD_Data!$I$3:$I$502&amp;""),SCD_Data!$I$3:$I$502)&gt;=IFERROR(DATEVALUE(A253&amp;""),A253))*(ROW(SCD_Data!$A$3:$A$502)-2))),"—"))</f>
        <v/>
      </c>
      <c r="M253" s="27" t="str">
        <f aca="false">IF(A253="","",IF(H253="—","—",IF(C253&amp;""=H253&amp;"","✓","✗")))</f>
        <v/>
      </c>
      <c r="N253" s="27" t="str">
        <f aca="false">IF(A253="","",IF(H253="—","—",IF(D253&amp;""=I253&amp;"","✓","✗")))</f>
        <v/>
      </c>
      <c r="O253" s="27" t="str">
        <f aca="false">IF(A253="","",IF(H253="—","—",IF(ABS(E253-J253)&lt;0.01,"✓","✗")))</f>
        <v/>
      </c>
      <c r="P253" s="27" t="str">
        <f aca="false">IF(A253="","",IF(H253="—","—",IF(F253&amp;""=K253&amp;"","✓","✗")))</f>
        <v/>
      </c>
      <c r="Q253" s="27" t="str">
        <f aca="false">IF(A253="","",IF(H253="—","—",IF(G253&amp;""=L253&amp;"","✓","✗")))</f>
        <v/>
      </c>
      <c r="R253" s="27" t="str">
        <f aca="false">IF(A253="","",IF(COUNTIF(M253:Q253,"—")=5,"⚠ NO SCD ROW",IF(COUNTIF(M253:Q253,"✗")&gt;0,"❌ MISMATCH","✅ MATCH")))</f>
        <v/>
      </c>
    </row>
    <row r="254" customFormat="false" ht="15" hidden="false" customHeight="true" outlineLevel="0" collapsed="false">
      <c r="A254" s="22" t="str">
        <f aca="false">IF(Daily_Data!A253="","",Daily_Data!A253)</f>
        <v/>
      </c>
      <c r="B254" s="23" t="str">
        <f aca="false">IF(Daily_Data!B253="","",Daily_Data!B253)</f>
        <v/>
      </c>
      <c r="C254" s="23" t="str">
        <f aca="false">IF(A254="","",Daily_Data!C253)</f>
        <v/>
      </c>
      <c r="D254" s="23" t="str">
        <f aca="false">IF(A254="","",Daily_Data!D253)</f>
        <v/>
      </c>
      <c r="E254" s="24" t="str">
        <f aca="false">IF(A254="","",Daily_Data!E253)</f>
        <v/>
      </c>
      <c r="F254" s="23" t="str">
        <f aca="false">IF(A254="","",Daily_Data!F253)</f>
        <v/>
      </c>
      <c r="G254" s="23" t="str">
        <f aca="false">IF(A254="","",Daily_Data!G253)</f>
        <v/>
      </c>
      <c r="H254" s="25" t="str">
        <f aca="false">IF(A254="","",IFERROR(INDEX(SCD_Data!$C$3:$C$502,SUMPRODUCT((SCD_Data!$A$3:$A$502=B254)*(IFERROR(DATEVALUE(SCD_Data!$H$3:$H$502&amp;""),SCD_Data!$H$3:$H$502)&lt;=IFERROR(DATEVALUE(A254&amp;""),A254))*(IFERROR(DATEVALUE(SCD_Data!$I$3:$I$502&amp;""),SCD_Data!$I$3:$I$502)&gt;=IFERROR(DATEVALUE(A254&amp;""),A254))*(ROW(SCD_Data!$A$3:$A$502)-2))),"—"))</f>
        <v/>
      </c>
      <c r="I254" s="25" t="str">
        <f aca="false">IF(A254="","",IFERROR(INDEX(SCD_Data!$D$3:$D$502,SUMPRODUCT((SCD_Data!$A$3:$A$502=B254)*(IFERROR(DATEVALUE(SCD_Data!$H$3:$H$502&amp;""),SCD_Data!$H$3:$H$502)&lt;=IFERROR(DATEVALUE(A254&amp;""),A254))*(IFERROR(DATEVALUE(SCD_Data!$I$3:$I$502&amp;""),SCD_Data!$I$3:$I$502)&gt;=IFERROR(DATEVALUE(A254&amp;""),A254))*(ROW(SCD_Data!$A$3:$A$502)-2))),"—"))</f>
        <v/>
      </c>
      <c r="J254" s="26" t="str">
        <f aca="false">IF(A254="","",IFERROR(INDEX(SCD_Data!$E$3:$E$502,SUMPRODUCT((SCD_Data!$A$3:$A$502=B254)*(IFERROR(DATEVALUE(SCD_Data!$H$3:$H$502&amp;""),SCD_Data!$H$3:$H$502)&lt;=IFERROR(DATEVALUE(A254&amp;""),A254))*(IFERROR(DATEVALUE(SCD_Data!$I$3:$I$502&amp;""),SCD_Data!$I$3:$I$502)&gt;=IFERROR(DATEVALUE(A254&amp;""),A254))*(ROW(SCD_Data!$A$3:$A$502)-2))),"—"))</f>
        <v/>
      </c>
      <c r="K254" s="25" t="str">
        <f aca="false">IF(A254="","",IFERROR(INDEX(SCD_Data!$F$3:$F$502,SUMPRODUCT((SCD_Data!$A$3:$A$502=B254)*(IFERROR(DATEVALUE(SCD_Data!$H$3:$H$502&amp;""),SCD_Data!$H$3:$H$502)&lt;=IFERROR(DATEVALUE(A254&amp;""),A254))*(IFERROR(DATEVALUE(SCD_Data!$I$3:$I$502&amp;""),SCD_Data!$I$3:$I$502)&gt;=IFERROR(DATEVALUE(A254&amp;""),A254))*(ROW(SCD_Data!$A$3:$A$502)-2))),"—"))</f>
        <v/>
      </c>
      <c r="L254" s="25" t="str">
        <f aca="false">IF(A254="","",IFERROR(INDEX(SCD_Data!$G$3:$G$502,SUMPRODUCT((SCD_Data!$A$3:$A$502=B254)*(IFERROR(DATEVALUE(SCD_Data!$H$3:$H$502&amp;""),SCD_Data!$H$3:$H$502)&lt;=IFERROR(DATEVALUE(A254&amp;""),A254))*(IFERROR(DATEVALUE(SCD_Data!$I$3:$I$502&amp;""),SCD_Data!$I$3:$I$502)&gt;=IFERROR(DATEVALUE(A254&amp;""),A254))*(ROW(SCD_Data!$A$3:$A$502)-2))),"—"))</f>
        <v/>
      </c>
      <c r="M254" s="27" t="str">
        <f aca="false">IF(A254="","",IF(H254="—","—",IF(C254&amp;""=H254&amp;"","✓","✗")))</f>
        <v/>
      </c>
      <c r="N254" s="27" t="str">
        <f aca="false">IF(A254="","",IF(H254="—","—",IF(D254&amp;""=I254&amp;"","✓","✗")))</f>
        <v/>
      </c>
      <c r="O254" s="27" t="str">
        <f aca="false">IF(A254="","",IF(H254="—","—",IF(ABS(E254-J254)&lt;0.01,"✓","✗")))</f>
        <v/>
      </c>
      <c r="P254" s="27" t="str">
        <f aca="false">IF(A254="","",IF(H254="—","—",IF(F254&amp;""=K254&amp;"","✓","✗")))</f>
        <v/>
      </c>
      <c r="Q254" s="27" t="str">
        <f aca="false">IF(A254="","",IF(H254="—","—",IF(G254&amp;""=L254&amp;"","✓","✗")))</f>
        <v/>
      </c>
      <c r="R254" s="27" t="str">
        <f aca="false">IF(A254="","",IF(COUNTIF(M254:Q254,"—")=5,"⚠ NO SCD ROW",IF(COUNTIF(M254:Q254,"✗")&gt;0,"❌ MISMATCH","✅ MATCH")))</f>
        <v/>
      </c>
    </row>
    <row r="255" customFormat="false" ht="15" hidden="false" customHeight="true" outlineLevel="0" collapsed="false">
      <c r="A255" s="22" t="str">
        <f aca="false">IF(Daily_Data!A254="","",Daily_Data!A254)</f>
        <v/>
      </c>
      <c r="B255" s="23" t="str">
        <f aca="false">IF(Daily_Data!B254="","",Daily_Data!B254)</f>
        <v/>
      </c>
      <c r="C255" s="23" t="str">
        <f aca="false">IF(A255="","",Daily_Data!C254)</f>
        <v/>
      </c>
      <c r="D255" s="23" t="str">
        <f aca="false">IF(A255="","",Daily_Data!D254)</f>
        <v/>
      </c>
      <c r="E255" s="24" t="str">
        <f aca="false">IF(A255="","",Daily_Data!E254)</f>
        <v/>
      </c>
      <c r="F255" s="23" t="str">
        <f aca="false">IF(A255="","",Daily_Data!F254)</f>
        <v/>
      </c>
      <c r="G255" s="23" t="str">
        <f aca="false">IF(A255="","",Daily_Data!G254)</f>
        <v/>
      </c>
      <c r="H255" s="25" t="str">
        <f aca="false">IF(A255="","",IFERROR(INDEX(SCD_Data!$C$3:$C$502,SUMPRODUCT((SCD_Data!$A$3:$A$502=B255)*(IFERROR(DATEVALUE(SCD_Data!$H$3:$H$502&amp;""),SCD_Data!$H$3:$H$502)&lt;=IFERROR(DATEVALUE(A255&amp;""),A255))*(IFERROR(DATEVALUE(SCD_Data!$I$3:$I$502&amp;""),SCD_Data!$I$3:$I$502)&gt;=IFERROR(DATEVALUE(A255&amp;""),A255))*(ROW(SCD_Data!$A$3:$A$502)-2))),"—"))</f>
        <v/>
      </c>
      <c r="I255" s="25" t="str">
        <f aca="false">IF(A255="","",IFERROR(INDEX(SCD_Data!$D$3:$D$502,SUMPRODUCT((SCD_Data!$A$3:$A$502=B255)*(IFERROR(DATEVALUE(SCD_Data!$H$3:$H$502&amp;""),SCD_Data!$H$3:$H$502)&lt;=IFERROR(DATEVALUE(A255&amp;""),A255))*(IFERROR(DATEVALUE(SCD_Data!$I$3:$I$502&amp;""),SCD_Data!$I$3:$I$502)&gt;=IFERROR(DATEVALUE(A255&amp;""),A255))*(ROW(SCD_Data!$A$3:$A$502)-2))),"—"))</f>
        <v/>
      </c>
      <c r="J255" s="26" t="str">
        <f aca="false">IF(A255="","",IFERROR(INDEX(SCD_Data!$E$3:$E$502,SUMPRODUCT((SCD_Data!$A$3:$A$502=B255)*(IFERROR(DATEVALUE(SCD_Data!$H$3:$H$502&amp;""),SCD_Data!$H$3:$H$502)&lt;=IFERROR(DATEVALUE(A255&amp;""),A255))*(IFERROR(DATEVALUE(SCD_Data!$I$3:$I$502&amp;""),SCD_Data!$I$3:$I$502)&gt;=IFERROR(DATEVALUE(A255&amp;""),A255))*(ROW(SCD_Data!$A$3:$A$502)-2))),"—"))</f>
        <v/>
      </c>
      <c r="K255" s="25" t="str">
        <f aca="false">IF(A255="","",IFERROR(INDEX(SCD_Data!$F$3:$F$502,SUMPRODUCT((SCD_Data!$A$3:$A$502=B255)*(IFERROR(DATEVALUE(SCD_Data!$H$3:$H$502&amp;""),SCD_Data!$H$3:$H$502)&lt;=IFERROR(DATEVALUE(A255&amp;""),A255))*(IFERROR(DATEVALUE(SCD_Data!$I$3:$I$502&amp;""),SCD_Data!$I$3:$I$502)&gt;=IFERROR(DATEVALUE(A255&amp;""),A255))*(ROW(SCD_Data!$A$3:$A$502)-2))),"—"))</f>
        <v/>
      </c>
      <c r="L255" s="25" t="str">
        <f aca="false">IF(A255="","",IFERROR(INDEX(SCD_Data!$G$3:$G$502,SUMPRODUCT((SCD_Data!$A$3:$A$502=B255)*(IFERROR(DATEVALUE(SCD_Data!$H$3:$H$502&amp;""),SCD_Data!$H$3:$H$502)&lt;=IFERROR(DATEVALUE(A255&amp;""),A255))*(IFERROR(DATEVALUE(SCD_Data!$I$3:$I$502&amp;""),SCD_Data!$I$3:$I$502)&gt;=IFERROR(DATEVALUE(A255&amp;""),A255))*(ROW(SCD_Data!$A$3:$A$502)-2))),"—"))</f>
        <v/>
      </c>
      <c r="M255" s="27" t="str">
        <f aca="false">IF(A255="","",IF(H255="—","—",IF(C255&amp;""=H255&amp;"","✓","✗")))</f>
        <v/>
      </c>
      <c r="N255" s="27" t="str">
        <f aca="false">IF(A255="","",IF(H255="—","—",IF(D255&amp;""=I255&amp;"","✓","✗")))</f>
        <v/>
      </c>
      <c r="O255" s="27" t="str">
        <f aca="false">IF(A255="","",IF(H255="—","—",IF(ABS(E255-J255)&lt;0.01,"✓","✗")))</f>
        <v/>
      </c>
      <c r="P255" s="27" t="str">
        <f aca="false">IF(A255="","",IF(H255="—","—",IF(F255&amp;""=K255&amp;"","✓","✗")))</f>
        <v/>
      </c>
      <c r="Q255" s="27" t="str">
        <f aca="false">IF(A255="","",IF(H255="—","—",IF(G255&amp;""=L255&amp;"","✓","✗")))</f>
        <v/>
      </c>
      <c r="R255" s="27" t="str">
        <f aca="false">IF(A255="","",IF(COUNTIF(M255:Q255,"—")=5,"⚠ NO SCD ROW",IF(COUNTIF(M255:Q255,"✗")&gt;0,"❌ MISMATCH","✅ MATCH")))</f>
        <v/>
      </c>
    </row>
    <row r="256" customFormat="false" ht="15" hidden="false" customHeight="true" outlineLevel="0" collapsed="false">
      <c r="A256" s="22" t="str">
        <f aca="false">IF(Daily_Data!A255="","",Daily_Data!A255)</f>
        <v/>
      </c>
      <c r="B256" s="23" t="str">
        <f aca="false">IF(Daily_Data!B255="","",Daily_Data!B255)</f>
        <v/>
      </c>
      <c r="C256" s="23" t="str">
        <f aca="false">IF(A256="","",Daily_Data!C255)</f>
        <v/>
      </c>
      <c r="D256" s="23" t="str">
        <f aca="false">IF(A256="","",Daily_Data!D255)</f>
        <v/>
      </c>
      <c r="E256" s="24" t="str">
        <f aca="false">IF(A256="","",Daily_Data!E255)</f>
        <v/>
      </c>
      <c r="F256" s="23" t="str">
        <f aca="false">IF(A256="","",Daily_Data!F255)</f>
        <v/>
      </c>
      <c r="G256" s="23" t="str">
        <f aca="false">IF(A256="","",Daily_Data!G255)</f>
        <v/>
      </c>
      <c r="H256" s="25" t="str">
        <f aca="false">IF(A256="","",IFERROR(INDEX(SCD_Data!$C$3:$C$502,SUMPRODUCT((SCD_Data!$A$3:$A$502=B256)*(IFERROR(DATEVALUE(SCD_Data!$H$3:$H$502&amp;""),SCD_Data!$H$3:$H$502)&lt;=IFERROR(DATEVALUE(A256&amp;""),A256))*(IFERROR(DATEVALUE(SCD_Data!$I$3:$I$502&amp;""),SCD_Data!$I$3:$I$502)&gt;=IFERROR(DATEVALUE(A256&amp;""),A256))*(ROW(SCD_Data!$A$3:$A$502)-2))),"—"))</f>
        <v/>
      </c>
      <c r="I256" s="25" t="str">
        <f aca="false">IF(A256="","",IFERROR(INDEX(SCD_Data!$D$3:$D$502,SUMPRODUCT((SCD_Data!$A$3:$A$502=B256)*(IFERROR(DATEVALUE(SCD_Data!$H$3:$H$502&amp;""),SCD_Data!$H$3:$H$502)&lt;=IFERROR(DATEVALUE(A256&amp;""),A256))*(IFERROR(DATEVALUE(SCD_Data!$I$3:$I$502&amp;""),SCD_Data!$I$3:$I$502)&gt;=IFERROR(DATEVALUE(A256&amp;""),A256))*(ROW(SCD_Data!$A$3:$A$502)-2))),"—"))</f>
        <v/>
      </c>
      <c r="J256" s="26" t="str">
        <f aca="false">IF(A256="","",IFERROR(INDEX(SCD_Data!$E$3:$E$502,SUMPRODUCT((SCD_Data!$A$3:$A$502=B256)*(IFERROR(DATEVALUE(SCD_Data!$H$3:$H$502&amp;""),SCD_Data!$H$3:$H$502)&lt;=IFERROR(DATEVALUE(A256&amp;""),A256))*(IFERROR(DATEVALUE(SCD_Data!$I$3:$I$502&amp;""),SCD_Data!$I$3:$I$502)&gt;=IFERROR(DATEVALUE(A256&amp;""),A256))*(ROW(SCD_Data!$A$3:$A$502)-2))),"—"))</f>
        <v/>
      </c>
      <c r="K256" s="25" t="str">
        <f aca="false">IF(A256="","",IFERROR(INDEX(SCD_Data!$F$3:$F$502,SUMPRODUCT((SCD_Data!$A$3:$A$502=B256)*(IFERROR(DATEVALUE(SCD_Data!$H$3:$H$502&amp;""),SCD_Data!$H$3:$H$502)&lt;=IFERROR(DATEVALUE(A256&amp;""),A256))*(IFERROR(DATEVALUE(SCD_Data!$I$3:$I$502&amp;""),SCD_Data!$I$3:$I$502)&gt;=IFERROR(DATEVALUE(A256&amp;""),A256))*(ROW(SCD_Data!$A$3:$A$502)-2))),"—"))</f>
        <v/>
      </c>
      <c r="L256" s="25" t="str">
        <f aca="false">IF(A256="","",IFERROR(INDEX(SCD_Data!$G$3:$G$502,SUMPRODUCT((SCD_Data!$A$3:$A$502=B256)*(IFERROR(DATEVALUE(SCD_Data!$H$3:$H$502&amp;""),SCD_Data!$H$3:$H$502)&lt;=IFERROR(DATEVALUE(A256&amp;""),A256))*(IFERROR(DATEVALUE(SCD_Data!$I$3:$I$502&amp;""),SCD_Data!$I$3:$I$502)&gt;=IFERROR(DATEVALUE(A256&amp;""),A256))*(ROW(SCD_Data!$A$3:$A$502)-2))),"—"))</f>
        <v/>
      </c>
      <c r="M256" s="27" t="str">
        <f aca="false">IF(A256="","",IF(H256="—","—",IF(C256&amp;""=H256&amp;"","✓","✗")))</f>
        <v/>
      </c>
      <c r="N256" s="27" t="str">
        <f aca="false">IF(A256="","",IF(H256="—","—",IF(D256&amp;""=I256&amp;"","✓","✗")))</f>
        <v/>
      </c>
      <c r="O256" s="27" t="str">
        <f aca="false">IF(A256="","",IF(H256="—","—",IF(ABS(E256-J256)&lt;0.01,"✓","✗")))</f>
        <v/>
      </c>
      <c r="P256" s="27" t="str">
        <f aca="false">IF(A256="","",IF(H256="—","—",IF(F256&amp;""=K256&amp;"","✓","✗")))</f>
        <v/>
      </c>
      <c r="Q256" s="27" t="str">
        <f aca="false">IF(A256="","",IF(H256="—","—",IF(G256&amp;""=L256&amp;"","✓","✗")))</f>
        <v/>
      </c>
      <c r="R256" s="27" t="str">
        <f aca="false">IF(A256="","",IF(COUNTIF(M256:Q256,"—")=5,"⚠ NO SCD ROW",IF(COUNTIF(M256:Q256,"✗")&gt;0,"❌ MISMATCH","✅ MATCH")))</f>
        <v/>
      </c>
    </row>
    <row r="257" customFormat="false" ht="15" hidden="false" customHeight="true" outlineLevel="0" collapsed="false">
      <c r="A257" s="22" t="str">
        <f aca="false">IF(Daily_Data!A256="","",Daily_Data!A256)</f>
        <v/>
      </c>
      <c r="B257" s="23" t="str">
        <f aca="false">IF(Daily_Data!B256="","",Daily_Data!B256)</f>
        <v/>
      </c>
      <c r="C257" s="23" t="str">
        <f aca="false">IF(A257="","",Daily_Data!C256)</f>
        <v/>
      </c>
      <c r="D257" s="23" t="str">
        <f aca="false">IF(A257="","",Daily_Data!D256)</f>
        <v/>
      </c>
      <c r="E257" s="24" t="str">
        <f aca="false">IF(A257="","",Daily_Data!E256)</f>
        <v/>
      </c>
      <c r="F257" s="23" t="str">
        <f aca="false">IF(A257="","",Daily_Data!F256)</f>
        <v/>
      </c>
      <c r="G257" s="23" t="str">
        <f aca="false">IF(A257="","",Daily_Data!G256)</f>
        <v/>
      </c>
      <c r="H257" s="25" t="str">
        <f aca="false">IF(A257="","",IFERROR(INDEX(SCD_Data!$C$3:$C$502,SUMPRODUCT((SCD_Data!$A$3:$A$502=B257)*(IFERROR(DATEVALUE(SCD_Data!$H$3:$H$502&amp;""),SCD_Data!$H$3:$H$502)&lt;=IFERROR(DATEVALUE(A257&amp;""),A257))*(IFERROR(DATEVALUE(SCD_Data!$I$3:$I$502&amp;""),SCD_Data!$I$3:$I$502)&gt;=IFERROR(DATEVALUE(A257&amp;""),A257))*(ROW(SCD_Data!$A$3:$A$502)-2))),"—"))</f>
        <v/>
      </c>
      <c r="I257" s="25" t="str">
        <f aca="false">IF(A257="","",IFERROR(INDEX(SCD_Data!$D$3:$D$502,SUMPRODUCT((SCD_Data!$A$3:$A$502=B257)*(IFERROR(DATEVALUE(SCD_Data!$H$3:$H$502&amp;""),SCD_Data!$H$3:$H$502)&lt;=IFERROR(DATEVALUE(A257&amp;""),A257))*(IFERROR(DATEVALUE(SCD_Data!$I$3:$I$502&amp;""),SCD_Data!$I$3:$I$502)&gt;=IFERROR(DATEVALUE(A257&amp;""),A257))*(ROW(SCD_Data!$A$3:$A$502)-2))),"—"))</f>
        <v/>
      </c>
      <c r="J257" s="26" t="str">
        <f aca="false">IF(A257="","",IFERROR(INDEX(SCD_Data!$E$3:$E$502,SUMPRODUCT((SCD_Data!$A$3:$A$502=B257)*(IFERROR(DATEVALUE(SCD_Data!$H$3:$H$502&amp;""),SCD_Data!$H$3:$H$502)&lt;=IFERROR(DATEVALUE(A257&amp;""),A257))*(IFERROR(DATEVALUE(SCD_Data!$I$3:$I$502&amp;""),SCD_Data!$I$3:$I$502)&gt;=IFERROR(DATEVALUE(A257&amp;""),A257))*(ROW(SCD_Data!$A$3:$A$502)-2))),"—"))</f>
        <v/>
      </c>
      <c r="K257" s="25" t="str">
        <f aca="false">IF(A257="","",IFERROR(INDEX(SCD_Data!$F$3:$F$502,SUMPRODUCT((SCD_Data!$A$3:$A$502=B257)*(IFERROR(DATEVALUE(SCD_Data!$H$3:$H$502&amp;""),SCD_Data!$H$3:$H$502)&lt;=IFERROR(DATEVALUE(A257&amp;""),A257))*(IFERROR(DATEVALUE(SCD_Data!$I$3:$I$502&amp;""),SCD_Data!$I$3:$I$502)&gt;=IFERROR(DATEVALUE(A257&amp;""),A257))*(ROW(SCD_Data!$A$3:$A$502)-2))),"—"))</f>
        <v/>
      </c>
      <c r="L257" s="25" t="str">
        <f aca="false">IF(A257="","",IFERROR(INDEX(SCD_Data!$G$3:$G$502,SUMPRODUCT((SCD_Data!$A$3:$A$502=B257)*(IFERROR(DATEVALUE(SCD_Data!$H$3:$H$502&amp;""),SCD_Data!$H$3:$H$502)&lt;=IFERROR(DATEVALUE(A257&amp;""),A257))*(IFERROR(DATEVALUE(SCD_Data!$I$3:$I$502&amp;""),SCD_Data!$I$3:$I$502)&gt;=IFERROR(DATEVALUE(A257&amp;""),A257))*(ROW(SCD_Data!$A$3:$A$502)-2))),"—"))</f>
        <v/>
      </c>
      <c r="M257" s="27" t="str">
        <f aca="false">IF(A257="","",IF(H257="—","—",IF(C257&amp;""=H257&amp;"","✓","✗")))</f>
        <v/>
      </c>
      <c r="N257" s="27" t="str">
        <f aca="false">IF(A257="","",IF(H257="—","—",IF(D257&amp;""=I257&amp;"","✓","✗")))</f>
        <v/>
      </c>
      <c r="O257" s="27" t="str">
        <f aca="false">IF(A257="","",IF(H257="—","—",IF(ABS(E257-J257)&lt;0.01,"✓","✗")))</f>
        <v/>
      </c>
      <c r="P257" s="27" t="str">
        <f aca="false">IF(A257="","",IF(H257="—","—",IF(F257&amp;""=K257&amp;"","✓","✗")))</f>
        <v/>
      </c>
      <c r="Q257" s="27" t="str">
        <f aca="false">IF(A257="","",IF(H257="—","—",IF(G257&amp;""=L257&amp;"","✓","✗")))</f>
        <v/>
      </c>
      <c r="R257" s="27" t="str">
        <f aca="false">IF(A257="","",IF(COUNTIF(M257:Q257,"—")=5,"⚠ NO SCD ROW",IF(COUNTIF(M257:Q257,"✗")&gt;0,"❌ MISMATCH","✅ MATCH")))</f>
        <v/>
      </c>
    </row>
    <row r="258" customFormat="false" ht="15" hidden="false" customHeight="true" outlineLevel="0" collapsed="false">
      <c r="A258" s="22" t="str">
        <f aca="false">IF(Daily_Data!A257="","",Daily_Data!A257)</f>
        <v/>
      </c>
      <c r="B258" s="23" t="str">
        <f aca="false">IF(Daily_Data!B257="","",Daily_Data!B257)</f>
        <v/>
      </c>
      <c r="C258" s="23" t="str">
        <f aca="false">IF(A258="","",Daily_Data!C257)</f>
        <v/>
      </c>
      <c r="D258" s="23" t="str">
        <f aca="false">IF(A258="","",Daily_Data!D257)</f>
        <v/>
      </c>
      <c r="E258" s="24" t="str">
        <f aca="false">IF(A258="","",Daily_Data!E257)</f>
        <v/>
      </c>
      <c r="F258" s="23" t="str">
        <f aca="false">IF(A258="","",Daily_Data!F257)</f>
        <v/>
      </c>
      <c r="G258" s="23" t="str">
        <f aca="false">IF(A258="","",Daily_Data!G257)</f>
        <v/>
      </c>
      <c r="H258" s="25" t="str">
        <f aca="false">IF(A258="","",IFERROR(INDEX(SCD_Data!$C$3:$C$502,SUMPRODUCT((SCD_Data!$A$3:$A$502=B258)*(IFERROR(DATEVALUE(SCD_Data!$H$3:$H$502&amp;""),SCD_Data!$H$3:$H$502)&lt;=IFERROR(DATEVALUE(A258&amp;""),A258))*(IFERROR(DATEVALUE(SCD_Data!$I$3:$I$502&amp;""),SCD_Data!$I$3:$I$502)&gt;=IFERROR(DATEVALUE(A258&amp;""),A258))*(ROW(SCD_Data!$A$3:$A$502)-2))),"—"))</f>
        <v/>
      </c>
      <c r="I258" s="25" t="str">
        <f aca="false">IF(A258="","",IFERROR(INDEX(SCD_Data!$D$3:$D$502,SUMPRODUCT((SCD_Data!$A$3:$A$502=B258)*(IFERROR(DATEVALUE(SCD_Data!$H$3:$H$502&amp;""),SCD_Data!$H$3:$H$502)&lt;=IFERROR(DATEVALUE(A258&amp;""),A258))*(IFERROR(DATEVALUE(SCD_Data!$I$3:$I$502&amp;""),SCD_Data!$I$3:$I$502)&gt;=IFERROR(DATEVALUE(A258&amp;""),A258))*(ROW(SCD_Data!$A$3:$A$502)-2))),"—"))</f>
        <v/>
      </c>
      <c r="J258" s="26" t="str">
        <f aca="false">IF(A258="","",IFERROR(INDEX(SCD_Data!$E$3:$E$502,SUMPRODUCT((SCD_Data!$A$3:$A$502=B258)*(IFERROR(DATEVALUE(SCD_Data!$H$3:$H$502&amp;""),SCD_Data!$H$3:$H$502)&lt;=IFERROR(DATEVALUE(A258&amp;""),A258))*(IFERROR(DATEVALUE(SCD_Data!$I$3:$I$502&amp;""),SCD_Data!$I$3:$I$502)&gt;=IFERROR(DATEVALUE(A258&amp;""),A258))*(ROW(SCD_Data!$A$3:$A$502)-2))),"—"))</f>
        <v/>
      </c>
      <c r="K258" s="25" t="str">
        <f aca="false">IF(A258="","",IFERROR(INDEX(SCD_Data!$F$3:$F$502,SUMPRODUCT((SCD_Data!$A$3:$A$502=B258)*(IFERROR(DATEVALUE(SCD_Data!$H$3:$H$502&amp;""),SCD_Data!$H$3:$H$502)&lt;=IFERROR(DATEVALUE(A258&amp;""),A258))*(IFERROR(DATEVALUE(SCD_Data!$I$3:$I$502&amp;""),SCD_Data!$I$3:$I$502)&gt;=IFERROR(DATEVALUE(A258&amp;""),A258))*(ROW(SCD_Data!$A$3:$A$502)-2))),"—"))</f>
        <v/>
      </c>
      <c r="L258" s="25" t="str">
        <f aca="false">IF(A258="","",IFERROR(INDEX(SCD_Data!$G$3:$G$502,SUMPRODUCT((SCD_Data!$A$3:$A$502=B258)*(IFERROR(DATEVALUE(SCD_Data!$H$3:$H$502&amp;""),SCD_Data!$H$3:$H$502)&lt;=IFERROR(DATEVALUE(A258&amp;""),A258))*(IFERROR(DATEVALUE(SCD_Data!$I$3:$I$502&amp;""),SCD_Data!$I$3:$I$502)&gt;=IFERROR(DATEVALUE(A258&amp;""),A258))*(ROW(SCD_Data!$A$3:$A$502)-2))),"—"))</f>
        <v/>
      </c>
      <c r="M258" s="27" t="str">
        <f aca="false">IF(A258="","",IF(H258="—","—",IF(C258&amp;""=H258&amp;"","✓","✗")))</f>
        <v/>
      </c>
      <c r="N258" s="27" t="str">
        <f aca="false">IF(A258="","",IF(H258="—","—",IF(D258&amp;""=I258&amp;"","✓","✗")))</f>
        <v/>
      </c>
      <c r="O258" s="27" t="str">
        <f aca="false">IF(A258="","",IF(H258="—","—",IF(ABS(E258-J258)&lt;0.01,"✓","✗")))</f>
        <v/>
      </c>
      <c r="P258" s="27" t="str">
        <f aca="false">IF(A258="","",IF(H258="—","—",IF(F258&amp;""=K258&amp;"","✓","✗")))</f>
        <v/>
      </c>
      <c r="Q258" s="27" t="str">
        <f aca="false">IF(A258="","",IF(H258="—","—",IF(G258&amp;""=L258&amp;"","✓","✗")))</f>
        <v/>
      </c>
      <c r="R258" s="27" t="str">
        <f aca="false">IF(A258="","",IF(COUNTIF(M258:Q258,"—")=5,"⚠ NO SCD ROW",IF(COUNTIF(M258:Q258,"✗")&gt;0,"❌ MISMATCH","✅ MATCH")))</f>
        <v/>
      </c>
    </row>
    <row r="259" customFormat="false" ht="15" hidden="false" customHeight="true" outlineLevel="0" collapsed="false">
      <c r="A259" s="22" t="str">
        <f aca="false">IF(Daily_Data!A258="","",Daily_Data!A258)</f>
        <v/>
      </c>
      <c r="B259" s="23" t="str">
        <f aca="false">IF(Daily_Data!B258="","",Daily_Data!B258)</f>
        <v/>
      </c>
      <c r="C259" s="23" t="str">
        <f aca="false">IF(A259="","",Daily_Data!C258)</f>
        <v/>
      </c>
      <c r="D259" s="23" t="str">
        <f aca="false">IF(A259="","",Daily_Data!D258)</f>
        <v/>
      </c>
      <c r="E259" s="24" t="str">
        <f aca="false">IF(A259="","",Daily_Data!E258)</f>
        <v/>
      </c>
      <c r="F259" s="23" t="str">
        <f aca="false">IF(A259="","",Daily_Data!F258)</f>
        <v/>
      </c>
      <c r="G259" s="23" t="str">
        <f aca="false">IF(A259="","",Daily_Data!G258)</f>
        <v/>
      </c>
      <c r="H259" s="25" t="str">
        <f aca="false">IF(A259="","",IFERROR(INDEX(SCD_Data!$C$3:$C$502,SUMPRODUCT((SCD_Data!$A$3:$A$502=B259)*(IFERROR(DATEVALUE(SCD_Data!$H$3:$H$502&amp;""),SCD_Data!$H$3:$H$502)&lt;=IFERROR(DATEVALUE(A259&amp;""),A259))*(IFERROR(DATEVALUE(SCD_Data!$I$3:$I$502&amp;""),SCD_Data!$I$3:$I$502)&gt;=IFERROR(DATEVALUE(A259&amp;""),A259))*(ROW(SCD_Data!$A$3:$A$502)-2))),"—"))</f>
        <v/>
      </c>
      <c r="I259" s="25" t="str">
        <f aca="false">IF(A259="","",IFERROR(INDEX(SCD_Data!$D$3:$D$502,SUMPRODUCT((SCD_Data!$A$3:$A$502=B259)*(IFERROR(DATEVALUE(SCD_Data!$H$3:$H$502&amp;""),SCD_Data!$H$3:$H$502)&lt;=IFERROR(DATEVALUE(A259&amp;""),A259))*(IFERROR(DATEVALUE(SCD_Data!$I$3:$I$502&amp;""),SCD_Data!$I$3:$I$502)&gt;=IFERROR(DATEVALUE(A259&amp;""),A259))*(ROW(SCD_Data!$A$3:$A$502)-2))),"—"))</f>
        <v/>
      </c>
      <c r="J259" s="26" t="str">
        <f aca="false">IF(A259="","",IFERROR(INDEX(SCD_Data!$E$3:$E$502,SUMPRODUCT((SCD_Data!$A$3:$A$502=B259)*(IFERROR(DATEVALUE(SCD_Data!$H$3:$H$502&amp;""),SCD_Data!$H$3:$H$502)&lt;=IFERROR(DATEVALUE(A259&amp;""),A259))*(IFERROR(DATEVALUE(SCD_Data!$I$3:$I$502&amp;""),SCD_Data!$I$3:$I$502)&gt;=IFERROR(DATEVALUE(A259&amp;""),A259))*(ROW(SCD_Data!$A$3:$A$502)-2))),"—"))</f>
        <v/>
      </c>
      <c r="K259" s="25" t="str">
        <f aca="false">IF(A259="","",IFERROR(INDEX(SCD_Data!$F$3:$F$502,SUMPRODUCT((SCD_Data!$A$3:$A$502=B259)*(IFERROR(DATEVALUE(SCD_Data!$H$3:$H$502&amp;""),SCD_Data!$H$3:$H$502)&lt;=IFERROR(DATEVALUE(A259&amp;""),A259))*(IFERROR(DATEVALUE(SCD_Data!$I$3:$I$502&amp;""),SCD_Data!$I$3:$I$502)&gt;=IFERROR(DATEVALUE(A259&amp;""),A259))*(ROW(SCD_Data!$A$3:$A$502)-2))),"—"))</f>
        <v/>
      </c>
      <c r="L259" s="25" t="str">
        <f aca="false">IF(A259="","",IFERROR(INDEX(SCD_Data!$G$3:$G$502,SUMPRODUCT((SCD_Data!$A$3:$A$502=B259)*(IFERROR(DATEVALUE(SCD_Data!$H$3:$H$502&amp;""),SCD_Data!$H$3:$H$502)&lt;=IFERROR(DATEVALUE(A259&amp;""),A259))*(IFERROR(DATEVALUE(SCD_Data!$I$3:$I$502&amp;""),SCD_Data!$I$3:$I$502)&gt;=IFERROR(DATEVALUE(A259&amp;""),A259))*(ROW(SCD_Data!$A$3:$A$502)-2))),"—"))</f>
        <v/>
      </c>
      <c r="M259" s="27" t="str">
        <f aca="false">IF(A259="","",IF(H259="—","—",IF(C259&amp;""=H259&amp;"","✓","✗")))</f>
        <v/>
      </c>
      <c r="N259" s="27" t="str">
        <f aca="false">IF(A259="","",IF(H259="—","—",IF(D259&amp;""=I259&amp;"","✓","✗")))</f>
        <v/>
      </c>
      <c r="O259" s="27" t="str">
        <f aca="false">IF(A259="","",IF(H259="—","—",IF(ABS(E259-J259)&lt;0.01,"✓","✗")))</f>
        <v/>
      </c>
      <c r="P259" s="27" t="str">
        <f aca="false">IF(A259="","",IF(H259="—","—",IF(F259&amp;""=K259&amp;"","✓","✗")))</f>
        <v/>
      </c>
      <c r="Q259" s="27" t="str">
        <f aca="false">IF(A259="","",IF(H259="—","—",IF(G259&amp;""=L259&amp;"","✓","✗")))</f>
        <v/>
      </c>
      <c r="R259" s="27" t="str">
        <f aca="false">IF(A259="","",IF(COUNTIF(M259:Q259,"—")=5,"⚠ NO SCD ROW",IF(COUNTIF(M259:Q259,"✗")&gt;0,"❌ MISMATCH","✅ MATCH")))</f>
        <v/>
      </c>
    </row>
    <row r="260" customFormat="false" ht="15" hidden="false" customHeight="true" outlineLevel="0" collapsed="false">
      <c r="A260" s="22" t="str">
        <f aca="false">IF(Daily_Data!A259="","",Daily_Data!A259)</f>
        <v/>
      </c>
      <c r="B260" s="23" t="str">
        <f aca="false">IF(Daily_Data!B259="","",Daily_Data!B259)</f>
        <v/>
      </c>
      <c r="C260" s="23" t="str">
        <f aca="false">IF(A260="","",Daily_Data!C259)</f>
        <v/>
      </c>
      <c r="D260" s="23" t="str">
        <f aca="false">IF(A260="","",Daily_Data!D259)</f>
        <v/>
      </c>
      <c r="E260" s="24" t="str">
        <f aca="false">IF(A260="","",Daily_Data!E259)</f>
        <v/>
      </c>
      <c r="F260" s="23" t="str">
        <f aca="false">IF(A260="","",Daily_Data!F259)</f>
        <v/>
      </c>
      <c r="G260" s="23" t="str">
        <f aca="false">IF(A260="","",Daily_Data!G259)</f>
        <v/>
      </c>
      <c r="H260" s="25" t="str">
        <f aca="false">IF(A260="","",IFERROR(INDEX(SCD_Data!$C$3:$C$502,SUMPRODUCT((SCD_Data!$A$3:$A$502=B260)*(IFERROR(DATEVALUE(SCD_Data!$H$3:$H$502&amp;""),SCD_Data!$H$3:$H$502)&lt;=IFERROR(DATEVALUE(A260&amp;""),A260))*(IFERROR(DATEVALUE(SCD_Data!$I$3:$I$502&amp;""),SCD_Data!$I$3:$I$502)&gt;=IFERROR(DATEVALUE(A260&amp;""),A260))*(ROW(SCD_Data!$A$3:$A$502)-2))),"—"))</f>
        <v/>
      </c>
      <c r="I260" s="25" t="str">
        <f aca="false">IF(A260="","",IFERROR(INDEX(SCD_Data!$D$3:$D$502,SUMPRODUCT((SCD_Data!$A$3:$A$502=B260)*(IFERROR(DATEVALUE(SCD_Data!$H$3:$H$502&amp;""),SCD_Data!$H$3:$H$502)&lt;=IFERROR(DATEVALUE(A260&amp;""),A260))*(IFERROR(DATEVALUE(SCD_Data!$I$3:$I$502&amp;""),SCD_Data!$I$3:$I$502)&gt;=IFERROR(DATEVALUE(A260&amp;""),A260))*(ROW(SCD_Data!$A$3:$A$502)-2))),"—"))</f>
        <v/>
      </c>
      <c r="J260" s="26" t="str">
        <f aca="false">IF(A260="","",IFERROR(INDEX(SCD_Data!$E$3:$E$502,SUMPRODUCT((SCD_Data!$A$3:$A$502=B260)*(IFERROR(DATEVALUE(SCD_Data!$H$3:$H$502&amp;""),SCD_Data!$H$3:$H$502)&lt;=IFERROR(DATEVALUE(A260&amp;""),A260))*(IFERROR(DATEVALUE(SCD_Data!$I$3:$I$502&amp;""),SCD_Data!$I$3:$I$502)&gt;=IFERROR(DATEVALUE(A260&amp;""),A260))*(ROW(SCD_Data!$A$3:$A$502)-2))),"—"))</f>
        <v/>
      </c>
      <c r="K260" s="25" t="str">
        <f aca="false">IF(A260="","",IFERROR(INDEX(SCD_Data!$F$3:$F$502,SUMPRODUCT((SCD_Data!$A$3:$A$502=B260)*(IFERROR(DATEVALUE(SCD_Data!$H$3:$H$502&amp;""),SCD_Data!$H$3:$H$502)&lt;=IFERROR(DATEVALUE(A260&amp;""),A260))*(IFERROR(DATEVALUE(SCD_Data!$I$3:$I$502&amp;""),SCD_Data!$I$3:$I$502)&gt;=IFERROR(DATEVALUE(A260&amp;""),A260))*(ROW(SCD_Data!$A$3:$A$502)-2))),"—"))</f>
        <v/>
      </c>
      <c r="L260" s="25" t="str">
        <f aca="false">IF(A260="","",IFERROR(INDEX(SCD_Data!$G$3:$G$502,SUMPRODUCT((SCD_Data!$A$3:$A$502=B260)*(IFERROR(DATEVALUE(SCD_Data!$H$3:$H$502&amp;""),SCD_Data!$H$3:$H$502)&lt;=IFERROR(DATEVALUE(A260&amp;""),A260))*(IFERROR(DATEVALUE(SCD_Data!$I$3:$I$502&amp;""),SCD_Data!$I$3:$I$502)&gt;=IFERROR(DATEVALUE(A260&amp;""),A260))*(ROW(SCD_Data!$A$3:$A$502)-2))),"—"))</f>
        <v/>
      </c>
      <c r="M260" s="27" t="str">
        <f aca="false">IF(A260="","",IF(H260="—","—",IF(C260&amp;""=H260&amp;"","✓","✗")))</f>
        <v/>
      </c>
      <c r="N260" s="27" t="str">
        <f aca="false">IF(A260="","",IF(H260="—","—",IF(D260&amp;""=I260&amp;"","✓","✗")))</f>
        <v/>
      </c>
      <c r="O260" s="27" t="str">
        <f aca="false">IF(A260="","",IF(H260="—","—",IF(ABS(E260-J260)&lt;0.01,"✓","✗")))</f>
        <v/>
      </c>
      <c r="P260" s="27" t="str">
        <f aca="false">IF(A260="","",IF(H260="—","—",IF(F260&amp;""=K260&amp;"","✓","✗")))</f>
        <v/>
      </c>
      <c r="Q260" s="27" t="str">
        <f aca="false">IF(A260="","",IF(H260="—","—",IF(G260&amp;""=L260&amp;"","✓","✗")))</f>
        <v/>
      </c>
      <c r="R260" s="27" t="str">
        <f aca="false">IF(A260="","",IF(COUNTIF(M260:Q260,"—")=5,"⚠ NO SCD ROW",IF(COUNTIF(M260:Q260,"✗")&gt;0,"❌ MISMATCH","✅ MATCH")))</f>
        <v/>
      </c>
    </row>
    <row r="261" customFormat="false" ht="15" hidden="false" customHeight="true" outlineLevel="0" collapsed="false">
      <c r="A261" s="22" t="str">
        <f aca="false">IF(Daily_Data!A260="","",Daily_Data!A260)</f>
        <v/>
      </c>
      <c r="B261" s="23" t="str">
        <f aca="false">IF(Daily_Data!B260="","",Daily_Data!B260)</f>
        <v/>
      </c>
      <c r="C261" s="23" t="str">
        <f aca="false">IF(A261="","",Daily_Data!C260)</f>
        <v/>
      </c>
      <c r="D261" s="23" t="str">
        <f aca="false">IF(A261="","",Daily_Data!D260)</f>
        <v/>
      </c>
      <c r="E261" s="24" t="str">
        <f aca="false">IF(A261="","",Daily_Data!E260)</f>
        <v/>
      </c>
      <c r="F261" s="23" t="str">
        <f aca="false">IF(A261="","",Daily_Data!F260)</f>
        <v/>
      </c>
      <c r="G261" s="23" t="str">
        <f aca="false">IF(A261="","",Daily_Data!G260)</f>
        <v/>
      </c>
      <c r="H261" s="25" t="str">
        <f aca="false">IF(A261="","",IFERROR(INDEX(SCD_Data!$C$3:$C$502,SUMPRODUCT((SCD_Data!$A$3:$A$502=B261)*(IFERROR(DATEVALUE(SCD_Data!$H$3:$H$502&amp;""),SCD_Data!$H$3:$H$502)&lt;=IFERROR(DATEVALUE(A261&amp;""),A261))*(IFERROR(DATEVALUE(SCD_Data!$I$3:$I$502&amp;""),SCD_Data!$I$3:$I$502)&gt;=IFERROR(DATEVALUE(A261&amp;""),A261))*(ROW(SCD_Data!$A$3:$A$502)-2))),"—"))</f>
        <v/>
      </c>
      <c r="I261" s="25" t="str">
        <f aca="false">IF(A261="","",IFERROR(INDEX(SCD_Data!$D$3:$D$502,SUMPRODUCT((SCD_Data!$A$3:$A$502=B261)*(IFERROR(DATEVALUE(SCD_Data!$H$3:$H$502&amp;""),SCD_Data!$H$3:$H$502)&lt;=IFERROR(DATEVALUE(A261&amp;""),A261))*(IFERROR(DATEVALUE(SCD_Data!$I$3:$I$502&amp;""),SCD_Data!$I$3:$I$502)&gt;=IFERROR(DATEVALUE(A261&amp;""),A261))*(ROW(SCD_Data!$A$3:$A$502)-2))),"—"))</f>
        <v/>
      </c>
      <c r="J261" s="26" t="str">
        <f aca="false">IF(A261="","",IFERROR(INDEX(SCD_Data!$E$3:$E$502,SUMPRODUCT((SCD_Data!$A$3:$A$502=B261)*(IFERROR(DATEVALUE(SCD_Data!$H$3:$H$502&amp;""),SCD_Data!$H$3:$H$502)&lt;=IFERROR(DATEVALUE(A261&amp;""),A261))*(IFERROR(DATEVALUE(SCD_Data!$I$3:$I$502&amp;""),SCD_Data!$I$3:$I$502)&gt;=IFERROR(DATEVALUE(A261&amp;""),A261))*(ROW(SCD_Data!$A$3:$A$502)-2))),"—"))</f>
        <v/>
      </c>
      <c r="K261" s="25" t="str">
        <f aca="false">IF(A261="","",IFERROR(INDEX(SCD_Data!$F$3:$F$502,SUMPRODUCT((SCD_Data!$A$3:$A$502=B261)*(IFERROR(DATEVALUE(SCD_Data!$H$3:$H$502&amp;""),SCD_Data!$H$3:$H$502)&lt;=IFERROR(DATEVALUE(A261&amp;""),A261))*(IFERROR(DATEVALUE(SCD_Data!$I$3:$I$502&amp;""),SCD_Data!$I$3:$I$502)&gt;=IFERROR(DATEVALUE(A261&amp;""),A261))*(ROW(SCD_Data!$A$3:$A$502)-2))),"—"))</f>
        <v/>
      </c>
      <c r="L261" s="25" t="str">
        <f aca="false">IF(A261="","",IFERROR(INDEX(SCD_Data!$G$3:$G$502,SUMPRODUCT((SCD_Data!$A$3:$A$502=B261)*(IFERROR(DATEVALUE(SCD_Data!$H$3:$H$502&amp;""),SCD_Data!$H$3:$H$502)&lt;=IFERROR(DATEVALUE(A261&amp;""),A261))*(IFERROR(DATEVALUE(SCD_Data!$I$3:$I$502&amp;""),SCD_Data!$I$3:$I$502)&gt;=IFERROR(DATEVALUE(A261&amp;""),A261))*(ROW(SCD_Data!$A$3:$A$502)-2))),"—"))</f>
        <v/>
      </c>
      <c r="M261" s="27" t="str">
        <f aca="false">IF(A261="","",IF(H261="—","—",IF(C261&amp;""=H261&amp;"","✓","✗")))</f>
        <v/>
      </c>
      <c r="N261" s="27" t="str">
        <f aca="false">IF(A261="","",IF(H261="—","—",IF(D261&amp;""=I261&amp;"","✓","✗")))</f>
        <v/>
      </c>
      <c r="O261" s="27" t="str">
        <f aca="false">IF(A261="","",IF(H261="—","—",IF(ABS(E261-J261)&lt;0.01,"✓","✗")))</f>
        <v/>
      </c>
      <c r="P261" s="27" t="str">
        <f aca="false">IF(A261="","",IF(H261="—","—",IF(F261&amp;""=K261&amp;"","✓","✗")))</f>
        <v/>
      </c>
      <c r="Q261" s="27" t="str">
        <f aca="false">IF(A261="","",IF(H261="—","—",IF(G261&amp;""=L261&amp;"","✓","✗")))</f>
        <v/>
      </c>
      <c r="R261" s="27" t="str">
        <f aca="false">IF(A261="","",IF(COUNTIF(M261:Q261,"—")=5,"⚠ NO SCD ROW",IF(COUNTIF(M261:Q261,"✗")&gt;0,"❌ MISMATCH","✅ MATCH")))</f>
        <v/>
      </c>
    </row>
    <row r="262" customFormat="false" ht="15" hidden="false" customHeight="true" outlineLevel="0" collapsed="false">
      <c r="A262" s="22" t="str">
        <f aca="false">IF(Daily_Data!A261="","",Daily_Data!A261)</f>
        <v/>
      </c>
      <c r="B262" s="23" t="str">
        <f aca="false">IF(Daily_Data!B261="","",Daily_Data!B261)</f>
        <v/>
      </c>
      <c r="C262" s="23" t="str">
        <f aca="false">IF(A262="","",Daily_Data!C261)</f>
        <v/>
      </c>
      <c r="D262" s="23" t="str">
        <f aca="false">IF(A262="","",Daily_Data!D261)</f>
        <v/>
      </c>
      <c r="E262" s="24" t="str">
        <f aca="false">IF(A262="","",Daily_Data!E261)</f>
        <v/>
      </c>
      <c r="F262" s="23" t="str">
        <f aca="false">IF(A262="","",Daily_Data!F261)</f>
        <v/>
      </c>
      <c r="G262" s="23" t="str">
        <f aca="false">IF(A262="","",Daily_Data!G261)</f>
        <v/>
      </c>
      <c r="H262" s="25" t="str">
        <f aca="false">IF(A262="","",IFERROR(INDEX(SCD_Data!$C$3:$C$502,SUMPRODUCT((SCD_Data!$A$3:$A$502=B262)*(IFERROR(DATEVALUE(SCD_Data!$H$3:$H$502&amp;""),SCD_Data!$H$3:$H$502)&lt;=IFERROR(DATEVALUE(A262&amp;""),A262))*(IFERROR(DATEVALUE(SCD_Data!$I$3:$I$502&amp;""),SCD_Data!$I$3:$I$502)&gt;=IFERROR(DATEVALUE(A262&amp;""),A262))*(ROW(SCD_Data!$A$3:$A$502)-2))),"—"))</f>
        <v/>
      </c>
      <c r="I262" s="25" t="str">
        <f aca="false">IF(A262="","",IFERROR(INDEX(SCD_Data!$D$3:$D$502,SUMPRODUCT((SCD_Data!$A$3:$A$502=B262)*(IFERROR(DATEVALUE(SCD_Data!$H$3:$H$502&amp;""),SCD_Data!$H$3:$H$502)&lt;=IFERROR(DATEVALUE(A262&amp;""),A262))*(IFERROR(DATEVALUE(SCD_Data!$I$3:$I$502&amp;""),SCD_Data!$I$3:$I$502)&gt;=IFERROR(DATEVALUE(A262&amp;""),A262))*(ROW(SCD_Data!$A$3:$A$502)-2))),"—"))</f>
        <v/>
      </c>
      <c r="J262" s="26" t="str">
        <f aca="false">IF(A262="","",IFERROR(INDEX(SCD_Data!$E$3:$E$502,SUMPRODUCT((SCD_Data!$A$3:$A$502=B262)*(IFERROR(DATEVALUE(SCD_Data!$H$3:$H$502&amp;""),SCD_Data!$H$3:$H$502)&lt;=IFERROR(DATEVALUE(A262&amp;""),A262))*(IFERROR(DATEVALUE(SCD_Data!$I$3:$I$502&amp;""),SCD_Data!$I$3:$I$502)&gt;=IFERROR(DATEVALUE(A262&amp;""),A262))*(ROW(SCD_Data!$A$3:$A$502)-2))),"—"))</f>
        <v/>
      </c>
      <c r="K262" s="25" t="str">
        <f aca="false">IF(A262="","",IFERROR(INDEX(SCD_Data!$F$3:$F$502,SUMPRODUCT((SCD_Data!$A$3:$A$502=B262)*(IFERROR(DATEVALUE(SCD_Data!$H$3:$H$502&amp;""),SCD_Data!$H$3:$H$502)&lt;=IFERROR(DATEVALUE(A262&amp;""),A262))*(IFERROR(DATEVALUE(SCD_Data!$I$3:$I$502&amp;""),SCD_Data!$I$3:$I$502)&gt;=IFERROR(DATEVALUE(A262&amp;""),A262))*(ROW(SCD_Data!$A$3:$A$502)-2))),"—"))</f>
        <v/>
      </c>
      <c r="L262" s="25" t="str">
        <f aca="false">IF(A262="","",IFERROR(INDEX(SCD_Data!$G$3:$G$502,SUMPRODUCT((SCD_Data!$A$3:$A$502=B262)*(IFERROR(DATEVALUE(SCD_Data!$H$3:$H$502&amp;""),SCD_Data!$H$3:$H$502)&lt;=IFERROR(DATEVALUE(A262&amp;""),A262))*(IFERROR(DATEVALUE(SCD_Data!$I$3:$I$502&amp;""),SCD_Data!$I$3:$I$502)&gt;=IFERROR(DATEVALUE(A262&amp;""),A262))*(ROW(SCD_Data!$A$3:$A$502)-2))),"—"))</f>
        <v/>
      </c>
      <c r="M262" s="27" t="str">
        <f aca="false">IF(A262="","",IF(H262="—","—",IF(C262&amp;""=H262&amp;"","✓","✗")))</f>
        <v/>
      </c>
      <c r="N262" s="27" t="str">
        <f aca="false">IF(A262="","",IF(H262="—","—",IF(D262&amp;""=I262&amp;"","✓","✗")))</f>
        <v/>
      </c>
      <c r="O262" s="27" t="str">
        <f aca="false">IF(A262="","",IF(H262="—","—",IF(ABS(E262-J262)&lt;0.01,"✓","✗")))</f>
        <v/>
      </c>
      <c r="P262" s="27" t="str">
        <f aca="false">IF(A262="","",IF(H262="—","—",IF(F262&amp;""=K262&amp;"","✓","✗")))</f>
        <v/>
      </c>
      <c r="Q262" s="27" t="str">
        <f aca="false">IF(A262="","",IF(H262="—","—",IF(G262&amp;""=L262&amp;"","✓","✗")))</f>
        <v/>
      </c>
      <c r="R262" s="27" t="str">
        <f aca="false">IF(A262="","",IF(COUNTIF(M262:Q262,"—")=5,"⚠ NO SCD ROW",IF(COUNTIF(M262:Q262,"✗")&gt;0,"❌ MISMATCH","✅ MATCH")))</f>
        <v/>
      </c>
    </row>
    <row r="263" customFormat="false" ht="15" hidden="false" customHeight="true" outlineLevel="0" collapsed="false">
      <c r="A263" s="22" t="str">
        <f aca="false">IF(Daily_Data!A262="","",Daily_Data!A262)</f>
        <v/>
      </c>
      <c r="B263" s="23" t="str">
        <f aca="false">IF(Daily_Data!B262="","",Daily_Data!B262)</f>
        <v/>
      </c>
      <c r="C263" s="23" t="str">
        <f aca="false">IF(A263="","",Daily_Data!C262)</f>
        <v/>
      </c>
      <c r="D263" s="23" t="str">
        <f aca="false">IF(A263="","",Daily_Data!D262)</f>
        <v/>
      </c>
      <c r="E263" s="24" t="str">
        <f aca="false">IF(A263="","",Daily_Data!E262)</f>
        <v/>
      </c>
      <c r="F263" s="23" t="str">
        <f aca="false">IF(A263="","",Daily_Data!F262)</f>
        <v/>
      </c>
      <c r="G263" s="23" t="str">
        <f aca="false">IF(A263="","",Daily_Data!G262)</f>
        <v/>
      </c>
      <c r="H263" s="25" t="str">
        <f aca="false">IF(A263="","",IFERROR(INDEX(SCD_Data!$C$3:$C$502,SUMPRODUCT((SCD_Data!$A$3:$A$502=B263)*(IFERROR(DATEVALUE(SCD_Data!$H$3:$H$502&amp;""),SCD_Data!$H$3:$H$502)&lt;=IFERROR(DATEVALUE(A263&amp;""),A263))*(IFERROR(DATEVALUE(SCD_Data!$I$3:$I$502&amp;""),SCD_Data!$I$3:$I$502)&gt;=IFERROR(DATEVALUE(A263&amp;""),A263))*(ROW(SCD_Data!$A$3:$A$502)-2))),"—"))</f>
        <v/>
      </c>
      <c r="I263" s="25" t="str">
        <f aca="false">IF(A263="","",IFERROR(INDEX(SCD_Data!$D$3:$D$502,SUMPRODUCT((SCD_Data!$A$3:$A$502=B263)*(IFERROR(DATEVALUE(SCD_Data!$H$3:$H$502&amp;""),SCD_Data!$H$3:$H$502)&lt;=IFERROR(DATEVALUE(A263&amp;""),A263))*(IFERROR(DATEVALUE(SCD_Data!$I$3:$I$502&amp;""),SCD_Data!$I$3:$I$502)&gt;=IFERROR(DATEVALUE(A263&amp;""),A263))*(ROW(SCD_Data!$A$3:$A$502)-2))),"—"))</f>
        <v/>
      </c>
      <c r="J263" s="26" t="str">
        <f aca="false">IF(A263="","",IFERROR(INDEX(SCD_Data!$E$3:$E$502,SUMPRODUCT((SCD_Data!$A$3:$A$502=B263)*(IFERROR(DATEVALUE(SCD_Data!$H$3:$H$502&amp;""),SCD_Data!$H$3:$H$502)&lt;=IFERROR(DATEVALUE(A263&amp;""),A263))*(IFERROR(DATEVALUE(SCD_Data!$I$3:$I$502&amp;""),SCD_Data!$I$3:$I$502)&gt;=IFERROR(DATEVALUE(A263&amp;""),A263))*(ROW(SCD_Data!$A$3:$A$502)-2))),"—"))</f>
        <v/>
      </c>
      <c r="K263" s="25" t="str">
        <f aca="false">IF(A263="","",IFERROR(INDEX(SCD_Data!$F$3:$F$502,SUMPRODUCT((SCD_Data!$A$3:$A$502=B263)*(IFERROR(DATEVALUE(SCD_Data!$H$3:$H$502&amp;""),SCD_Data!$H$3:$H$502)&lt;=IFERROR(DATEVALUE(A263&amp;""),A263))*(IFERROR(DATEVALUE(SCD_Data!$I$3:$I$502&amp;""),SCD_Data!$I$3:$I$502)&gt;=IFERROR(DATEVALUE(A263&amp;""),A263))*(ROW(SCD_Data!$A$3:$A$502)-2))),"—"))</f>
        <v/>
      </c>
      <c r="L263" s="25" t="str">
        <f aca="false">IF(A263="","",IFERROR(INDEX(SCD_Data!$G$3:$G$502,SUMPRODUCT((SCD_Data!$A$3:$A$502=B263)*(IFERROR(DATEVALUE(SCD_Data!$H$3:$H$502&amp;""),SCD_Data!$H$3:$H$502)&lt;=IFERROR(DATEVALUE(A263&amp;""),A263))*(IFERROR(DATEVALUE(SCD_Data!$I$3:$I$502&amp;""),SCD_Data!$I$3:$I$502)&gt;=IFERROR(DATEVALUE(A263&amp;""),A263))*(ROW(SCD_Data!$A$3:$A$502)-2))),"—"))</f>
        <v/>
      </c>
      <c r="M263" s="27" t="str">
        <f aca="false">IF(A263="","",IF(H263="—","—",IF(C263&amp;""=H263&amp;"","✓","✗")))</f>
        <v/>
      </c>
      <c r="N263" s="27" t="str">
        <f aca="false">IF(A263="","",IF(H263="—","—",IF(D263&amp;""=I263&amp;"","✓","✗")))</f>
        <v/>
      </c>
      <c r="O263" s="27" t="str">
        <f aca="false">IF(A263="","",IF(H263="—","—",IF(ABS(E263-J263)&lt;0.01,"✓","✗")))</f>
        <v/>
      </c>
      <c r="P263" s="27" t="str">
        <f aca="false">IF(A263="","",IF(H263="—","—",IF(F263&amp;""=K263&amp;"","✓","✗")))</f>
        <v/>
      </c>
      <c r="Q263" s="27" t="str">
        <f aca="false">IF(A263="","",IF(H263="—","—",IF(G263&amp;""=L263&amp;"","✓","✗")))</f>
        <v/>
      </c>
      <c r="R263" s="27" t="str">
        <f aca="false">IF(A263="","",IF(COUNTIF(M263:Q263,"—")=5,"⚠ NO SCD ROW",IF(COUNTIF(M263:Q263,"✗")&gt;0,"❌ MISMATCH","✅ MATCH")))</f>
        <v/>
      </c>
    </row>
    <row r="264" customFormat="false" ht="15" hidden="false" customHeight="true" outlineLevel="0" collapsed="false">
      <c r="A264" s="22" t="str">
        <f aca="false">IF(Daily_Data!A263="","",Daily_Data!A263)</f>
        <v/>
      </c>
      <c r="B264" s="23" t="str">
        <f aca="false">IF(Daily_Data!B263="","",Daily_Data!B263)</f>
        <v/>
      </c>
      <c r="C264" s="23" t="str">
        <f aca="false">IF(A264="","",Daily_Data!C263)</f>
        <v/>
      </c>
      <c r="D264" s="23" t="str">
        <f aca="false">IF(A264="","",Daily_Data!D263)</f>
        <v/>
      </c>
      <c r="E264" s="24" t="str">
        <f aca="false">IF(A264="","",Daily_Data!E263)</f>
        <v/>
      </c>
      <c r="F264" s="23" t="str">
        <f aca="false">IF(A264="","",Daily_Data!F263)</f>
        <v/>
      </c>
      <c r="G264" s="23" t="str">
        <f aca="false">IF(A264="","",Daily_Data!G263)</f>
        <v/>
      </c>
      <c r="H264" s="25" t="str">
        <f aca="false">IF(A264="","",IFERROR(INDEX(SCD_Data!$C$3:$C$502,SUMPRODUCT((SCD_Data!$A$3:$A$502=B264)*(IFERROR(DATEVALUE(SCD_Data!$H$3:$H$502&amp;""),SCD_Data!$H$3:$H$502)&lt;=IFERROR(DATEVALUE(A264&amp;""),A264))*(IFERROR(DATEVALUE(SCD_Data!$I$3:$I$502&amp;""),SCD_Data!$I$3:$I$502)&gt;=IFERROR(DATEVALUE(A264&amp;""),A264))*(ROW(SCD_Data!$A$3:$A$502)-2))),"—"))</f>
        <v/>
      </c>
      <c r="I264" s="25" t="str">
        <f aca="false">IF(A264="","",IFERROR(INDEX(SCD_Data!$D$3:$D$502,SUMPRODUCT((SCD_Data!$A$3:$A$502=B264)*(IFERROR(DATEVALUE(SCD_Data!$H$3:$H$502&amp;""),SCD_Data!$H$3:$H$502)&lt;=IFERROR(DATEVALUE(A264&amp;""),A264))*(IFERROR(DATEVALUE(SCD_Data!$I$3:$I$502&amp;""),SCD_Data!$I$3:$I$502)&gt;=IFERROR(DATEVALUE(A264&amp;""),A264))*(ROW(SCD_Data!$A$3:$A$502)-2))),"—"))</f>
        <v/>
      </c>
      <c r="J264" s="26" t="str">
        <f aca="false">IF(A264="","",IFERROR(INDEX(SCD_Data!$E$3:$E$502,SUMPRODUCT((SCD_Data!$A$3:$A$502=B264)*(IFERROR(DATEVALUE(SCD_Data!$H$3:$H$502&amp;""),SCD_Data!$H$3:$H$502)&lt;=IFERROR(DATEVALUE(A264&amp;""),A264))*(IFERROR(DATEVALUE(SCD_Data!$I$3:$I$502&amp;""),SCD_Data!$I$3:$I$502)&gt;=IFERROR(DATEVALUE(A264&amp;""),A264))*(ROW(SCD_Data!$A$3:$A$502)-2))),"—"))</f>
        <v/>
      </c>
      <c r="K264" s="25" t="str">
        <f aca="false">IF(A264="","",IFERROR(INDEX(SCD_Data!$F$3:$F$502,SUMPRODUCT((SCD_Data!$A$3:$A$502=B264)*(IFERROR(DATEVALUE(SCD_Data!$H$3:$H$502&amp;""),SCD_Data!$H$3:$H$502)&lt;=IFERROR(DATEVALUE(A264&amp;""),A264))*(IFERROR(DATEVALUE(SCD_Data!$I$3:$I$502&amp;""),SCD_Data!$I$3:$I$502)&gt;=IFERROR(DATEVALUE(A264&amp;""),A264))*(ROW(SCD_Data!$A$3:$A$502)-2))),"—"))</f>
        <v/>
      </c>
      <c r="L264" s="25" t="str">
        <f aca="false">IF(A264="","",IFERROR(INDEX(SCD_Data!$G$3:$G$502,SUMPRODUCT((SCD_Data!$A$3:$A$502=B264)*(IFERROR(DATEVALUE(SCD_Data!$H$3:$H$502&amp;""),SCD_Data!$H$3:$H$502)&lt;=IFERROR(DATEVALUE(A264&amp;""),A264))*(IFERROR(DATEVALUE(SCD_Data!$I$3:$I$502&amp;""),SCD_Data!$I$3:$I$502)&gt;=IFERROR(DATEVALUE(A264&amp;""),A264))*(ROW(SCD_Data!$A$3:$A$502)-2))),"—"))</f>
        <v/>
      </c>
      <c r="M264" s="27" t="str">
        <f aca="false">IF(A264="","",IF(H264="—","—",IF(C264&amp;""=H264&amp;"","✓","✗")))</f>
        <v/>
      </c>
      <c r="N264" s="27" t="str">
        <f aca="false">IF(A264="","",IF(H264="—","—",IF(D264&amp;""=I264&amp;"","✓","✗")))</f>
        <v/>
      </c>
      <c r="O264" s="27" t="str">
        <f aca="false">IF(A264="","",IF(H264="—","—",IF(ABS(E264-J264)&lt;0.01,"✓","✗")))</f>
        <v/>
      </c>
      <c r="P264" s="27" t="str">
        <f aca="false">IF(A264="","",IF(H264="—","—",IF(F264&amp;""=K264&amp;"","✓","✗")))</f>
        <v/>
      </c>
      <c r="Q264" s="27" t="str">
        <f aca="false">IF(A264="","",IF(H264="—","—",IF(G264&amp;""=L264&amp;"","✓","✗")))</f>
        <v/>
      </c>
      <c r="R264" s="27" t="str">
        <f aca="false">IF(A264="","",IF(COUNTIF(M264:Q264,"—")=5,"⚠ NO SCD ROW",IF(COUNTIF(M264:Q264,"✗")&gt;0,"❌ MISMATCH","✅ MATCH")))</f>
        <v/>
      </c>
    </row>
    <row r="265" customFormat="false" ht="15" hidden="false" customHeight="true" outlineLevel="0" collapsed="false">
      <c r="A265" s="22" t="str">
        <f aca="false">IF(Daily_Data!A264="","",Daily_Data!A264)</f>
        <v/>
      </c>
      <c r="B265" s="23" t="str">
        <f aca="false">IF(Daily_Data!B264="","",Daily_Data!B264)</f>
        <v/>
      </c>
      <c r="C265" s="23" t="str">
        <f aca="false">IF(A265="","",Daily_Data!C264)</f>
        <v/>
      </c>
      <c r="D265" s="23" t="str">
        <f aca="false">IF(A265="","",Daily_Data!D264)</f>
        <v/>
      </c>
      <c r="E265" s="24" t="str">
        <f aca="false">IF(A265="","",Daily_Data!E264)</f>
        <v/>
      </c>
      <c r="F265" s="23" t="str">
        <f aca="false">IF(A265="","",Daily_Data!F264)</f>
        <v/>
      </c>
      <c r="G265" s="23" t="str">
        <f aca="false">IF(A265="","",Daily_Data!G264)</f>
        <v/>
      </c>
      <c r="H265" s="25" t="str">
        <f aca="false">IF(A265="","",IFERROR(INDEX(SCD_Data!$C$3:$C$502,SUMPRODUCT((SCD_Data!$A$3:$A$502=B265)*(IFERROR(DATEVALUE(SCD_Data!$H$3:$H$502&amp;""),SCD_Data!$H$3:$H$502)&lt;=IFERROR(DATEVALUE(A265&amp;""),A265))*(IFERROR(DATEVALUE(SCD_Data!$I$3:$I$502&amp;""),SCD_Data!$I$3:$I$502)&gt;=IFERROR(DATEVALUE(A265&amp;""),A265))*(ROW(SCD_Data!$A$3:$A$502)-2))),"—"))</f>
        <v/>
      </c>
      <c r="I265" s="25" t="str">
        <f aca="false">IF(A265="","",IFERROR(INDEX(SCD_Data!$D$3:$D$502,SUMPRODUCT((SCD_Data!$A$3:$A$502=B265)*(IFERROR(DATEVALUE(SCD_Data!$H$3:$H$502&amp;""),SCD_Data!$H$3:$H$502)&lt;=IFERROR(DATEVALUE(A265&amp;""),A265))*(IFERROR(DATEVALUE(SCD_Data!$I$3:$I$502&amp;""),SCD_Data!$I$3:$I$502)&gt;=IFERROR(DATEVALUE(A265&amp;""),A265))*(ROW(SCD_Data!$A$3:$A$502)-2))),"—"))</f>
        <v/>
      </c>
      <c r="J265" s="26" t="str">
        <f aca="false">IF(A265="","",IFERROR(INDEX(SCD_Data!$E$3:$E$502,SUMPRODUCT((SCD_Data!$A$3:$A$502=B265)*(IFERROR(DATEVALUE(SCD_Data!$H$3:$H$502&amp;""),SCD_Data!$H$3:$H$502)&lt;=IFERROR(DATEVALUE(A265&amp;""),A265))*(IFERROR(DATEVALUE(SCD_Data!$I$3:$I$502&amp;""),SCD_Data!$I$3:$I$502)&gt;=IFERROR(DATEVALUE(A265&amp;""),A265))*(ROW(SCD_Data!$A$3:$A$502)-2))),"—"))</f>
        <v/>
      </c>
      <c r="K265" s="25" t="str">
        <f aca="false">IF(A265="","",IFERROR(INDEX(SCD_Data!$F$3:$F$502,SUMPRODUCT((SCD_Data!$A$3:$A$502=B265)*(IFERROR(DATEVALUE(SCD_Data!$H$3:$H$502&amp;""),SCD_Data!$H$3:$H$502)&lt;=IFERROR(DATEVALUE(A265&amp;""),A265))*(IFERROR(DATEVALUE(SCD_Data!$I$3:$I$502&amp;""),SCD_Data!$I$3:$I$502)&gt;=IFERROR(DATEVALUE(A265&amp;""),A265))*(ROW(SCD_Data!$A$3:$A$502)-2))),"—"))</f>
        <v/>
      </c>
      <c r="L265" s="25" t="str">
        <f aca="false">IF(A265="","",IFERROR(INDEX(SCD_Data!$G$3:$G$502,SUMPRODUCT((SCD_Data!$A$3:$A$502=B265)*(IFERROR(DATEVALUE(SCD_Data!$H$3:$H$502&amp;""),SCD_Data!$H$3:$H$502)&lt;=IFERROR(DATEVALUE(A265&amp;""),A265))*(IFERROR(DATEVALUE(SCD_Data!$I$3:$I$502&amp;""),SCD_Data!$I$3:$I$502)&gt;=IFERROR(DATEVALUE(A265&amp;""),A265))*(ROW(SCD_Data!$A$3:$A$502)-2))),"—"))</f>
        <v/>
      </c>
      <c r="M265" s="27" t="str">
        <f aca="false">IF(A265="","",IF(H265="—","—",IF(C265&amp;""=H265&amp;"","✓","✗")))</f>
        <v/>
      </c>
      <c r="N265" s="27" t="str">
        <f aca="false">IF(A265="","",IF(H265="—","—",IF(D265&amp;""=I265&amp;"","✓","✗")))</f>
        <v/>
      </c>
      <c r="O265" s="27" t="str">
        <f aca="false">IF(A265="","",IF(H265="—","—",IF(ABS(E265-J265)&lt;0.01,"✓","✗")))</f>
        <v/>
      </c>
      <c r="P265" s="27" t="str">
        <f aca="false">IF(A265="","",IF(H265="—","—",IF(F265&amp;""=K265&amp;"","✓","✗")))</f>
        <v/>
      </c>
      <c r="Q265" s="27" t="str">
        <f aca="false">IF(A265="","",IF(H265="—","—",IF(G265&amp;""=L265&amp;"","✓","✗")))</f>
        <v/>
      </c>
      <c r="R265" s="27" t="str">
        <f aca="false">IF(A265="","",IF(COUNTIF(M265:Q265,"—")=5,"⚠ NO SCD ROW",IF(COUNTIF(M265:Q265,"✗")&gt;0,"❌ MISMATCH","✅ MATCH")))</f>
        <v/>
      </c>
    </row>
    <row r="266" customFormat="false" ht="15" hidden="false" customHeight="true" outlineLevel="0" collapsed="false">
      <c r="A266" s="22" t="str">
        <f aca="false">IF(Daily_Data!A265="","",Daily_Data!A265)</f>
        <v/>
      </c>
      <c r="B266" s="23" t="str">
        <f aca="false">IF(Daily_Data!B265="","",Daily_Data!B265)</f>
        <v/>
      </c>
      <c r="C266" s="23" t="str">
        <f aca="false">IF(A266="","",Daily_Data!C265)</f>
        <v/>
      </c>
      <c r="D266" s="23" t="str">
        <f aca="false">IF(A266="","",Daily_Data!D265)</f>
        <v/>
      </c>
      <c r="E266" s="24" t="str">
        <f aca="false">IF(A266="","",Daily_Data!E265)</f>
        <v/>
      </c>
      <c r="F266" s="23" t="str">
        <f aca="false">IF(A266="","",Daily_Data!F265)</f>
        <v/>
      </c>
      <c r="G266" s="23" t="str">
        <f aca="false">IF(A266="","",Daily_Data!G265)</f>
        <v/>
      </c>
      <c r="H266" s="25" t="str">
        <f aca="false">IF(A266="","",IFERROR(INDEX(SCD_Data!$C$3:$C$502,SUMPRODUCT((SCD_Data!$A$3:$A$502=B266)*(IFERROR(DATEVALUE(SCD_Data!$H$3:$H$502&amp;""),SCD_Data!$H$3:$H$502)&lt;=IFERROR(DATEVALUE(A266&amp;""),A266))*(IFERROR(DATEVALUE(SCD_Data!$I$3:$I$502&amp;""),SCD_Data!$I$3:$I$502)&gt;=IFERROR(DATEVALUE(A266&amp;""),A266))*(ROW(SCD_Data!$A$3:$A$502)-2))),"—"))</f>
        <v/>
      </c>
      <c r="I266" s="25" t="str">
        <f aca="false">IF(A266="","",IFERROR(INDEX(SCD_Data!$D$3:$D$502,SUMPRODUCT((SCD_Data!$A$3:$A$502=B266)*(IFERROR(DATEVALUE(SCD_Data!$H$3:$H$502&amp;""),SCD_Data!$H$3:$H$502)&lt;=IFERROR(DATEVALUE(A266&amp;""),A266))*(IFERROR(DATEVALUE(SCD_Data!$I$3:$I$502&amp;""),SCD_Data!$I$3:$I$502)&gt;=IFERROR(DATEVALUE(A266&amp;""),A266))*(ROW(SCD_Data!$A$3:$A$502)-2))),"—"))</f>
        <v/>
      </c>
      <c r="J266" s="26" t="str">
        <f aca="false">IF(A266="","",IFERROR(INDEX(SCD_Data!$E$3:$E$502,SUMPRODUCT((SCD_Data!$A$3:$A$502=B266)*(IFERROR(DATEVALUE(SCD_Data!$H$3:$H$502&amp;""),SCD_Data!$H$3:$H$502)&lt;=IFERROR(DATEVALUE(A266&amp;""),A266))*(IFERROR(DATEVALUE(SCD_Data!$I$3:$I$502&amp;""),SCD_Data!$I$3:$I$502)&gt;=IFERROR(DATEVALUE(A266&amp;""),A266))*(ROW(SCD_Data!$A$3:$A$502)-2))),"—"))</f>
        <v/>
      </c>
      <c r="K266" s="25" t="str">
        <f aca="false">IF(A266="","",IFERROR(INDEX(SCD_Data!$F$3:$F$502,SUMPRODUCT((SCD_Data!$A$3:$A$502=B266)*(IFERROR(DATEVALUE(SCD_Data!$H$3:$H$502&amp;""),SCD_Data!$H$3:$H$502)&lt;=IFERROR(DATEVALUE(A266&amp;""),A266))*(IFERROR(DATEVALUE(SCD_Data!$I$3:$I$502&amp;""),SCD_Data!$I$3:$I$502)&gt;=IFERROR(DATEVALUE(A266&amp;""),A266))*(ROW(SCD_Data!$A$3:$A$502)-2))),"—"))</f>
        <v/>
      </c>
      <c r="L266" s="25" t="str">
        <f aca="false">IF(A266="","",IFERROR(INDEX(SCD_Data!$G$3:$G$502,SUMPRODUCT((SCD_Data!$A$3:$A$502=B266)*(IFERROR(DATEVALUE(SCD_Data!$H$3:$H$502&amp;""),SCD_Data!$H$3:$H$502)&lt;=IFERROR(DATEVALUE(A266&amp;""),A266))*(IFERROR(DATEVALUE(SCD_Data!$I$3:$I$502&amp;""),SCD_Data!$I$3:$I$502)&gt;=IFERROR(DATEVALUE(A266&amp;""),A266))*(ROW(SCD_Data!$A$3:$A$502)-2))),"—"))</f>
        <v/>
      </c>
      <c r="M266" s="27" t="str">
        <f aca="false">IF(A266="","",IF(H266="—","—",IF(C266&amp;""=H266&amp;"","✓","✗")))</f>
        <v/>
      </c>
      <c r="N266" s="27" t="str">
        <f aca="false">IF(A266="","",IF(H266="—","—",IF(D266&amp;""=I266&amp;"","✓","✗")))</f>
        <v/>
      </c>
      <c r="O266" s="27" t="str">
        <f aca="false">IF(A266="","",IF(H266="—","—",IF(ABS(E266-J266)&lt;0.01,"✓","✗")))</f>
        <v/>
      </c>
      <c r="P266" s="27" t="str">
        <f aca="false">IF(A266="","",IF(H266="—","—",IF(F266&amp;""=K266&amp;"","✓","✗")))</f>
        <v/>
      </c>
      <c r="Q266" s="27" t="str">
        <f aca="false">IF(A266="","",IF(H266="—","—",IF(G266&amp;""=L266&amp;"","✓","✗")))</f>
        <v/>
      </c>
      <c r="R266" s="27" t="str">
        <f aca="false">IF(A266="","",IF(COUNTIF(M266:Q266,"—")=5,"⚠ NO SCD ROW",IF(COUNTIF(M266:Q266,"✗")&gt;0,"❌ MISMATCH","✅ MATCH")))</f>
        <v/>
      </c>
    </row>
    <row r="267" customFormat="false" ht="15" hidden="false" customHeight="true" outlineLevel="0" collapsed="false">
      <c r="A267" s="22" t="str">
        <f aca="false">IF(Daily_Data!A266="","",Daily_Data!A266)</f>
        <v/>
      </c>
      <c r="B267" s="23" t="str">
        <f aca="false">IF(Daily_Data!B266="","",Daily_Data!B266)</f>
        <v/>
      </c>
      <c r="C267" s="23" t="str">
        <f aca="false">IF(A267="","",Daily_Data!C266)</f>
        <v/>
      </c>
      <c r="D267" s="23" t="str">
        <f aca="false">IF(A267="","",Daily_Data!D266)</f>
        <v/>
      </c>
      <c r="E267" s="24" t="str">
        <f aca="false">IF(A267="","",Daily_Data!E266)</f>
        <v/>
      </c>
      <c r="F267" s="23" t="str">
        <f aca="false">IF(A267="","",Daily_Data!F266)</f>
        <v/>
      </c>
      <c r="G267" s="23" t="str">
        <f aca="false">IF(A267="","",Daily_Data!G266)</f>
        <v/>
      </c>
      <c r="H267" s="25" t="str">
        <f aca="false">IF(A267="","",IFERROR(INDEX(SCD_Data!$C$3:$C$502,SUMPRODUCT((SCD_Data!$A$3:$A$502=B267)*(IFERROR(DATEVALUE(SCD_Data!$H$3:$H$502&amp;""),SCD_Data!$H$3:$H$502)&lt;=IFERROR(DATEVALUE(A267&amp;""),A267))*(IFERROR(DATEVALUE(SCD_Data!$I$3:$I$502&amp;""),SCD_Data!$I$3:$I$502)&gt;=IFERROR(DATEVALUE(A267&amp;""),A267))*(ROW(SCD_Data!$A$3:$A$502)-2))),"—"))</f>
        <v/>
      </c>
      <c r="I267" s="25" t="str">
        <f aca="false">IF(A267="","",IFERROR(INDEX(SCD_Data!$D$3:$D$502,SUMPRODUCT((SCD_Data!$A$3:$A$502=B267)*(IFERROR(DATEVALUE(SCD_Data!$H$3:$H$502&amp;""),SCD_Data!$H$3:$H$502)&lt;=IFERROR(DATEVALUE(A267&amp;""),A267))*(IFERROR(DATEVALUE(SCD_Data!$I$3:$I$502&amp;""),SCD_Data!$I$3:$I$502)&gt;=IFERROR(DATEVALUE(A267&amp;""),A267))*(ROW(SCD_Data!$A$3:$A$502)-2))),"—"))</f>
        <v/>
      </c>
      <c r="J267" s="26" t="str">
        <f aca="false">IF(A267="","",IFERROR(INDEX(SCD_Data!$E$3:$E$502,SUMPRODUCT((SCD_Data!$A$3:$A$502=B267)*(IFERROR(DATEVALUE(SCD_Data!$H$3:$H$502&amp;""),SCD_Data!$H$3:$H$502)&lt;=IFERROR(DATEVALUE(A267&amp;""),A267))*(IFERROR(DATEVALUE(SCD_Data!$I$3:$I$502&amp;""),SCD_Data!$I$3:$I$502)&gt;=IFERROR(DATEVALUE(A267&amp;""),A267))*(ROW(SCD_Data!$A$3:$A$502)-2))),"—"))</f>
        <v/>
      </c>
      <c r="K267" s="25" t="str">
        <f aca="false">IF(A267="","",IFERROR(INDEX(SCD_Data!$F$3:$F$502,SUMPRODUCT((SCD_Data!$A$3:$A$502=B267)*(IFERROR(DATEVALUE(SCD_Data!$H$3:$H$502&amp;""),SCD_Data!$H$3:$H$502)&lt;=IFERROR(DATEVALUE(A267&amp;""),A267))*(IFERROR(DATEVALUE(SCD_Data!$I$3:$I$502&amp;""),SCD_Data!$I$3:$I$502)&gt;=IFERROR(DATEVALUE(A267&amp;""),A267))*(ROW(SCD_Data!$A$3:$A$502)-2))),"—"))</f>
        <v/>
      </c>
      <c r="L267" s="25" t="str">
        <f aca="false">IF(A267="","",IFERROR(INDEX(SCD_Data!$G$3:$G$502,SUMPRODUCT((SCD_Data!$A$3:$A$502=B267)*(IFERROR(DATEVALUE(SCD_Data!$H$3:$H$502&amp;""),SCD_Data!$H$3:$H$502)&lt;=IFERROR(DATEVALUE(A267&amp;""),A267))*(IFERROR(DATEVALUE(SCD_Data!$I$3:$I$502&amp;""),SCD_Data!$I$3:$I$502)&gt;=IFERROR(DATEVALUE(A267&amp;""),A267))*(ROW(SCD_Data!$A$3:$A$502)-2))),"—"))</f>
        <v/>
      </c>
      <c r="M267" s="27" t="str">
        <f aca="false">IF(A267="","",IF(H267="—","—",IF(C267&amp;""=H267&amp;"","✓","✗")))</f>
        <v/>
      </c>
      <c r="N267" s="27" t="str">
        <f aca="false">IF(A267="","",IF(H267="—","—",IF(D267&amp;""=I267&amp;"","✓","✗")))</f>
        <v/>
      </c>
      <c r="O267" s="27" t="str">
        <f aca="false">IF(A267="","",IF(H267="—","—",IF(ABS(E267-J267)&lt;0.01,"✓","✗")))</f>
        <v/>
      </c>
      <c r="P267" s="27" t="str">
        <f aca="false">IF(A267="","",IF(H267="—","—",IF(F267&amp;""=K267&amp;"","✓","✗")))</f>
        <v/>
      </c>
      <c r="Q267" s="27" t="str">
        <f aca="false">IF(A267="","",IF(H267="—","—",IF(G267&amp;""=L267&amp;"","✓","✗")))</f>
        <v/>
      </c>
      <c r="R267" s="27" t="str">
        <f aca="false">IF(A267="","",IF(COUNTIF(M267:Q267,"—")=5,"⚠ NO SCD ROW",IF(COUNTIF(M267:Q267,"✗")&gt;0,"❌ MISMATCH","✅ MATCH")))</f>
        <v/>
      </c>
    </row>
    <row r="268" customFormat="false" ht="15" hidden="false" customHeight="true" outlineLevel="0" collapsed="false">
      <c r="A268" s="22" t="str">
        <f aca="false">IF(Daily_Data!A267="","",Daily_Data!A267)</f>
        <v/>
      </c>
      <c r="B268" s="23" t="str">
        <f aca="false">IF(Daily_Data!B267="","",Daily_Data!B267)</f>
        <v/>
      </c>
      <c r="C268" s="23" t="str">
        <f aca="false">IF(A268="","",Daily_Data!C267)</f>
        <v/>
      </c>
      <c r="D268" s="23" t="str">
        <f aca="false">IF(A268="","",Daily_Data!D267)</f>
        <v/>
      </c>
      <c r="E268" s="24" t="str">
        <f aca="false">IF(A268="","",Daily_Data!E267)</f>
        <v/>
      </c>
      <c r="F268" s="23" t="str">
        <f aca="false">IF(A268="","",Daily_Data!F267)</f>
        <v/>
      </c>
      <c r="G268" s="23" t="str">
        <f aca="false">IF(A268="","",Daily_Data!G267)</f>
        <v/>
      </c>
      <c r="H268" s="25" t="str">
        <f aca="false">IF(A268="","",IFERROR(INDEX(SCD_Data!$C$3:$C$502,SUMPRODUCT((SCD_Data!$A$3:$A$502=B268)*(IFERROR(DATEVALUE(SCD_Data!$H$3:$H$502&amp;""),SCD_Data!$H$3:$H$502)&lt;=IFERROR(DATEVALUE(A268&amp;""),A268))*(IFERROR(DATEVALUE(SCD_Data!$I$3:$I$502&amp;""),SCD_Data!$I$3:$I$502)&gt;=IFERROR(DATEVALUE(A268&amp;""),A268))*(ROW(SCD_Data!$A$3:$A$502)-2))),"—"))</f>
        <v/>
      </c>
      <c r="I268" s="25" t="str">
        <f aca="false">IF(A268="","",IFERROR(INDEX(SCD_Data!$D$3:$D$502,SUMPRODUCT((SCD_Data!$A$3:$A$502=B268)*(IFERROR(DATEVALUE(SCD_Data!$H$3:$H$502&amp;""),SCD_Data!$H$3:$H$502)&lt;=IFERROR(DATEVALUE(A268&amp;""),A268))*(IFERROR(DATEVALUE(SCD_Data!$I$3:$I$502&amp;""),SCD_Data!$I$3:$I$502)&gt;=IFERROR(DATEVALUE(A268&amp;""),A268))*(ROW(SCD_Data!$A$3:$A$502)-2))),"—"))</f>
        <v/>
      </c>
      <c r="J268" s="26" t="str">
        <f aca="false">IF(A268="","",IFERROR(INDEX(SCD_Data!$E$3:$E$502,SUMPRODUCT((SCD_Data!$A$3:$A$502=B268)*(IFERROR(DATEVALUE(SCD_Data!$H$3:$H$502&amp;""),SCD_Data!$H$3:$H$502)&lt;=IFERROR(DATEVALUE(A268&amp;""),A268))*(IFERROR(DATEVALUE(SCD_Data!$I$3:$I$502&amp;""),SCD_Data!$I$3:$I$502)&gt;=IFERROR(DATEVALUE(A268&amp;""),A268))*(ROW(SCD_Data!$A$3:$A$502)-2))),"—"))</f>
        <v/>
      </c>
      <c r="K268" s="25" t="str">
        <f aca="false">IF(A268="","",IFERROR(INDEX(SCD_Data!$F$3:$F$502,SUMPRODUCT((SCD_Data!$A$3:$A$502=B268)*(IFERROR(DATEVALUE(SCD_Data!$H$3:$H$502&amp;""),SCD_Data!$H$3:$H$502)&lt;=IFERROR(DATEVALUE(A268&amp;""),A268))*(IFERROR(DATEVALUE(SCD_Data!$I$3:$I$502&amp;""),SCD_Data!$I$3:$I$502)&gt;=IFERROR(DATEVALUE(A268&amp;""),A268))*(ROW(SCD_Data!$A$3:$A$502)-2))),"—"))</f>
        <v/>
      </c>
      <c r="L268" s="25" t="str">
        <f aca="false">IF(A268="","",IFERROR(INDEX(SCD_Data!$G$3:$G$502,SUMPRODUCT((SCD_Data!$A$3:$A$502=B268)*(IFERROR(DATEVALUE(SCD_Data!$H$3:$H$502&amp;""),SCD_Data!$H$3:$H$502)&lt;=IFERROR(DATEVALUE(A268&amp;""),A268))*(IFERROR(DATEVALUE(SCD_Data!$I$3:$I$502&amp;""),SCD_Data!$I$3:$I$502)&gt;=IFERROR(DATEVALUE(A268&amp;""),A268))*(ROW(SCD_Data!$A$3:$A$502)-2))),"—"))</f>
        <v/>
      </c>
      <c r="M268" s="27" t="str">
        <f aca="false">IF(A268="","",IF(H268="—","—",IF(C268&amp;""=H268&amp;"","✓","✗")))</f>
        <v/>
      </c>
      <c r="N268" s="27" t="str">
        <f aca="false">IF(A268="","",IF(H268="—","—",IF(D268&amp;""=I268&amp;"","✓","✗")))</f>
        <v/>
      </c>
      <c r="O268" s="27" t="str">
        <f aca="false">IF(A268="","",IF(H268="—","—",IF(ABS(E268-J268)&lt;0.01,"✓","✗")))</f>
        <v/>
      </c>
      <c r="P268" s="27" t="str">
        <f aca="false">IF(A268="","",IF(H268="—","—",IF(F268&amp;""=K268&amp;"","✓","✗")))</f>
        <v/>
      </c>
      <c r="Q268" s="27" t="str">
        <f aca="false">IF(A268="","",IF(H268="—","—",IF(G268&amp;""=L268&amp;"","✓","✗")))</f>
        <v/>
      </c>
      <c r="R268" s="27" t="str">
        <f aca="false">IF(A268="","",IF(COUNTIF(M268:Q268,"—")=5,"⚠ NO SCD ROW",IF(COUNTIF(M268:Q268,"✗")&gt;0,"❌ MISMATCH","✅ MATCH")))</f>
        <v/>
      </c>
    </row>
    <row r="269" customFormat="false" ht="15" hidden="false" customHeight="true" outlineLevel="0" collapsed="false">
      <c r="A269" s="22" t="str">
        <f aca="false">IF(Daily_Data!A268="","",Daily_Data!A268)</f>
        <v/>
      </c>
      <c r="B269" s="23" t="str">
        <f aca="false">IF(Daily_Data!B268="","",Daily_Data!B268)</f>
        <v/>
      </c>
      <c r="C269" s="23" t="str">
        <f aca="false">IF(A269="","",Daily_Data!C268)</f>
        <v/>
      </c>
      <c r="D269" s="23" t="str">
        <f aca="false">IF(A269="","",Daily_Data!D268)</f>
        <v/>
      </c>
      <c r="E269" s="24" t="str">
        <f aca="false">IF(A269="","",Daily_Data!E268)</f>
        <v/>
      </c>
      <c r="F269" s="23" t="str">
        <f aca="false">IF(A269="","",Daily_Data!F268)</f>
        <v/>
      </c>
      <c r="G269" s="23" t="str">
        <f aca="false">IF(A269="","",Daily_Data!G268)</f>
        <v/>
      </c>
      <c r="H269" s="25" t="str">
        <f aca="false">IF(A269="","",IFERROR(INDEX(SCD_Data!$C$3:$C$502,SUMPRODUCT((SCD_Data!$A$3:$A$502=B269)*(IFERROR(DATEVALUE(SCD_Data!$H$3:$H$502&amp;""),SCD_Data!$H$3:$H$502)&lt;=IFERROR(DATEVALUE(A269&amp;""),A269))*(IFERROR(DATEVALUE(SCD_Data!$I$3:$I$502&amp;""),SCD_Data!$I$3:$I$502)&gt;=IFERROR(DATEVALUE(A269&amp;""),A269))*(ROW(SCD_Data!$A$3:$A$502)-2))),"—"))</f>
        <v/>
      </c>
      <c r="I269" s="25" t="str">
        <f aca="false">IF(A269="","",IFERROR(INDEX(SCD_Data!$D$3:$D$502,SUMPRODUCT((SCD_Data!$A$3:$A$502=B269)*(IFERROR(DATEVALUE(SCD_Data!$H$3:$H$502&amp;""),SCD_Data!$H$3:$H$502)&lt;=IFERROR(DATEVALUE(A269&amp;""),A269))*(IFERROR(DATEVALUE(SCD_Data!$I$3:$I$502&amp;""),SCD_Data!$I$3:$I$502)&gt;=IFERROR(DATEVALUE(A269&amp;""),A269))*(ROW(SCD_Data!$A$3:$A$502)-2))),"—"))</f>
        <v/>
      </c>
      <c r="J269" s="26" t="str">
        <f aca="false">IF(A269="","",IFERROR(INDEX(SCD_Data!$E$3:$E$502,SUMPRODUCT((SCD_Data!$A$3:$A$502=B269)*(IFERROR(DATEVALUE(SCD_Data!$H$3:$H$502&amp;""),SCD_Data!$H$3:$H$502)&lt;=IFERROR(DATEVALUE(A269&amp;""),A269))*(IFERROR(DATEVALUE(SCD_Data!$I$3:$I$502&amp;""),SCD_Data!$I$3:$I$502)&gt;=IFERROR(DATEVALUE(A269&amp;""),A269))*(ROW(SCD_Data!$A$3:$A$502)-2))),"—"))</f>
        <v/>
      </c>
      <c r="K269" s="25" t="str">
        <f aca="false">IF(A269="","",IFERROR(INDEX(SCD_Data!$F$3:$F$502,SUMPRODUCT((SCD_Data!$A$3:$A$502=B269)*(IFERROR(DATEVALUE(SCD_Data!$H$3:$H$502&amp;""),SCD_Data!$H$3:$H$502)&lt;=IFERROR(DATEVALUE(A269&amp;""),A269))*(IFERROR(DATEVALUE(SCD_Data!$I$3:$I$502&amp;""),SCD_Data!$I$3:$I$502)&gt;=IFERROR(DATEVALUE(A269&amp;""),A269))*(ROW(SCD_Data!$A$3:$A$502)-2))),"—"))</f>
        <v/>
      </c>
      <c r="L269" s="25" t="str">
        <f aca="false">IF(A269="","",IFERROR(INDEX(SCD_Data!$G$3:$G$502,SUMPRODUCT((SCD_Data!$A$3:$A$502=B269)*(IFERROR(DATEVALUE(SCD_Data!$H$3:$H$502&amp;""),SCD_Data!$H$3:$H$502)&lt;=IFERROR(DATEVALUE(A269&amp;""),A269))*(IFERROR(DATEVALUE(SCD_Data!$I$3:$I$502&amp;""),SCD_Data!$I$3:$I$502)&gt;=IFERROR(DATEVALUE(A269&amp;""),A269))*(ROW(SCD_Data!$A$3:$A$502)-2))),"—"))</f>
        <v/>
      </c>
      <c r="M269" s="27" t="str">
        <f aca="false">IF(A269="","",IF(H269="—","—",IF(C269&amp;""=H269&amp;"","✓","✗")))</f>
        <v/>
      </c>
      <c r="N269" s="27" t="str">
        <f aca="false">IF(A269="","",IF(H269="—","—",IF(D269&amp;""=I269&amp;"","✓","✗")))</f>
        <v/>
      </c>
      <c r="O269" s="27" t="str">
        <f aca="false">IF(A269="","",IF(H269="—","—",IF(ABS(E269-J269)&lt;0.01,"✓","✗")))</f>
        <v/>
      </c>
      <c r="P269" s="27" t="str">
        <f aca="false">IF(A269="","",IF(H269="—","—",IF(F269&amp;""=K269&amp;"","✓","✗")))</f>
        <v/>
      </c>
      <c r="Q269" s="27" t="str">
        <f aca="false">IF(A269="","",IF(H269="—","—",IF(G269&amp;""=L269&amp;"","✓","✗")))</f>
        <v/>
      </c>
      <c r="R269" s="27" t="str">
        <f aca="false">IF(A269="","",IF(COUNTIF(M269:Q269,"—")=5,"⚠ NO SCD ROW",IF(COUNTIF(M269:Q269,"✗")&gt;0,"❌ MISMATCH","✅ MATCH")))</f>
        <v/>
      </c>
    </row>
    <row r="270" customFormat="false" ht="15" hidden="false" customHeight="true" outlineLevel="0" collapsed="false">
      <c r="A270" s="22" t="str">
        <f aca="false">IF(Daily_Data!A269="","",Daily_Data!A269)</f>
        <v/>
      </c>
      <c r="B270" s="23" t="str">
        <f aca="false">IF(Daily_Data!B269="","",Daily_Data!B269)</f>
        <v/>
      </c>
      <c r="C270" s="23" t="str">
        <f aca="false">IF(A270="","",Daily_Data!C269)</f>
        <v/>
      </c>
      <c r="D270" s="23" t="str">
        <f aca="false">IF(A270="","",Daily_Data!D269)</f>
        <v/>
      </c>
      <c r="E270" s="24" t="str">
        <f aca="false">IF(A270="","",Daily_Data!E269)</f>
        <v/>
      </c>
      <c r="F270" s="23" t="str">
        <f aca="false">IF(A270="","",Daily_Data!F269)</f>
        <v/>
      </c>
      <c r="G270" s="23" t="str">
        <f aca="false">IF(A270="","",Daily_Data!G269)</f>
        <v/>
      </c>
      <c r="H270" s="25" t="str">
        <f aca="false">IF(A270="","",IFERROR(INDEX(SCD_Data!$C$3:$C$502,SUMPRODUCT((SCD_Data!$A$3:$A$502=B270)*(IFERROR(DATEVALUE(SCD_Data!$H$3:$H$502&amp;""),SCD_Data!$H$3:$H$502)&lt;=IFERROR(DATEVALUE(A270&amp;""),A270))*(IFERROR(DATEVALUE(SCD_Data!$I$3:$I$502&amp;""),SCD_Data!$I$3:$I$502)&gt;=IFERROR(DATEVALUE(A270&amp;""),A270))*(ROW(SCD_Data!$A$3:$A$502)-2))),"—"))</f>
        <v/>
      </c>
      <c r="I270" s="25" t="str">
        <f aca="false">IF(A270="","",IFERROR(INDEX(SCD_Data!$D$3:$D$502,SUMPRODUCT((SCD_Data!$A$3:$A$502=B270)*(IFERROR(DATEVALUE(SCD_Data!$H$3:$H$502&amp;""),SCD_Data!$H$3:$H$502)&lt;=IFERROR(DATEVALUE(A270&amp;""),A270))*(IFERROR(DATEVALUE(SCD_Data!$I$3:$I$502&amp;""),SCD_Data!$I$3:$I$502)&gt;=IFERROR(DATEVALUE(A270&amp;""),A270))*(ROW(SCD_Data!$A$3:$A$502)-2))),"—"))</f>
        <v/>
      </c>
      <c r="J270" s="26" t="str">
        <f aca="false">IF(A270="","",IFERROR(INDEX(SCD_Data!$E$3:$E$502,SUMPRODUCT((SCD_Data!$A$3:$A$502=B270)*(IFERROR(DATEVALUE(SCD_Data!$H$3:$H$502&amp;""),SCD_Data!$H$3:$H$502)&lt;=IFERROR(DATEVALUE(A270&amp;""),A270))*(IFERROR(DATEVALUE(SCD_Data!$I$3:$I$502&amp;""),SCD_Data!$I$3:$I$502)&gt;=IFERROR(DATEVALUE(A270&amp;""),A270))*(ROW(SCD_Data!$A$3:$A$502)-2))),"—"))</f>
        <v/>
      </c>
      <c r="K270" s="25" t="str">
        <f aca="false">IF(A270="","",IFERROR(INDEX(SCD_Data!$F$3:$F$502,SUMPRODUCT((SCD_Data!$A$3:$A$502=B270)*(IFERROR(DATEVALUE(SCD_Data!$H$3:$H$502&amp;""),SCD_Data!$H$3:$H$502)&lt;=IFERROR(DATEVALUE(A270&amp;""),A270))*(IFERROR(DATEVALUE(SCD_Data!$I$3:$I$502&amp;""),SCD_Data!$I$3:$I$502)&gt;=IFERROR(DATEVALUE(A270&amp;""),A270))*(ROW(SCD_Data!$A$3:$A$502)-2))),"—"))</f>
        <v/>
      </c>
      <c r="L270" s="25" t="str">
        <f aca="false">IF(A270="","",IFERROR(INDEX(SCD_Data!$G$3:$G$502,SUMPRODUCT((SCD_Data!$A$3:$A$502=B270)*(IFERROR(DATEVALUE(SCD_Data!$H$3:$H$502&amp;""),SCD_Data!$H$3:$H$502)&lt;=IFERROR(DATEVALUE(A270&amp;""),A270))*(IFERROR(DATEVALUE(SCD_Data!$I$3:$I$502&amp;""),SCD_Data!$I$3:$I$502)&gt;=IFERROR(DATEVALUE(A270&amp;""),A270))*(ROW(SCD_Data!$A$3:$A$502)-2))),"—"))</f>
        <v/>
      </c>
      <c r="M270" s="27" t="str">
        <f aca="false">IF(A270="","",IF(H270="—","—",IF(C270&amp;""=H270&amp;"","✓","✗")))</f>
        <v/>
      </c>
      <c r="N270" s="27" t="str">
        <f aca="false">IF(A270="","",IF(H270="—","—",IF(D270&amp;""=I270&amp;"","✓","✗")))</f>
        <v/>
      </c>
      <c r="O270" s="27" t="str">
        <f aca="false">IF(A270="","",IF(H270="—","—",IF(ABS(E270-J270)&lt;0.01,"✓","✗")))</f>
        <v/>
      </c>
      <c r="P270" s="27" t="str">
        <f aca="false">IF(A270="","",IF(H270="—","—",IF(F270&amp;""=K270&amp;"","✓","✗")))</f>
        <v/>
      </c>
      <c r="Q270" s="27" t="str">
        <f aca="false">IF(A270="","",IF(H270="—","—",IF(G270&amp;""=L270&amp;"","✓","✗")))</f>
        <v/>
      </c>
      <c r="R270" s="27" t="str">
        <f aca="false">IF(A270="","",IF(COUNTIF(M270:Q270,"—")=5,"⚠ NO SCD ROW",IF(COUNTIF(M270:Q270,"✗")&gt;0,"❌ MISMATCH","✅ MATCH")))</f>
        <v/>
      </c>
    </row>
    <row r="271" customFormat="false" ht="15" hidden="false" customHeight="true" outlineLevel="0" collapsed="false">
      <c r="A271" s="22" t="str">
        <f aca="false">IF(Daily_Data!A270="","",Daily_Data!A270)</f>
        <v/>
      </c>
      <c r="B271" s="23" t="str">
        <f aca="false">IF(Daily_Data!B270="","",Daily_Data!B270)</f>
        <v/>
      </c>
      <c r="C271" s="23" t="str">
        <f aca="false">IF(A271="","",Daily_Data!C270)</f>
        <v/>
      </c>
      <c r="D271" s="23" t="str">
        <f aca="false">IF(A271="","",Daily_Data!D270)</f>
        <v/>
      </c>
      <c r="E271" s="24" t="str">
        <f aca="false">IF(A271="","",Daily_Data!E270)</f>
        <v/>
      </c>
      <c r="F271" s="23" t="str">
        <f aca="false">IF(A271="","",Daily_Data!F270)</f>
        <v/>
      </c>
      <c r="G271" s="23" t="str">
        <f aca="false">IF(A271="","",Daily_Data!G270)</f>
        <v/>
      </c>
      <c r="H271" s="25" t="str">
        <f aca="false">IF(A271="","",IFERROR(INDEX(SCD_Data!$C$3:$C$502,SUMPRODUCT((SCD_Data!$A$3:$A$502=B271)*(IFERROR(DATEVALUE(SCD_Data!$H$3:$H$502&amp;""),SCD_Data!$H$3:$H$502)&lt;=IFERROR(DATEVALUE(A271&amp;""),A271))*(IFERROR(DATEVALUE(SCD_Data!$I$3:$I$502&amp;""),SCD_Data!$I$3:$I$502)&gt;=IFERROR(DATEVALUE(A271&amp;""),A271))*(ROW(SCD_Data!$A$3:$A$502)-2))),"—"))</f>
        <v/>
      </c>
      <c r="I271" s="25" t="str">
        <f aca="false">IF(A271="","",IFERROR(INDEX(SCD_Data!$D$3:$D$502,SUMPRODUCT((SCD_Data!$A$3:$A$502=B271)*(IFERROR(DATEVALUE(SCD_Data!$H$3:$H$502&amp;""),SCD_Data!$H$3:$H$502)&lt;=IFERROR(DATEVALUE(A271&amp;""),A271))*(IFERROR(DATEVALUE(SCD_Data!$I$3:$I$502&amp;""),SCD_Data!$I$3:$I$502)&gt;=IFERROR(DATEVALUE(A271&amp;""),A271))*(ROW(SCD_Data!$A$3:$A$502)-2))),"—"))</f>
        <v/>
      </c>
      <c r="J271" s="26" t="str">
        <f aca="false">IF(A271="","",IFERROR(INDEX(SCD_Data!$E$3:$E$502,SUMPRODUCT((SCD_Data!$A$3:$A$502=B271)*(IFERROR(DATEVALUE(SCD_Data!$H$3:$H$502&amp;""),SCD_Data!$H$3:$H$502)&lt;=IFERROR(DATEVALUE(A271&amp;""),A271))*(IFERROR(DATEVALUE(SCD_Data!$I$3:$I$502&amp;""),SCD_Data!$I$3:$I$502)&gt;=IFERROR(DATEVALUE(A271&amp;""),A271))*(ROW(SCD_Data!$A$3:$A$502)-2))),"—"))</f>
        <v/>
      </c>
      <c r="K271" s="25" t="str">
        <f aca="false">IF(A271="","",IFERROR(INDEX(SCD_Data!$F$3:$F$502,SUMPRODUCT((SCD_Data!$A$3:$A$502=B271)*(IFERROR(DATEVALUE(SCD_Data!$H$3:$H$502&amp;""),SCD_Data!$H$3:$H$502)&lt;=IFERROR(DATEVALUE(A271&amp;""),A271))*(IFERROR(DATEVALUE(SCD_Data!$I$3:$I$502&amp;""),SCD_Data!$I$3:$I$502)&gt;=IFERROR(DATEVALUE(A271&amp;""),A271))*(ROW(SCD_Data!$A$3:$A$502)-2))),"—"))</f>
        <v/>
      </c>
      <c r="L271" s="25" t="str">
        <f aca="false">IF(A271="","",IFERROR(INDEX(SCD_Data!$G$3:$G$502,SUMPRODUCT((SCD_Data!$A$3:$A$502=B271)*(IFERROR(DATEVALUE(SCD_Data!$H$3:$H$502&amp;""),SCD_Data!$H$3:$H$502)&lt;=IFERROR(DATEVALUE(A271&amp;""),A271))*(IFERROR(DATEVALUE(SCD_Data!$I$3:$I$502&amp;""),SCD_Data!$I$3:$I$502)&gt;=IFERROR(DATEVALUE(A271&amp;""),A271))*(ROW(SCD_Data!$A$3:$A$502)-2))),"—"))</f>
        <v/>
      </c>
      <c r="M271" s="27" t="str">
        <f aca="false">IF(A271="","",IF(H271="—","—",IF(C271&amp;""=H271&amp;"","✓","✗")))</f>
        <v/>
      </c>
      <c r="N271" s="27" t="str">
        <f aca="false">IF(A271="","",IF(H271="—","—",IF(D271&amp;""=I271&amp;"","✓","✗")))</f>
        <v/>
      </c>
      <c r="O271" s="27" t="str">
        <f aca="false">IF(A271="","",IF(H271="—","—",IF(ABS(E271-J271)&lt;0.01,"✓","✗")))</f>
        <v/>
      </c>
      <c r="P271" s="27" t="str">
        <f aca="false">IF(A271="","",IF(H271="—","—",IF(F271&amp;""=K271&amp;"","✓","✗")))</f>
        <v/>
      </c>
      <c r="Q271" s="27" t="str">
        <f aca="false">IF(A271="","",IF(H271="—","—",IF(G271&amp;""=L271&amp;"","✓","✗")))</f>
        <v/>
      </c>
      <c r="R271" s="27" t="str">
        <f aca="false">IF(A271="","",IF(COUNTIF(M271:Q271,"—")=5,"⚠ NO SCD ROW",IF(COUNTIF(M271:Q271,"✗")&gt;0,"❌ MISMATCH","✅ MATCH")))</f>
        <v/>
      </c>
    </row>
    <row r="272" customFormat="false" ht="15" hidden="false" customHeight="true" outlineLevel="0" collapsed="false">
      <c r="A272" s="22" t="str">
        <f aca="false">IF(Daily_Data!A271="","",Daily_Data!A271)</f>
        <v/>
      </c>
      <c r="B272" s="23" t="str">
        <f aca="false">IF(Daily_Data!B271="","",Daily_Data!B271)</f>
        <v/>
      </c>
      <c r="C272" s="23" t="str">
        <f aca="false">IF(A272="","",Daily_Data!C271)</f>
        <v/>
      </c>
      <c r="D272" s="23" t="str">
        <f aca="false">IF(A272="","",Daily_Data!D271)</f>
        <v/>
      </c>
      <c r="E272" s="24" t="str">
        <f aca="false">IF(A272="","",Daily_Data!E271)</f>
        <v/>
      </c>
      <c r="F272" s="23" t="str">
        <f aca="false">IF(A272="","",Daily_Data!F271)</f>
        <v/>
      </c>
      <c r="G272" s="23" t="str">
        <f aca="false">IF(A272="","",Daily_Data!G271)</f>
        <v/>
      </c>
      <c r="H272" s="25" t="str">
        <f aca="false">IF(A272="","",IFERROR(INDEX(SCD_Data!$C$3:$C$502,SUMPRODUCT((SCD_Data!$A$3:$A$502=B272)*(IFERROR(DATEVALUE(SCD_Data!$H$3:$H$502&amp;""),SCD_Data!$H$3:$H$502)&lt;=IFERROR(DATEVALUE(A272&amp;""),A272))*(IFERROR(DATEVALUE(SCD_Data!$I$3:$I$502&amp;""),SCD_Data!$I$3:$I$502)&gt;=IFERROR(DATEVALUE(A272&amp;""),A272))*(ROW(SCD_Data!$A$3:$A$502)-2))),"—"))</f>
        <v/>
      </c>
      <c r="I272" s="25" t="str">
        <f aca="false">IF(A272="","",IFERROR(INDEX(SCD_Data!$D$3:$D$502,SUMPRODUCT((SCD_Data!$A$3:$A$502=B272)*(IFERROR(DATEVALUE(SCD_Data!$H$3:$H$502&amp;""),SCD_Data!$H$3:$H$502)&lt;=IFERROR(DATEVALUE(A272&amp;""),A272))*(IFERROR(DATEVALUE(SCD_Data!$I$3:$I$502&amp;""),SCD_Data!$I$3:$I$502)&gt;=IFERROR(DATEVALUE(A272&amp;""),A272))*(ROW(SCD_Data!$A$3:$A$502)-2))),"—"))</f>
        <v/>
      </c>
      <c r="J272" s="26" t="str">
        <f aca="false">IF(A272="","",IFERROR(INDEX(SCD_Data!$E$3:$E$502,SUMPRODUCT((SCD_Data!$A$3:$A$502=B272)*(IFERROR(DATEVALUE(SCD_Data!$H$3:$H$502&amp;""),SCD_Data!$H$3:$H$502)&lt;=IFERROR(DATEVALUE(A272&amp;""),A272))*(IFERROR(DATEVALUE(SCD_Data!$I$3:$I$502&amp;""),SCD_Data!$I$3:$I$502)&gt;=IFERROR(DATEVALUE(A272&amp;""),A272))*(ROW(SCD_Data!$A$3:$A$502)-2))),"—"))</f>
        <v/>
      </c>
      <c r="K272" s="25" t="str">
        <f aca="false">IF(A272="","",IFERROR(INDEX(SCD_Data!$F$3:$F$502,SUMPRODUCT((SCD_Data!$A$3:$A$502=B272)*(IFERROR(DATEVALUE(SCD_Data!$H$3:$H$502&amp;""),SCD_Data!$H$3:$H$502)&lt;=IFERROR(DATEVALUE(A272&amp;""),A272))*(IFERROR(DATEVALUE(SCD_Data!$I$3:$I$502&amp;""),SCD_Data!$I$3:$I$502)&gt;=IFERROR(DATEVALUE(A272&amp;""),A272))*(ROW(SCD_Data!$A$3:$A$502)-2))),"—"))</f>
        <v/>
      </c>
      <c r="L272" s="25" t="str">
        <f aca="false">IF(A272="","",IFERROR(INDEX(SCD_Data!$G$3:$G$502,SUMPRODUCT((SCD_Data!$A$3:$A$502=B272)*(IFERROR(DATEVALUE(SCD_Data!$H$3:$H$502&amp;""),SCD_Data!$H$3:$H$502)&lt;=IFERROR(DATEVALUE(A272&amp;""),A272))*(IFERROR(DATEVALUE(SCD_Data!$I$3:$I$502&amp;""),SCD_Data!$I$3:$I$502)&gt;=IFERROR(DATEVALUE(A272&amp;""),A272))*(ROW(SCD_Data!$A$3:$A$502)-2))),"—"))</f>
        <v/>
      </c>
      <c r="M272" s="27" t="str">
        <f aca="false">IF(A272="","",IF(H272="—","—",IF(C272&amp;""=H272&amp;"","✓","✗")))</f>
        <v/>
      </c>
      <c r="N272" s="27" t="str">
        <f aca="false">IF(A272="","",IF(H272="—","—",IF(D272&amp;""=I272&amp;"","✓","✗")))</f>
        <v/>
      </c>
      <c r="O272" s="27" t="str">
        <f aca="false">IF(A272="","",IF(H272="—","—",IF(ABS(E272-J272)&lt;0.01,"✓","✗")))</f>
        <v/>
      </c>
      <c r="P272" s="27" t="str">
        <f aca="false">IF(A272="","",IF(H272="—","—",IF(F272&amp;""=K272&amp;"","✓","✗")))</f>
        <v/>
      </c>
      <c r="Q272" s="27" t="str">
        <f aca="false">IF(A272="","",IF(H272="—","—",IF(G272&amp;""=L272&amp;"","✓","✗")))</f>
        <v/>
      </c>
      <c r="R272" s="27" t="str">
        <f aca="false">IF(A272="","",IF(COUNTIF(M272:Q272,"—")=5,"⚠ NO SCD ROW",IF(COUNTIF(M272:Q272,"✗")&gt;0,"❌ MISMATCH","✅ MATCH")))</f>
        <v/>
      </c>
    </row>
    <row r="273" customFormat="false" ht="15" hidden="false" customHeight="true" outlineLevel="0" collapsed="false">
      <c r="A273" s="22" t="str">
        <f aca="false">IF(Daily_Data!A272="","",Daily_Data!A272)</f>
        <v/>
      </c>
      <c r="B273" s="23" t="str">
        <f aca="false">IF(Daily_Data!B272="","",Daily_Data!B272)</f>
        <v/>
      </c>
      <c r="C273" s="23" t="str">
        <f aca="false">IF(A273="","",Daily_Data!C272)</f>
        <v/>
      </c>
      <c r="D273" s="23" t="str">
        <f aca="false">IF(A273="","",Daily_Data!D272)</f>
        <v/>
      </c>
      <c r="E273" s="24" t="str">
        <f aca="false">IF(A273="","",Daily_Data!E272)</f>
        <v/>
      </c>
      <c r="F273" s="23" t="str">
        <f aca="false">IF(A273="","",Daily_Data!F272)</f>
        <v/>
      </c>
      <c r="G273" s="23" t="str">
        <f aca="false">IF(A273="","",Daily_Data!G272)</f>
        <v/>
      </c>
      <c r="H273" s="25" t="str">
        <f aca="false">IF(A273="","",IFERROR(INDEX(SCD_Data!$C$3:$C$502,SUMPRODUCT((SCD_Data!$A$3:$A$502=B273)*(IFERROR(DATEVALUE(SCD_Data!$H$3:$H$502&amp;""),SCD_Data!$H$3:$H$502)&lt;=IFERROR(DATEVALUE(A273&amp;""),A273))*(IFERROR(DATEVALUE(SCD_Data!$I$3:$I$502&amp;""),SCD_Data!$I$3:$I$502)&gt;=IFERROR(DATEVALUE(A273&amp;""),A273))*(ROW(SCD_Data!$A$3:$A$502)-2))),"—"))</f>
        <v/>
      </c>
      <c r="I273" s="25" t="str">
        <f aca="false">IF(A273="","",IFERROR(INDEX(SCD_Data!$D$3:$D$502,SUMPRODUCT((SCD_Data!$A$3:$A$502=B273)*(IFERROR(DATEVALUE(SCD_Data!$H$3:$H$502&amp;""),SCD_Data!$H$3:$H$502)&lt;=IFERROR(DATEVALUE(A273&amp;""),A273))*(IFERROR(DATEVALUE(SCD_Data!$I$3:$I$502&amp;""),SCD_Data!$I$3:$I$502)&gt;=IFERROR(DATEVALUE(A273&amp;""),A273))*(ROW(SCD_Data!$A$3:$A$502)-2))),"—"))</f>
        <v/>
      </c>
      <c r="J273" s="26" t="str">
        <f aca="false">IF(A273="","",IFERROR(INDEX(SCD_Data!$E$3:$E$502,SUMPRODUCT((SCD_Data!$A$3:$A$502=B273)*(IFERROR(DATEVALUE(SCD_Data!$H$3:$H$502&amp;""),SCD_Data!$H$3:$H$502)&lt;=IFERROR(DATEVALUE(A273&amp;""),A273))*(IFERROR(DATEVALUE(SCD_Data!$I$3:$I$502&amp;""),SCD_Data!$I$3:$I$502)&gt;=IFERROR(DATEVALUE(A273&amp;""),A273))*(ROW(SCD_Data!$A$3:$A$502)-2))),"—"))</f>
        <v/>
      </c>
      <c r="K273" s="25" t="str">
        <f aca="false">IF(A273="","",IFERROR(INDEX(SCD_Data!$F$3:$F$502,SUMPRODUCT((SCD_Data!$A$3:$A$502=B273)*(IFERROR(DATEVALUE(SCD_Data!$H$3:$H$502&amp;""),SCD_Data!$H$3:$H$502)&lt;=IFERROR(DATEVALUE(A273&amp;""),A273))*(IFERROR(DATEVALUE(SCD_Data!$I$3:$I$502&amp;""),SCD_Data!$I$3:$I$502)&gt;=IFERROR(DATEVALUE(A273&amp;""),A273))*(ROW(SCD_Data!$A$3:$A$502)-2))),"—"))</f>
        <v/>
      </c>
      <c r="L273" s="25" t="str">
        <f aca="false">IF(A273="","",IFERROR(INDEX(SCD_Data!$G$3:$G$502,SUMPRODUCT((SCD_Data!$A$3:$A$502=B273)*(IFERROR(DATEVALUE(SCD_Data!$H$3:$H$502&amp;""),SCD_Data!$H$3:$H$502)&lt;=IFERROR(DATEVALUE(A273&amp;""),A273))*(IFERROR(DATEVALUE(SCD_Data!$I$3:$I$502&amp;""),SCD_Data!$I$3:$I$502)&gt;=IFERROR(DATEVALUE(A273&amp;""),A273))*(ROW(SCD_Data!$A$3:$A$502)-2))),"—"))</f>
        <v/>
      </c>
      <c r="M273" s="27" t="str">
        <f aca="false">IF(A273="","",IF(H273="—","—",IF(C273&amp;""=H273&amp;"","✓","✗")))</f>
        <v/>
      </c>
      <c r="N273" s="27" t="str">
        <f aca="false">IF(A273="","",IF(H273="—","—",IF(D273&amp;""=I273&amp;"","✓","✗")))</f>
        <v/>
      </c>
      <c r="O273" s="27" t="str">
        <f aca="false">IF(A273="","",IF(H273="—","—",IF(ABS(E273-J273)&lt;0.01,"✓","✗")))</f>
        <v/>
      </c>
      <c r="P273" s="27" t="str">
        <f aca="false">IF(A273="","",IF(H273="—","—",IF(F273&amp;""=K273&amp;"","✓","✗")))</f>
        <v/>
      </c>
      <c r="Q273" s="27" t="str">
        <f aca="false">IF(A273="","",IF(H273="—","—",IF(G273&amp;""=L273&amp;"","✓","✗")))</f>
        <v/>
      </c>
      <c r="R273" s="27" t="str">
        <f aca="false">IF(A273="","",IF(COUNTIF(M273:Q273,"—")=5,"⚠ NO SCD ROW",IF(COUNTIF(M273:Q273,"✗")&gt;0,"❌ MISMATCH","✅ MATCH")))</f>
        <v/>
      </c>
    </row>
    <row r="274" customFormat="false" ht="15" hidden="false" customHeight="true" outlineLevel="0" collapsed="false">
      <c r="A274" s="22" t="str">
        <f aca="false">IF(Daily_Data!A273="","",Daily_Data!A273)</f>
        <v/>
      </c>
      <c r="B274" s="23" t="str">
        <f aca="false">IF(Daily_Data!B273="","",Daily_Data!B273)</f>
        <v/>
      </c>
      <c r="C274" s="23" t="str">
        <f aca="false">IF(A274="","",Daily_Data!C273)</f>
        <v/>
      </c>
      <c r="D274" s="23" t="str">
        <f aca="false">IF(A274="","",Daily_Data!D273)</f>
        <v/>
      </c>
      <c r="E274" s="24" t="str">
        <f aca="false">IF(A274="","",Daily_Data!E273)</f>
        <v/>
      </c>
      <c r="F274" s="23" t="str">
        <f aca="false">IF(A274="","",Daily_Data!F273)</f>
        <v/>
      </c>
      <c r="G274" s="23" t="str">
        <f aca="false">IF(A274="","",Daily_Data!G273)</f>
        <v/>
      </c>
      <c r="H274" s="25" t="str">
        <f aca="false">IF(A274="","",IFERROR(INDEX(SCD_Data!$C$3:$C$502,SUMPRODUCT((SCD_Data!$A$3:$A$502=B274)*(IFERROR(DATEVALUE(SCD_Data!$H$3:$H$502&amp;""),SCD_Data!$H$3:$H$502)&lt;=IFERROR(DATEVALUE(A274&amp;""),A274))*(IFERROR(DATEVALUE(SCD_Data!$I$3:$I$502&amp;""),SCD_Data!$I$3:$I$502)&gt;=IFERROR(DATEVALUE(A274&amp;""),A274))*(ROW(SCD_Data!$A$3:$A$502)-2))),"—"))</f>
        <v/>
      </c>
      <c r="I274" s="25" t="str">
        <f aca="false">IF(A274="","",IFERROR(INDEX(SCD_Data!$D$3:$D$502,SUMPRODUCT((SCD_Data!$A$3:$A$502=B274)*(IFERROR(DATEVALUE(SCD_Data!$H$3:$H$502&amp;""),SCD_Data!$H$3:$H$502)&lt;=IFERROR(DATEVALUE(A274&amp;""),A274))*(IFERROR(DATEVALUE(SCD_Data!$I$3:$I$502&amp;""),SCD_Data!$I$3:$I$502)&gt;=IFERROR(DATEVALUE(A274&amp;""),A274))*(ROW(SCD_Data!$A$3:$A$502)-2))),"—"))</f>
        <v/>
      </c>
      <c r="J274" s="26" t="str">
        <f aca="false">IF(A274="","",IFERROR(INDEX(SCD_Data!$E$3:$E$502,SUMPRODUCT((SCD_Data!$A$3:$A$502=B274)*(IFERROR(DATEVALUE(SCD_Data!$H$3:$H$502&amp;""),SCD_Data!$H$3:$H$502)&lt;=IFERROR(DATEVALUE(A274&amp;""),A274))*(IFERROR(DATEVALUE(SCD_Data!$I$3:$I$502&amp;""),SCD_Data!$I$3:$I$502)&gt;=IFERROR(DATEVALUE(A274&amp;""),A274))*(ROW(SCD_Data!$A$3:$A$502)-2))),"—"))</f>
        <v/>
      </c>
      <c r="K274" s="25" t="str">
        <f aca="false">IF(A274="","",IFERROR(INDEX(SCD_Data!$F$3:$F$502,SUMPRODUCT((SCD_Data!$A$3:$A$502=B274)*(IFERROR(DATEVALUE(SCD_Data!$H$3:$H$502&amp;""),SCD_Data!$H$3:$H$502)&lt;=IFERROR(DATEVALUE(A274&amp;""),A274))*(IFERROR(DATEVALUE(SCD_Data!$I$3:$I$502&amp;""),SCD_Data!$I$3:$I$502)&gt;=IFERROR(DATEVALUE(A274&amp;""),A274))*(ROW(SCD_Data!$A$3:$A$502)-2))),"—"))</f>
        <v/>
      </c>
      <c r="L274" s="25" t="str">
        <f aca="false">IF(A274="","",IFERROR(INDEX(SCD_Data!$G$3:$G$502,SUMPRODUCT((SCD_Data!$A$3:$A$502=B274)*(IFERROR(DATEVALUE(SCD_Data!$H$3:$H$502&amp;""),SCD_Data!$H$3:$H$502)&lt;=IFERROR(DATEVALUE(A274&amp;""),A274))*(IFERROR(DATEVALUE(SCD_Data!$I$3:$I$502&amp;""),SCD_Data!$I$3:$I$502)&gt;=IFERROR(DATEVALUE(A274&amp;""),A274))*(ROW(SCD_Data!$A$3:$A$502)-2))),"—"))</f>
        <v/>
      </c>
      <c r="M274" s="27" t="str">
        <f aca="false">IF(A274="","",IF(H274="—","—",IF(C274&amp;""=H274&amp;"","✓","✗")))</f>
        <v/>
      </c>
      <c r="N274" s="27" t="str">
        <f aca="false">IF(A274="","",IF(H274="—","—",IF(D274&amp;""=I274&amp;"","✓","✗")))</f>
        <v/>
      </c>
      <c r="O274" s="27" t="str">
        <f aca="false">IF(A274="","",IF(H274="—","—",IF(ABS(E274-J274)&lt;0.01,"✓","✗")))</f>
        <v/>
      </c>
      <c r="P274" s="27" t="str">
        <f aca="false">IF(A274="","",IF(H274="—","—",IF(F274&amp;""=K274&amp;"","✓","✗")))</f>
        <v/>
      </c>
      <c r="Q274" s="27" t="str">
        <f aca="false">IF(A274="","",IF(H274="—","—",IF(G274&amp;""=L274&amp;"","✓","✗")))</f>
        <v/>
      </c>
      <c r="R274" s="27" t="str">
        <f aca="false">IF(A274="","",IF(COUNTIF(M274:Q274,"—")=5,"⚠ NO SCD ROW",IF(COUNTIF(M274:Q274,"✗")&gt;0,"❌ MISMATCH","✅ MATCH")))</f>
        <v/>
      </c>
    </row>
    <row r="275" customFormat="false" ht="15" hidden="false" customHeight="true" outlineLevel="0" collapsed="false">
      <c r="A275" s="22" t="str">
        <f aca="false">IF(Daily_Data!A274="","",Daily_Data!A274)</f>
        <v/>
      </c>
      <c r="B275" s="23" t="str">
        <f aca="false">IF(Daily_Data!B274="","",Daily_Data!B274)</f>
        <v/>
      </c>
      <c r="C275" s="23" t="str">
        <f aca="false">IF(A275="","",Daily_Data!C274)</f>
        <v/>
      </c>
      <c r="D275" s="23" t="str">
        <f aca="false">IF(A275="","",Daily_Data!D274)</f>
        <v/>
      </c>
      <c r="E275" s="24" t="str">
        <f aca="false">IF(A275="","",Daily_Data!E274)</f>
        <v/>
      </c>
      <c r="F275" s="23" t="str">
        <f aca="false">IF(A275="","",Daily_Data!F274)</f>
        <v/>
      </c>
      <c r="G275" s="23" t="str">
        <f aca="false">IF(A275="","",Daily_Data!G274)</f>
        <v/>
      </c>
      <c r="H275" s="25" t="str">
        <f aca="false">IF(A275="","",IFERROR(INDEX(SCD_Data!$C$3:$C$502,SUMPRODUCT((SCD_Data!$A$3:$A$502=B275)*(IFERROR(DATEVALUE(SCD_Data!$H$3:$H$502&amp;""),SCD_Data!$H$3:$H$502)&lt;=IFERROR(DATEVALUE(A275&amp;""),A275))*(IFERROR(DATEVALUE(SCD_Data!$I$3:$I$502&amp;""),SCD_Data!$I$3:$I$502)&gt;=IFERROR(DATEVALUE(A275&amp;""),A275))*(ROW(SCD_Data!$A$3:$A$502)-2))),"—"))</f>
        <v/>
      </c>
      <c r="I275" s="25" t="str">
        <f aca="false">IF(A275="","",IFERROR(INDEX(SCD_Data!$D$3:$D$502,SUMPRODUCT((SCD_Data!$A$3:$A$502=B275)*(IFERROR(DATEVALUE(SCD_Data!$H$3:$H$502&amp;""),SCD_Data!$H$3:$H$502)&lt;=IFERROR(DATEVALUE(A275&amp;""),A275))*(IFERROR(DATEVALUE(SCD_Data!$I$3:$I$502&amp;""),SCD_Data!$I$3:$I$502)&gt;=IFERROR(DATEVALUE(A275&amp;""),A275))*(ROW(SCD_Data!$A$3:$A$502)-2))),"—"))</f>
        <v/>
      </c>
      <c r="J275" s="26" t="str">
        <f aca="false">IF(A275="","",IFERROR(INDEX(SCD_Data!$E$3:$E$502,SUMPRODUCT((SCD_Data!$A$3:$A$502=B275)*(IFERROR(DATEVALUE(SCD_Data!$H$3:$H$502&amp;""),SCD_Data!$H$3:$H$502)&lt;=IFERROR(DATEVALUE(A275&amp;""),A275))*(IFERROR(DATEVALUE(SCD_Data!$I$3:$I$502&amp;""),SCD_Data!$I$3:$I$502)&gt;=IFERROR(DATEVALUE(A275&amp;""),A275))*(ROW(SCD_Data!$A$3:$A$502)-2))),"—"))</f>
        <v/>
      </c>
      <c r="K275" s="25" t="str">
        <f aca="false">IF(A275="","",IFERROR(INDEX(SCD_Data!$F$3:$F$502,SUMPRODUCT((SCD_Data!$A$3:$A$502=B275)*(IFERROR(DATEVALUE(SCD_Data!$H$3:$H$502&amp;""),SCD_Data!$H$3:$H$502)&lt;=IFERROR(DATEVALUE(A275&amp;""),A275))*(IFERROR(DATEVALUE(SCD_Data!$I$3:$I$502&amp;""),SCD_Data!$I$3:$I$502)&gt;=IFERROR(DATEVALUE(A275&amp;""),A275))*(ROW(SCD_Data!$A$3:$A$502)-2))),"—"))</f>
        <v/>
      </c>
      <c r="L275" s="25" t="str">
        <f aca="false">IF(A275="","",IFERROR(INDEX(SCD_Data!$G$3:$G$502,SUMPRODUCT((SCD_Data!$A$3:$A$502=B275)*(IFERROR(DATEVALUE(SCD_Data!$H$3:$H$502&amp;""),SCD_Data!$H$3:$H$502)&lt;=IFERROR(DATEVALUE(A275&amp;""),A275))*(IFERROR(DATEVALUE(SCD_Data!$I$3:$I$502&amp;""),SCD_Data!$I$3:$I$502)&gt;=IFERROR(DATEVALUE(A275&amp;""),A275))*(ROW(SCD_Data!$A$3:$A$502)-2))),"—"))</f>
        <v/>
      </c>
      <c r="M275" s="27" t="str">
        <f aca="false">IF(A275="","",IF(H275="—","—",IF(C275&amp;""=H275&amp;"","✓","✗")))</f>
        <v/>
      </c>
      <c r="N275" s="27" t="str">
        <f aca="false">IF(A275="","",IF(H275="—","—",IF(D275&amp;""=I275&amp;"","✓","✗")))</f>
        <v/>
      </c>
      <c r="O275" s="27" t="str">
        <f aca="false">IF(A275="","",IF(H275="—","—",IF(ABS(E275-J275)&lt;0.01,"✓","✗")))</f>
        <v/>
      </c>
      <c r="P275" s="27" t="str">
        <f aca="false">IF(A275="","",IF(H275="—","—",IF(F275&amp;""=K275&amp;"","✓","✗")))</f>
        <v/>
      </c>
      <c r="Q275" s="27" t="str">
        <f aca="false">IF(A275="","",IF(H275="—","—",IF(G275&amp;""=L275&amp;"","✓","✗")))</f>
        <v/>
      </c>
      <c r="R275" s="27" t="str">
        <f aca="false">IF(A275="","",IF(COUNTIF(M275:Q275,"—")=5,"⚠ NO SCD ROW",IF(COUNTIF(M275:Q275,"✗")&gt;0,"❌ MISMATCH","✅ MATCH")))</f>
        <v/>
      </c>
    </row>
    <row r="276" customFormat="false" ht="15" hidden="false" customHeight="true" outlineLevel="0" collapsed="false">
      <c r="A276" s="22" t="str">
        <f aca="false">IF(Daily_Data!A275="","",Daily_Data!A275)</f>
        <v/>
      </c>
      <c r="B276" s="23" t="str">
        <f aca="false">IF(Daily_Data!B275="","",Daily_Data!B275)</f>
        <v/>
      </c>
      <c r="C276" s="23" t="str">
        <f aca="false">IF(A276="","",Daily_Data!C275)</f>
        <v/>
      </c>
      <c r="D276" s="23" t="str">
        <f aca="false">IF(A276="","",Daily_Data!D275)</f>
        <v/>
      </c>
      <c r="E276" s="24" t="str">
        <f aca="false">IF(A276="","",Daily_Data!E275)</f>
        <v/>
      </c>
      <c r="F276" s="23" t="str">
        <f aca="false">IF(A276="","",Daily_Data!F275)</f>
        <v/>
      </c>
      <c r="G276" s="23" t="str">
        <f aca="false">IF(A276="","",Daily_Data!G275)</f>
        <v/>
      </c>
      <c r="H276" s="25" t="str">
        <f aca="false">IF(A276="","",IFERROR(INDEX(SCD_Data!$C$3:$C$502,SUMPRODUCT((SCD_Data!$A$3:$A$502=B276)*(IFERROR(DATEVALUE(SCD_Data!$H$3:$H$502&amp;""),SCD_Data!$H$3:$H$502)&lt;=IFERROR(DATEVALUE(A276&amp;""),A276))*(IFERROR(DATEVALUE(SCD_Data!$I$3:$I$502&amp;""),SCD_Data!$I$3:$I$502)&gt;=IFERROR(DATEVALUE(A276&amp;""),A276))*(ROW(SCD_Data!$A$3:$A$502)-2))),"—"))</f>
        <v/>
      </c>
      <c r="I276" s="25" t="str">
        <f aca="false">IF(A276="","",IFERROR(INDEX(SCD_Data!$D$3:$D$502,SUMPRODUCT((SCD_Data!$A$3:$A$502=B276)*(IFERROR(DATEVALUE(SCD_Data!$H$3:$H$502&amp;""),SCD_Data!$H$3:$H$502)&lt;=IFERROR(DATEVALUE(A276&amp;""),A276))*(IFERROR(DATEVALUE(SCD_Data!$I$3:$I$502&amp;""),SCD_Data!$I$3:$I$502)&gt;=IFERROR(DATEVALUE(A276&amp;""),A276))*(ROW(SCD_Data!$A$3:$A$502)-2))),"—"))</f>
        <v/>
      </c>
      <c r="J276" s="26" t="str">
        <f aca="false">IF(A276="","",IFERROR(INDEX(SCD_Data!$E$3:$E$502,SUMPRODUCT((SCD_Data!$A$3:$A$502=B276)*(IFERROR(DATEVALUE(SCD_Data!$H$3:$H$502&amp;""),SCD_Data!$H$3:$H$502)&lt;=IFERROR(DATEVALUE(A276&amp;""),A276))*(IFERROR(DATEVALUE(SCD_Data!$I$3:$I$502&amp;""),SCD_Data!$I$3:$I$502)&gt;=IFERROR(DATEVALUE(A276&amp;""),A276))*(ROW(SCD_Data!$A$3:$A$502)-2))),"—"))</f>
        <v/>
      </c>
      <c r="K276" s="25" t="str">
        <f aca="false">IF(A276="","",IFERROR(INDEX(SCD_Data!$F$3:$F$502,SUMPRODUCT((SCD_Data!$A$3:$A$502=B276)*(IFERROR(DATEVALUE(SCD_Data!$H$3:$H$502&amp;""),SCD_Data!$H$3:$H$502)&lt;=IFERROR(DATEVALUE(A276&amp;""),A276))*(IFERROR(DATEVALUE(SCD_Data!$I$3:$I$502&amp;""),SCD_Data!$I$3:$I$502)&gt;=IFERROR(DATEVALUE(A276&amp;""),A276))*(ROW(SCD_Data!$A$3:$A$502)-2))),"—"))</f>
        <v/>
      </c>
      <c r="L276" s="25" t="str">
        <f aca="false">IF(A276="","",IFERROR(INDEX(SCD_Data!$G$3:$G$502,SUMPRODUCT((SCD_Data!$A$3:$A$502=B276)*(IFERROR(DATEVALUE(SCD_Data!$H$3:$H$502&amp;""),SCD_Data!$H$3:$H$502)&lt;=IFERROR(DATEVALUE(A276&amp;""),A276))*(IFERROR(DATEVALUE(SCD_Data!$I$3:$I$502&amp;""),SCD_Data!$I$3:$I$502)&gt;=IFERROR(DATEVALUE(A276&amp;""),A276))*(ROW(SCD_Data!$A$3:$A$502)-2))),"—"))</f>
        <v/>
      </c>
      <c r="M276" s="27" t="str">
        <f aca="false">IF(A276="","",IF(H276="—","—",IF(C276&amp;""=H276&amp;"","✓","✗")))</f>
        <v/>
      </c>
      <c r="N276" s="27" t="str">
        <f aca="false">IF(A276="","",IF(H276="—","—",IF(D276&amp;""=I276&amp;"","✓","✗")))</f>
        <v/>
      </c>
      <c r="O276" s="27" t="str">
        <f aca="false">IF(A276="","",IF(H276="—","—",IF(ABS(E276-J276)&lt;0.01,"✓","✗")))</f>
        <v/>
      </c>
      <c r="P276" s="27" t="str">
        <f aca="false">IF(A276="","",IF(H276="—","—",IF(F276&amp;""=K276&amp;"","✓","✗")))</f>
        <v/>
      </c>
      <c r="Q276" s="27" t="str">
        <f aca="false">IF(A276="","",IF(H276="—","—",IF(G276&amp;""=L276&amp;"","✓","✗")))</f>
        <v/>
      </c>
      <c r="R276" s="27" t="str">
        <f aca="false">IF(A276="","",IF(COUNTIF(M276:Q276,"—")=5,"⚠ NO SCD ROW",IF(COUNTIF(M276:Q276,"✗")&gt;0,"❌ MISMATCH","✅ MATCH")))</f>
        <v/>
      </c>
    </row>
    <row r="277" customFormat="false" ht="15" hidden="false" customHeight="true" outlineLevel="0" collapsed="false">
      <c r="A277" s="22" t="str">
        <f aca="false">IF(Daily_Data!A276="","",Daily_Data!A276)</f>
        <v/>
      </c>
      <c r="B277" s="23" t="str">
        <f aca="false">IF(Daily_Data!B276="","",Daily_Data!B276)</f>
        <v/>
      </c>
      <c r="C277" s="23" t="str">
        <f aca="false">IF(A277="","",Daily_Data!C276)</f>
        <v/>
      </c>
      <c r="D277" s="23" t="str">
        <f aca="false">IF(A277="","",Daily_Data!D276)</f>
        <v/>
      </c>
      <c r="E277" s="24" t="str">
        <f aca="false">IF(A277="","",Daily_Data!E276)</f>
        <v/>
      </c>
      <c r="F277" s="23" t="str">
        <f aca="false">IF(A277="","",Daily_Data!F276)</f>
        <v/>
      </c>
      <c r="G277" s="23" t="str">
        <f aca="false">IF(A277="","",Daily_Data!G276)</f>
        <v/>
      </c>
      <c r="H277" s="25" t="str">
        <f aca="false">IF(A277="","",IFERROR(INDEX(SCD_Data!$C$3:$C$502,SUMPRODUCT((SCD_Data!$A$3:$A$502=B277)*(IFERROR(DATEVALUE(SCD_Data!$H$3:$H$502&amp;""),SCD_Data!$H$3:$H$502)&lt;=IFERROR(DATEVALUE(A277&amp;""),A277))*(IFERROR(DATEVALUE(SCD_Data!$I$3:$I$502&amp;""),SCD_Data!$I$3:$I$502)&gt;=IFERROR(DATEVALUE(A277&amp;""),A277))*(ROW(SCD_Data!$A$3:$A$502)-2))),"—"))</f>
        <v/>
      </c>
      <c r="I277" s="25" t="str">
        <f aca="false">IF(A277="","",IFERROR(INDEX(SCD_Data!$D$3:$D$502,SUMPRODUCT((SCD_Data!$A$3:$A$502=B277)*(IFERROR(DATEVALUE(SCD_Data!$H$3:$H$502&amp;""),SCD_Data!$H$3:$H$502)&lt;=IFERROR(DATEVALUE(A277&amp;""),A277))*(IFERROR(DATEVALUE(SCD_Data!$I$3:$I$502&amp;""),SCD_Data!$I$3:$I$502)&gt;=IFERROR(DATEVALUE(A277&amp;""),A277))*(ROW(SCD_Data!$A$3:$A$502)-2))),"—"))</f>
        <v/>
      </c>
      <c r="J277" s="26" t="str">
        <f aca="false">IF(A277="","",IFERROR(INDEX(SCD_Data!$E$3:$E$502,SUMPRODUCT((SCD_Data!$A$3:$A$502=B277)*(IFERROR(DATEVALUE(SCD_Data!$H$3:$H$502&amp;""),SCD_Data!$H$3:$H$502)&lt;=IFERROR(DATEVALUE(A277&amp;""),A277))*(IFERROR(DATEVALUE(SCD_Data!$I$3:$I$502&amp;""),SCD_Data!$I$3:$I$502)&gt;=IFERROR(DATEVALUE(A277&amp;""),A277))*(ROW(SCD_Data!$A$3:$A$502)-2))),"—"))</f>
        <v/>
      </c>
      <c r="K277" s="25" t="str">
        <f aca="false">IF(A277="","",IFERROR(INDEX(SCD_Data!$F$3:$F$502,SUMPRODUCT((SCD_Data!$A$3:$A$502=B277)*(IFERROR(DATEVALUE(SCD_Data!$H$3:$H$502&amp;""),SCD_Data!$H$3:$H$502)&lt;=IFERROR(DATEVALUE(A277&amp;""),A277))*(IFERROR(DATEVALUE(SCD_Data!$I$3:$I$502&amp;""),SCD_Data!$I$3:$I$502)&gt;=IFERROR(DATEVALUE(A277&amp;""),A277))*(ROW(SCD_Data!$A$3:$A$502)-2))),"—"))</f>
        <v/>
      </c>
      <c r="L277" s="25" t="str">
        <f aca="false">IF(A277="","",IFERROR(INDEX(SCD_Data!$G$3:$G$502,SUMPRODUCT((SCD_Data!$A$3:$A$502=B277)*(IFERROR(DATEVALUE(SCD_Data!$H$3:$H$502&amp;""),SCD_Data!$H$3:$H$502)&lt;=IFERROR(DATEVALUE(A277&amp;""),A277))*(IFERROR(DATEVALUE(SCD_Data!$I$3:$I$502&amp;""),SCD_Data!$I$3:$I$502)&gt;=IFERROR(DATEVALUE(A277&amp;""),A277))*(ROW(SCD_Data!$A$3:$A$502)-2))),"—"))</f>
        <v/>
      </c>
      <c r="M277" s="27" t="str">
        <f aca="false">IF(A277="","",IF(H277="—","—",IF(C277&amp;""=H277&amp;"","✓","✗")))</f>
        <v/>
      </c>
      <c r="N277" s="27" t="str">
        <f aca="false">IF(A277="","",IF(H277="—","—",IF(D277&amp;""=I277&amp;"","✓","✗")))</f>
        <v/>
      </c>
      <c r="O277" s="27" t="str">
        <f aca="false">IF(A277="","",IF(H277="—","—",IF(ABS(E277-J277)&lt;0.01,"✓","✗")))</f>
        <v/>
      </c>
      <c r="P277" s="27" t="str">
        <f aca="false">IF(A277="","",IF(H277="—","—",IF(F277&amp;""=K277&amp;"","✓","✗")))</f>
        <v/>
      </c>
      <c r="Q277" s="27" t="str">
        <f aca="false">IF(A277="","",IF(H277="—","—",IF(G277&amp;""=L277&amp;"","✓","✗")))</f>
        <v/>
      </c>
      <c r="R277" s="27" t="str">
        <f aca="false">IF(A277="","",IF(COUNTIF(M277:Q277,"—")=5,"⚠ NO SCD ROW",IF(COUNTIF(M277:Q277,"✗")&gt;0,"❌ MISMATCH","✅ MATCH")))</f>
        <v/>
      </c>
    </row>
    <row r="278" customFormat="false" ht="15" hidden="false" customHeight="true" outlineLevel="0" collapsed="false">
      <c r="A278" s="22" t="str">
        <f aca="false">IF(Daily_Data!A277="","",Daily_Data!A277)</f>
        <v/>
      </c>
      <c r="B278" s="23" t="str">
        <f aca="false">IF(Daily_Data!B277="","",Daily_Data!B277)</f>
        <v/>
      </c>
      <c r="C278" s="23" t="str">
        <f aca="false">IF(A278="","",Daily_Data!C277)</f>
        <v/>
      </c>
      <c r="D278" s="23" t="str">
        <f aca="false">IF(A278="","",Daily_Data!D277)</f>
        <v/>
      </c>
      <c r="E278" s="24" t="str">
        <f aca="false">IF(A278="","",Daily_Data!E277)</f>
        <v/>
      </c>
      <c r="F278" s="23" t="str">
        <f aca="false">IF(A278="","",Daily_Data!F277)</f>
        <v/>
      </c>
      <c r="G278" s="23" t="str">
        <f aca="false">IF(A278="","",Daily_Data!G277)</f>
        <v/>
      </c>
      <c r="H278" s="25" t="str">
        <f aca="false">IF(A278="","",IFERROR(INDEX(SCD_Data!$C$3:$C$502,SUMPRODUCT((SCD_Data!$A$3:$A$502=B278)*(IFERROR(DATEVALUE(SCD_Data!$H$3:$H$502&amp;""),SCD_Data!$H$3:$H$502)&lt;=IFERROR(DATEVALUE(A278&amp;""),A278))*(IFERROR(DATEVALUE(SCD_Data!$I$3:$I$502&amp;""),SCD_Data!$I$3:$I$502)&gt;=IFERROR(DATEVALUE(A278&amp;""),A278))*(ROW(SCD_Data!$A$3:$A$502)-2))),"—"))</f>
        <v/>
      </c>
      <c r="I278" s="25" t="str">
        <f aca="false">IF(A278="","",IFERROR(INDEX(SCD_Data!$D$3:$D$502,SUMPRODUCT((SCD_Data!$A$3:$A$502=B278)*(IFERROR(DATEVALUE(SCD_Data!$H$3:$H$502&amp;""),SCD_Data!$H$3:$H$502)&lt;=IFERROR(DATEVALUE(A278&amp;""),A278))*(IFERROR(DATEVALUE(SCD_Data!$I$3:$I$502&amp;""),SCD_Data!$I$3:$I$502)&gt;=IFERROR(DATEVALUE(A278&amp;""),A278))*(ROW(SCD_Data!$A$3:$A$502)-2))),"—"))</f>
        <v/>
      </c>
      <c r="J278" s="26" t="str">
        <f aca="false">IF(A278="","",IFERROR(INDEX(SCD_Data!$E$3:$E$502,SUMPRODUCT((SCD_Data!$A$3:$A$502=B278)*(IFERROR(DATEVALUE(SCD_Data!$H$3:$H$502&amp;""),SCD_Data!$H$3:$H$502)&lt;=IFERROR(DATEVALUE(A278&amp;""),A278))*(IFERROR(DATEVALUE(SCD_Data!$I$3:$I$502&amp;""),SCD_Data!$I$3:$I$502)&gt;=IFERROR(DATEVALUE(A278&amp;""),A278))*(ROW(SCD_Data!$A$3:$A$502)-2))),"—"))</f>
        <v/>
      </c>
      <c r="K278" s="25" t="str">
        <f aca="false">IF(A278="","",IFERROR(INDEX(SCD_Data!$F$3:$F$502,SUMPRODUCT((SCD_Data!$A$3:$A$502=B278)*(IFERROR(DATEVALUE(SCD_Data!$H$3:$H$502&amp;""),SCD_Data!$H$3:$H$502)&lt;=IFERROR(DATEVALUE(A278&amp;""),A278))*(IFERROR(DATEVALUE(SCD_Data!$I$3:$I$502&amp;""),SCD_Data!$I$3:$I$502)&gt;=IFERROR(DATEVALUE(A278&amp;""),A278))*(ROW(SCD_Data!$A$3:$A$502)-2))),"—"))</f>
        <v/>
      </c>
      <c r="L278" s="25" t="str">
        <f aca="false">IF(A278="","",IFERROR(INDEX(SCD_Data!$G$3:$G$502,SUMPRODUCT((SCD_Data!$A$3:$A$502=B278)*(IFERROR(DATEVALUE(SCD_Data!$H$3:$H$502&amp;""),SCD_Data!$H$3:$H$502)&lt;=IFERROR(DATEVALUE(A278&amp;""),A278))*(IFERROR(DATEVALUE(SCD_Data!$I$3:$I$502&amp;""),SCD_Data!$I$3:$I$502)&gt;=IFERROR(DATEVALUE(A278&amp;""),A278))*(ROW(SCD_Data!$A$3:$A$502)-2))),"—"))</f>
        <v/>
      </c>
      <c r="M278" s="27" t="str">
        <f aca="false">IF(A278="","",IF(H278="—","—",IF(C278&amp;""=H278&amp;"","✓","✗")))</f>
        <v/>
      </c>
      <c r="N278" s="27" t="str">
        <f aca="false">IF(A278="","",IF(H278="—","—",IF(D278&amp;""=I278&amp;"","✓","✗")))</f>
        <v/>
      </c>
      <c r="O278" s="27" t="str">
        <f aca="false">IF(A278="","",IF(H278="—","—",IF(ABS(E278-J278)&lt;0.01,"✓","✗")))</f>
        <v/>
      </c>
      <c r="P278" s="27" t="str">
        <f aca="false">IF(A278="","",IF(H278="—","—",IF(F278&amp;""=K278&amp;"","✓","✗")))</f>
        <v/>
      </c>
      <c r="Q278" s="27" t="str">
        <f aca="false">IF(A278="","",IF(H278="—","—",IF(G278&amp;""=L278&amp;"","✓","✗")))</f>
        <v/>
      </c>
      <c r="R278" s="27" t="str">
        <f aca="false">IF(A278="","",IF(COUNTIF(M278:Q278,"—")=5,"⚠ NO SCD ROW",IF(COUNTIF(M278:Q278,"✗")&gt;0,"❌ MISMATCH","✅ MATCH")))</f>
        <v/>
      </c>
    </row>
    <row r="279" customFormat="false" ht="15" hidden="false" customHeight="true" outlineLevel="0" collapsed="false">
      <c r="A279" s="22" t="str">
        <f aca="false">IF(Daily_Data!A278="","",Daily_Data!A278)</f>
        <v/>
      </c>
      <c r="B279" s="23" t="str">
        <f aca="false">IF(Daily_Data!B278="","",Daily_Data!B278)</f>
        <v/>
      </c>
      <c r="C279" s="23" t="str">
        <f aca="false">IF(A279="","",Daily_Data!C278)</f>
        <v/>
      </c>
      <c r="D279" s="23" t="str">
        <f aca="false">IF(A279="","",Daily_Data!D278)</f>
        <v/>
      </c>
      <c r="E279" s="24" t="str">
        <f aca="false">IF(A279="","",Daily_Data!E278)</f>
        <v/>
      </c>
      <c r="F279" s="23" t="str">
        <f aca="false">IF(A279="","",Daily_Data!F278)</f>
        <v/>
      </c>
      <c r="G279" s="23" t="str">
        <f aca="false">IF(A279="","",Daily_Data!G278)</f>
        <v/>
      </c>
      <c r="H279" s="25" t="str">
        <f aca="false">IF(A279="","",IFERROR(INDEX(SCD_Data!$C$3:$C$502,SUMPRODUCT((SCD_Data!$A$3:$A$502=B279)*(IFERROR(DATEVALUE(SCD_Data!$H$3:$H$502&amp;""),SCD_Data!$H$3:$H$502)&lt;=IFERROR(DATEVALUE(A279&amp;""),A279))*(IFERROR(DATEVALUE(SCD_Data!$I$3:$I$502&amp;""),SCD_Data!$I$3:$I$502)&gt;=IFERROR(DATEVALUE(A279&amp;""),A279))*(ROW(SCD_Data!$A$3:$A$502)-2))),"—"))</f>
        <v/>
      </c>
      <c r="I279" s="25" t="str">
        <f aca="false">IF(A279="","",IFERROR(INDEX(SCD_Data!$D$3:$D$502,SUMPRODUCT((SCD_Data!$A$3:$A$502=B279)*(IFERROR(DATEVALUE(SCD_Data!$H$3:$H$502&amp;""),SCD_Data!$H$3:$H$502)&lt;=IFERROR(DATEVALUE(A279&amp;""),A279))*(IFERROR(DATEVALUE(SCD_Data!$I$3:$I$502&amp;""),SCD_Data!$I$3:$I$502)&gt;=IFERROR(DATEVALUE(A279&amp;""),A279))*(ROW(SCD_Data!$A$3:$A$502)-2))),"—"))</f>
        <v/>
      </c>
      <c r="J279" s="26" t="str">
        <f aca="false">IF(A279="","",IFERROR(INDEX(SCD_Data!$E$3:$E$502,SUMPRODUCT((SCD_Data!$A$3:$A$502=B279)*(IFERROR(DATEVALUE(SCD_Data!$H$3:$H$502&amp;""),SCD_Data!$H$3:$H$502)&lt;=IFERROR(DATEVALUE(A279&amp;""),A279))*(IFERROR(DATEVALUE(SCD_Data!$I$3:$I$502&amp;""),SCD_Data!$I$3:$I$502)&gt;=IFERROR(DATEVALUE(A279&amp;""),A279))*(ROW(SCD_Data!$A$3:$A$502)-2))),"—"))</f>
        <v/>
      </c>
      <c r="K279" s="25" t="str">
        <f aca="false">IF(A279="","",IFERROR(INDEX(SCD_Data!$F$3:$F$502,SUMPRODUCT((SCD_Data!$A$3:$A$502=B279)*(IFERROR(DATEVALUE(SCD_Data!$H$3:$H$502&amp;""),SCD_Data!$H$3:$H$502)&lt;=IFERROR(DATEVALUE(A279&amp;""),A279))*(IFERROR(DATEVALUE(SCD_Data!$I$3:$I$502&amp;""),SCD_Data!$I$3:$I$502)&gt;=IFERROR(DATEVALUE(A279&amp;""),A279))*(ROW(SCD_Data!$A$3:$A$502)-2))),"—"))</f>
        <v/>
      </c>
      <c r="L279" s="25" t="str">
        <f aca="false">IF(A279="","",IFERROR(INDEX(SCD_Data!$G$3:$G$502,SUMPRODUCT((SCD_Data!$A$3:$A$502=B279)*(IFERROR(DATEVALUE(SCD_Data!$H$3:$H$502&amp;""),SCD_Data!$H$3:$H$502)&lt;=IFERROR(DATEVALUE(A279&amp;""),A279))*(IFERROR(DATEVALUE(SCD_Data!$I$3:$I$502&amp;""),SCD_Data!$I$3:$I$502)&gt;=IFERROR(DATEVALUE(A279&amp;""),A279))*(ROW(SCD_Data!$A$3:$A$502)-2))),"—"))</f>
        <v/>
      </c>
      <c r="M279" s="27" t="str">
        <f aca="false">IF(A279="","",IF(H279="—","—",IF(C279&amp;""=H279&amp;"","✓","✗")))</f>
        <v/>
      </c>
      <c r="N279" s="27" t="str">
        <f aca="false">IF(A279="","",IF(H279="—","—",IF(D279&amp;""=I279&amp;"","✓","✗")))</f>
        <v/>
      </c>
      <c r="O279" s="27" t="str">
        <f aca="false">IF(A279="","",IF(H279="—","—",IF(ABS(E279-J279)&lt;0.01,"✓","✗")))</f>
        <v/>
      </c>
      <c r="P279" s="27" t="str">
        <f aca="false">IF(A279="","",IF(H279="—","—",IF(F279&amp;""=K279&amp;"","✓","✗")))</f>
        <v/>
      </c>
      <c r="Q279" s="27" t="str">
        <f aca="false">IF(A279="","",IF(H279="—","—",IF(G279&amp;""=L279&amp;"","✓","✗")))</f>
        <v/>
      </c>
      <c r="R279" s="27" t="str">
        <f aca="false">IF(A279="","",IF(COUNTIF(M279:Q279,"—")=5,"⚠ NO SCD ROW",IF(COUNTIF(M279:Q279,"✗")&gt;0,"❌ MISMATCH","✅ MATCH")))</f>
        <v/>
      </c>
    </row>
    <row r="280" customFormat="false" ht="15" hidden="false" customHeight="true" outlineLevel="0" collapsed="false">
      <c r="A280" s="22" t="str">
        <f aca="false">IF(Daily_Data!A279="","",Daily_Data!A279)</f>
        <v/>
      </c>
      <c r="B280" s="23" t="str">
        <f aca="false">IF(Daily_Data!B279="","",Daily_Data!B279)</f>
        <v/>
      </c>
      <c r="C280" s="23" t="str">
        <f aca="false">IF(A280="","",Daily_Data!C279)</f>
        <v/>
      </c>
      <c r="D280" s="23" t="str">
        <f aca="false">IF(A280="","",Daily_Data!D279)</f>
        <v/>
      </c>
      <c r="E280" s="24" t="str">
        <f aca="false">IF(A280="","",Daily_Data!E279)</f>
        <v/>
      </c>
      <c r="F280" s="23" t="str">
        <f aca="false">IF(A280="","",Daily_Data!F279)</f>
        <v/>
      </c>
      <c r="G280" s="23" t="str">
        <f aca="false">IF(A280="","",Daily_Data!G279)</f>
        <v/>
      </c>
      <c r="H280" s="25" t="str">
        <f aca="false">IF(A280="","",IFERROR(INDEX(SCD_Data!$C$3:$C$502,SUMPRODUCT((SCD_Data!$A$3:$A$502=B280)*(IFERROR(DATEVALUE(SCD_Data!$H$3:$H$502&amp;""),SCD_Data!$H$3:$H$502)&lt;=IFERROR(DATEVALUE(A280&amp;""),A280))*(IFERROR(DATEVALUE(SCD_Data!$I$3:$I$502&amp;""),SCD_Data!$I$3:$I$502)&gt;=IFERROR(DATEVALUE(A280&amp;""),A280))*(ROW(SCD_Data!$A$3:$A$502)-2))),"—"))</f>
        <v/>
      </c>
      <c r="I280" s="25" t="str">
        <f aca="false">IF(A280="","",IFERROR(INDEX(SCD_Data!$D$3:$D$502,SUMPRODUCT((SCD_Data!$A$3:$A$502=B280)*(IFERROR(DATEVALUE(SCD_Data!$H$3:$H$502&amp;""),SCD_Data!$H$3:$H$502)&lt;=IFERROR(DATEVALUE(A280&amp;""),A280))*(IFERROR(DATEVALUE(SCD_Data!$I$3:$I$502&amp;""),SCD_Data!$I$3:$I$502)&gt;=IFERROR(DATEVALUE(A280&amp;""),A280))*(ROW(SCD_Data!$A$3:$A$502)-2))),"—"))</f>
        <v/>
      </c>
      <c r="J280" s="26" t="str">
        <f aca="false">IF(A280="","",IFERROR(INDEX(SCD_Data!$E$3:$E$502,SUMPRODUCT((SCD_Data!$A$3:$A$502=B280)*(IFERROR(DATEVALUE(SCD_Data!$H$3:$H$502&amp;""),SCD_Data!$H$3:$H$502)&lt;=IFERROR(DATEVALUE(A280&amp;""),A280))*(IFERROR(DATEVALUE(SCD_Data!$I$3:$I$502&amp;""),SCD_Data!$I$3:$I$502)&gt;=IFERROR(DATEVALUE(A280&amp;""),A280))*(ROW(SCD_Data!$A$3:$A$502)-2))),"—"))</f>
        <v/>
      </c>
      <c r="K280" s="25" t="str">
        <f aca="false">IF(A280="","",IFERROR(INDEX(SCD_Data!$F$3:$F$502,SUMPRODUCT((SCD_Data!$A$3:$A$502=B280)*(IFERROR(DATEVALUE(SCD_Data!$H$3:$H$502&amp;""),SCD_Data!$H$3:$H$502)&lt;=IFERROR(DATEVALUE(A280&amp;""),A280))*(IFERROR(DATEVALUE(SCD_Data!$I$3:$I$502&amp;""),SCD_Data!$I$3:$I$502)&gt;=IFERROR(DATEVALUE(A280&amp;""),A280))*(ROW(SCD_Data!$A$3:$A$502)-2))),"—"))</f>
        <v/>
      </c>
      <c r="L280" s="25" t="str">
        <f aca="false">IF(A280="","",IFERROR(INDEX(SCD_Data!$G$3:$G$502,SUMPRODUCT((SCD_Data!$A$3:$A$502=B280)*(IFERROR(DATEVALUE(SCD_Data!$H$3:$H$502&amp;""),SCD_Data!$H$3:$H$502)&lt;=IFERROR(DATEVALUE(A280&amp;""),A280))*(IFERROR(DATEVALUE(SCD_Data!$I$3:$I$502&amp;""),SCD_Data!$I$3:$I$502)&gt;=IFERROR(DATEVALUE(A280&amp;""),A280))*(ROW(SCD_Data!$A$3:$A$502)-2))),"—"))</f>
        <v/>
      </c>
      <c r="M280" s="27" t="str">
        <f aca="false">IF(A280="","",IF(H280="—","—",IF(C280&amp;""=H280&amp;"","✓","✗")))</f>
        <v/>
      </c>
      <c r="N280" s="27" t="str">
        <f aca="false">IF(A280="","",IF(H280="—","—",IF(D280&amp;""=I280&amp;"","✓","✗")))</f>
        <v/>
      </c>
      <c r="O280" s="27" t="str">
        <f aca="false">IF(A280="","",IF(H280="—","—",IF(ABS(E280-J280)&lt;0.01,"✓","✗")))</f>
        <v/>
      </c>
      <c r="P280" s="27" t="str">
        <f aca="false">IF(A280="","",IF(H280="—","—",IF(F280&amp;""=K280&amp;"","✓","✗")))</f>
        <v/>
      </c>
      <c r="Q280" s="27" t="str">
        <f aca="false">IF(A280="","",IF(H280="—","—",IF(G280&amp;""=L280&amp;"","✓","✗")))</f>
        <v/>
      </c>
      <c r="R280" s="27" t="str">
        <f aca="false">IF(A280="","",IF(COUNTIF(M280:Q280,"—")=5,"⚠ NO SCD ROW",IF(COUNTIF(M280:Q280,"✗")&gt;0,"❌ MISMATCH","✅ MATCH")))</f>
        <v/>
      </c>
    </row>
    <row r="281" customFormat="false" ht="15" hidden="false" customHeight="true" outlineLevel="0" collapsed="false">
      <c r="A281" s="22" t="str">
        <f aca="false">IF(Daily_Data!A280="","",Daily_Data!A280)</f>
        <v/>
      </c>
      <c r="B281" s="23" t="str">
        <f aca="false">IF(Daily_Data!B280="","",Daily_Data!B280)</f>
        <v/>
      </c>
      <c r="C281" s="23" t="str">
        <f aca="false">IF(A281="","",Daily_Data!C280)</f>
        <v/>
      </c>
      <c r="D281" s="23" t="str">
        <f aca="false">IF(A281="","",Daily_Data!D280)</f>
        <v/>
      </c>
      <c r="E281" s="24" t="str">
        <f aca="false">IF(A281="","",Daily_Data!E280)</f>
        <v/>
      </c>
      <c r="F281" s="23" t="str">
        <f aca="false">IF(A281="","",Daily_Data!F280)</f>
        <v/>
      </c>
      <c r="G281" s="23" t="str">
        <f aca="false">IF(A281="","",Daily_Data!G280)</f>
        <v/>
      </c>
      <c r="H281" s="25" t="str">
        <f aca="false">IF(A281="","",IFERROR(INDEX(SCD_Data!$C$3:$C$502,SUMPRODUCT((SCD_Data!$A$3:$A$502=B281)*(IFERROR(DATEVALUE(SCD_Data!$H$3:$H$502&amp;""),SCD_Data!$H$3:$H$502)&lt;=IFERROR(DATEVALUE(A281&amp;""),A281))*(IFERROR(DATEVALUE(SCD_Data!$I$3:$I$502&amp;""),SCD_Data!$I$3:$I$502)&gt;=IFERROR(DATEVALUE(A281&amp;""),A281))*(ROW(SCD_Data!$A$3:$A$502)-2))),"—"))</f>
        <v/>
      </c>
      <c r="I281" s="25" t="str">
        <f aca="false">IF(A281="","",IFERROR(INDEX(SCD_Data!$D$3:$D$502,SUMPRODUCT((SCD_Data!$A$3:$A$502=B281)*(IFERROR(DATEVALUE(SCD_Data!$H$3:$H$502&amp;""),SCD_Data!$H$3:$H$502)&lt;=IFERROR(DATEVALUE(A281&amp;""),A281))*(IFERROR(DATEVALUE(SCD_Data!$I$3:$I$502&amp;""),SCD_Data!$I$3:$I$502)&gt;=IFERROR(DATEVALUE(A281&amp;""),A281))*(ROW(SCD_Data!$A$3:$A$502)-2))),"—"))</f>
        <v/>
      </c>
      <c r="J281" s="26" t="str">
        <f aca="false">IF(A281="","",IFERROR(INDEX(SCD_Data!$E$3:$E$502,SUMPRODUCT((SCD_Data!$A$3:$A$502=B281)*(IFERROR(DATEVALUE(SCD_Data!$H$3:$H$502&amp;""),SCD_Data!$H$3:$H$502)&lt;=IFERROR(DATEVALUE(A281&amp;""),A281))*(IFERROR(DATEVALUE(SCD_Data!$I$3:$I$502&amp;""),SCD_Data!$I$3:$I$502)&gt;=IFERROR(DATEVALUE(A281&amp;""),A281))*(ROW(SCD_Data!$A$3:$A$502)-2))),"—"))</f>
        <v/>
      </c>
      <c r="K281" s="25" t="str">
        <f aca="false">IF(A281="","",IFERROR(INDEX(SCD_Data!$F$3:$F$502,SUMPRODUCT((SCD_Data!$A$3:$A$502=B281)*(IFERROR(DATEVALUE(SCD_Data!$H$3:$H$502&amp;""),SCD_Data!$H$3:$H$502)&lt;=IFERROR(DATEVALUE(A281&amp;""),A281))*(IFERROR(DATEVALUE(SCD_Data!$I$3:$I$502&amp;""),SCD_Data!$I$3:$I$502)&gt;=IFERROR(DATEVALUE(A281&amp;""),A281))*(ROW(SCD_Data!$A$3:$A$502)-2))),"—"))</f>
        <v/>
      </c>
      <c r="L281" s="25" t="str">
        <f aca="false">IF(A281="","",IFERROR(INDEX(SCD_Data!$G$3:$G$502,SUMPRODUCT((SCD_Data!$A$3:$A$502=B281)*(IFERROR(DATEVALUE(SCD_Data!$H$3:$H$502&amp;""),SCD_Data!$H$3:$H$502)&lt;=IFERROR(DATEVALUE(A281&amp;""),A281))*(IFERROR(DATEVALUE(SCD_Data!$I$3:$I$502&amp;""),SCD_Data!$I$3:$I$502)&gt;=IFERROR(DATEVALUE(A281&amp;""),A281))*(ROW(SCD_Data!$A$3:$A$502)-2))),"—"))</f>
        <v/>
      </c>
      <c r="M281" s="27" t="str">
        <f aca="false">IF(A281="","",IF(H281="—","—",IF(C281&amp;""=H281&amp;"","✓","✗")))</f>
        <v/>
      </c>
      <c r="N281" s="27" t="str">
        <f aca="false">IF(A281="","",IF(H281="—","—",IF(D281&amp;""=I281&amp;"","✓","✗")))</f>
        <v/>
      </c>
      <c r="O281" s="27" t="str">
        <f aca="false">IF(A281="","",IF(H281="—","—",IF(ABS(E281-J281)&lt;0.01,"✓","✗")))</f>
        <v/>
      </c>
      <c r="P281" s="27" t="str">
        <f aca="false">IF(A281="","",IF(H281="—","—",IF(F281&amp;""=K281&amp;"","✓","✗")))</f>
        <v/>
      </c>
      <c r="Q281" s="27" t="str">
        <f aca="false">IF(A281="","",IF(H281="—","—",IF(G281&amp;""=L281&amp;"","✓","✗")))</f>
        <v/>
      </c>
      <c r="R281" s="27" t="str">
        <f aca="false">IF(A281="","",IF(COUNTIF(M281:Q281,"—")=5,"⚠ NO SCD ROW",IF(COUNTIF(M281:Q281,"✗")&gt;0,"❌ MISMATCH","✅ MATCH")))</f>
        <v/>
      </c>
    </row>
    <row r="282" customFormat="false" ht="15" hidden="false" customHeight="true" outlineLevel="0" collapsed="false">
      <c r="A282" s="22" t="str">
        <f aca="false">IF(Daily_Data!A281="","",Daily_Data!A281)</f>
        <v/>
      </c>
      <c r="B282" s="23" t="str">
        <f aca="false">IF(Daily_Data!B281="","",Daily_Data!B281)</f>
        <v/>
      </c>
      <c r="C282" s="23" t="str">
        <f aca="false">IF(A282="","",Daily_Data!C281)</f>
        <v/>
      </c>
      <c r="D282" s="23" t="str">
        <f aca="false">IF(A282="","",Daily_Data!D281)</f>
        <v/>
      </c>
      <c r="E282" s="24" t="str">
        <f aca="false">IF(A282="","",Daily_Data!E281)</f>
        <v/>
      </c>
      <c r="F282" s="23" t="str">
        <f aca="false">IF(A282="","",Daily_Data!F281)</f>
        <v/>
      </c>
      <c r="G282" s="23" t="str">
        <f aca="false">IF(A282="","",Daily_Data!G281)</f>
        <v/>
      </c>
      <c r="H282" s="25" t="str">
        <f aca="false">IF(A282="","",IFERROR(INDEX(SCD_Data!$C$3:$C$502,SUMPRODUCT((SCD_Data!$A$3:$A$502=B282)*(IFERROR(DATEVALUE(SCD_Data!$H$3:$H$502&amp;""),SCD_Data!$H$3:$H$502)&lt;=IFERROR(DATEVALUE(A282&amp;""),A282))*(IFERROR(DATEVALUE(SCD_Data!$I$3:$I$502&amp;""),SCD_Data!$I$3:$I$502)&gt;=IFERROR(DATEVALUE(A282&amp;""),A282))*(ROW(SCD_Data!$A$3:$A$502)-2))),"—"))</f>
        <v/>
      </c>
      <c r="I282" s="25" t="str">
        <f aca="false">IF(A282="","",IFERROR(INDEX(SCD_Data!$D$3:$D$502,SUMPRODUCT((SCD_Data!$A$3:$A$502=B282)*(IFERROR(DATEVALUE(SCD_Data!$H$3:$H$502&amp;""),SCD_Data!$H$3:$H$502)&lt;=IFERROR(DATEVALUE(A282&amp;""),A282))*(IFERROR(DATEVALUE(SCD_Data!$I$3:$I$502&amp;""),SCD_Data!$I$3:$I$502)&gt;=IFERROR(DATEVALUE(A282&amp;""),A282))*(ROW(SCD_Data!$A$3:$A$502)-2))),"—"))</f>
        <v/>
      </c>
      <c r="J282" s="26" t="str">
        <f aca="false">IF(A282="","",IFERROR(INDEX(SCD_Data!$E$3:$E$502,SUMPRODUCT((SCD_Data!$A$3:$A$502=B282)*(IFERROR(DATEVALUE(SCD_Data!$H$3:$H$502&amp;""),SCD_Data!$H$3:$H$502)&lt;=IFERROR(DATEVALUE(A282&amp;""),A282))*(IFERROR(DATEVALUE(SCD_Data!$I$3:$I$502&amp;""),SCD_Data!$I$3:$I$502)&gt;=IFERROR(DATEVALUE(A282&amp;""),A282))*(ROW(SCD_Data!$A$3:$A$502)-2))),"—"))</f>
        <v/>
      </c>
      <c r="K282" s="25" t="str">
        <f aca="false">IF(A282="","",IFERROR(INDEX(SCD_Data!$F$3:$F$502,SUMPRODUCT((SCD_Data!$A$3:$A$502=B282)*(IFERROR(DATEVALUE(SCD_Data!$H$3:$H$502&amp;""),SCD_Data!$H$3:$H$502)&lt;=IFERROR(DATEVALUE(A282&amp;""),A282))*(IFERROR(DATEVALUE(SCD_Data!$I$3:$I$502&amp;""),SCD_Data!$I$3:$I$502)&gt;=IFERROR(DATEVALUE(A282&amp;""),A282))*(ROW(SCD_Data!$A$3:$A$502)-2))),"—"))</f>
        <v/>
      </c>
      <c r="L282" s="25" t="str">
        <f aca="false">IF(A282="","",IFERROR(INDEX(SCD_Data!$G$3:$G$502,SUMPRODUCT((SCD_Data!$A$3:$A$502=B282)*(IFERROR(DATEVALUE(SCD_Data!$H$3:$H$502&amp;""),SCD_Data!$H$3:$H$502)&lt;=IFERROR(DATEVALUE(A282&amp;""),A282))*(IFERROR(DATEVALUE(SCD_Data!$I$3:$I$502&amp;""),SCD_Data!$I$3:$I$502)&gt;=IFERROR(DATEVALUE(A282&amp;""),A282))*(ROW(SCD_Data!$A$3:$A$502)-2))),"—"))</f>
        <v/>
      </c>
      <c r="M282" s="27" t="str">
        <f aca="false">IF(A282="","",IF(H282="—","—",IF(C282&amp;""=H282&amp;"","✓","✗")))</f>
        <v/>
      </c>
      <c r="N282" s="27" t="str">
        <f aca="false">IF(A282="","",IF(H282="—","—",IF(D282&amp;""=I282&amp;"","✓","✗")))</f>
        <v/>
      </c>
      <c r="O282" s="27" t="str">
        <f aca="false">IF(A282="","",IF(H282="—","—",IF(ABS(E282-J282)&lt;0.01,"✓","✗")))</f>
        <v/>
      </c>
      <c r="P282" s="27" t="str">
        <f aca="false">IF(A282="","",IF(H282="—","—",IF(F282&amp;""=K282&amp;"","✓","✗")))</f>
        <v/>
      </c>
      <c r="Q282" s="27" t="str">
        <f aca="false">IF(A282="","",IF(H282="—","—",IF(G282&amp;""=L282&amp;"","✓","✗")))</f>
        <v/>
      </c>
      <c r="R282" s="27" t="str">
        <f aca="false">IF(A282="","",IF(COUNTIF(M282:Q282,"—")=5,"⚠ NO SCD ROW",IF(COUNTIF(M282:Q282,"✗")&gt;0,"❌ MISMATCH","✅ MATCH")))</f>
        <v/>
      </c>
    </row>
    <row r="283" customFormat="false" ht="15" hidden="false" customHeight="true" outlineLevel="0" collapsed="false">
      <c r="A283" s="22" t="str">
        <f aca="false">IF(Daily_Data!A282="","",Daily_Data!A282)</f>
        <v/>
      </c>
      <c r="B283" s="23" t="str">
        <f aca="false">IF(Daily_Data!B282="","",Daily_Data!B282)</f>
        <v/>
      </c>
      <c r="C283" s="23" t="str">
        <f aca="false">IF(A283="","",Daily_Data!C282)</f>
        <v/>
      </c>
      <c r="D283" s="23" t="str">
        <f aca="false">IF(A283="","",Daily_Data!D282)</f>
        <v/>
      </c>
      <c r="E283" s="24" t="str">
        <f aca="false">IF(A283="","",Daily_Data!E282)</f>
        <v/>
      </c>
      <c r="F283" s="23" t="str">
        <f aca="false">IF(A283="","",Daily_Data!F282)</f>
        <v/>
      </c>
      <c r="G283" s="23" t="str">
        <f aca="false">IF(A283="","",Daily_Data!G282)</f>
        <v/>
      </c>
      <c r="H283" s="25" t="str">
        <f aca="false">IF(A283="","",IFERROR(INDEX(SCD_Data!$C$3:$C$502,SUMPRODUCT((SCD_Data!$A$3:$A$502=B283)*(IFERROR(DATEVALUE(SCD_Data!$H$3:$H$502&amp;""),SCD_Data!$H$3:$H$502)&lt;=IFERROR(DATEVALUE(A283&amp;""),A283))*(IFERROR(DATEVALUE(SCD_Data!$I$3:$I$502&amp;""),SCD_Data!$I$3:$I$502)&gt;=IFERROR(DATEVALUE(A283&amp;""),A283))*(ROW(SCD_Data!$A$3:$A$502)-2))),"—"))</f>
        <v/>
      </c>
      <c r="I283" s="25" t="str">
        <f aca="false">IF(A283="","",IFERROR(INDEX(SCD_Data!$D$3:$D$502,SUMPRODUCT((SCD_Data!$A$3:$A$502=B283)*(IFERROR(DATEVALUE(SCD_Data!$H$3:$H$502&amp;""),SCD_Data!$H$3:$H$502)&lt;=IFERROR(DATEVALUE(A283&amp;""),A283))*(IFERROR(DATEVALUE(SCD_Data!$I$3:$I$502&amp;""),SCD_Data!$I$3:$I$502)&gt;=IFERROR(DATEVALUE(A283&amp;""),A283))*(ROW(SCD_Data!$A$3:$A$502)-2))),"—"))</f>
        <v/>
      </c>
      <c r="J283" s="26" t="str">
        <f aca="false">IF(A283="","",IFERROR(INDEX(SCD_Data!$E$3:$E$502,SUMPRODUCT((SCD_Data!$A$3:$A$502=B283)*(IFERROR(DATEVALUE(SCD_Data!$H$3:$H$502&amp;""),SCD_Data!$H$3:$H$502)&lt;=IFERROR(DATEVALUE(A283&amp;""),A283))*(IFERROR(DATEVALUE(SCD_Data!$I$3:$I$502&amp;""),SCD_Data!$I$3:$I$502)&gt;=IFERROR(DATEVALUE(A283&amp;""),A283))*(ROW(SCD_Data!$A$3:$A$502)-2))),"—"))</f>
        <v/>
      </c>
      <c r="K283" s="25" t="str">
        <f aca="false">IF(A283="","",IFERROR(INDEX(SCD_Data!$F$3:$F$502,SUMPRODUCT((SCD_Data!$A$3:$A$502=B283)*(IFERROR(DATEVALUE(SCD_Data!$H$3:$H$502&amp;""),SCD_Data!$H$3:$H$502)&lt;=IFERROR(DATEVALUE(A283&amp;""),A283))*(IFERROR(DATEVALUE(SCD_Data!$I$3:$I$502&amp;""),SCD_Data!$I$3:$I$502)&gt;=IFERROR(DATEVALUE(A283&amp;""),A283))*(ROW(SCD_Data!$A$3:$A$502)-2))),"—"))</f>
        <v/>
      </c>
      <c r="L283" s="25" t="str">
        <f aca="false">IF(A283="","",IFERROR(INDEX(SCD_Data!$G$3:$G$502,SUMPRODUCT((SCD_Data!$A$3:$A$502=B283)*(IFERROR(DATEVALUE(SCD_Data!$H$3:$H$502&amp;""),SCD_Data!$H$3:$H$502)&lt;=IFERROR(DATEVALUE(A283&amp;""),A283))*(IFERROR(DATEVALUE(SCD_Data!$I$3:$I$502&amp;""),SCD_Data!$I$3:$I$502)&gt;=IFERROR(DATEVALUE(A283&amp;""),A283))*(ROW(SCD_Data!$A$3:$A$502)-2))),"—"))</f>
        <v/>
      </c>
      <c r="M283" s="27" t="str">
        <f aca="false">IF(A283="","",IF(H283="—","—",IF(C283&amp;""=H283&amp;"","✓","✗")))</f>
        <v/>
      </c>
      <c r="N283" s="27" t="str">
        <f aca="false">IF(A283="","",IF(H283="—","—",IF(D283&amp;""=I283&amp;"","✓","✗")))</f>
        <v/>
      </c>
      <c r="O283" s="27" t="str">
        <f aca="false">IF(A283="","",IF(H283="—","—",IF(ABS(E283-J283)&lt;0.01,"✓","✗")))</f>
        <v/>
      </c>
      <c r="P283" s="27" t="str">
        <f aca="false">IF(A283="","",IF(H283="—","—",IF(F283&amp;""=K283&amp;"","✓","✗")))</f>
        <v/>
      </c>
      <c r="Q283" s="27" t="str">
        <f aca="false">IF(A283="","",IF(H283="—","—",IF(G283&amp;""=L283&amp;"","✓","✗")))</f>
        <v/>
      </c>
      <c r="R283" s="27" t="str">
        <f aca="false">IF(A283="","",IF(COUNTIF(M283:Q283,"—")=5,"⚠ NO SCD ROW",IF(COUNTIF(M283:Q283,"✗")&gt;0,"❌ MISMATCH","✅ MATCH")))</f>
        <v/>
      </c>
    </row>
    <row r="284" customFormat="false" ht="15" hidden="false" customHeight="true" outlineLevel="0" collapsed="false">
      <c r="A284" s="22" t="str">
        <f aca="false">IF(Daily_Data!A283="","",Daily_Data!A283)</f>
        <v/>
      </c>
      <c r="B284" s="23" t="str">
        <f aca="false">IF(Daily_Data!B283="","",Daily_Data!B283)</f>
        <v/>
      </c>
      <c r="C284" s="23" t="str">
        <f aca="false">IF(A284="","",Daily_Data!C283)</f>
        <v/>
      </c>
      <c r="D284" s="23" t="str">
        <f aca="false">IF(A284="","",Daily_Data!D283)</f>
        <v/>
      </c>
      <c r="E284" s="24" t="str">
        <f aca="false">IF(A284="","",Daily_Data!E283)</f>
        <v/>
      </c>
      <c r="F284" s="23" t="str">
        <f aca="false">IF(A284="","",Daily_Data!F283)</f>
        <v/>
      </c>
      <c r="G284" s="23" t="str">
        <f aca="false">IF(A284="","",Daily_Data!G283)</f>
        <v/>
      </c>
      <c r="H284" s="25" t="str">
        <f aca="false">IF(A284="","",IFERROR(INDEX(SCD_Data!$C$3:$C$502,SUMPRODUCT((SCD_Data!$A$3:$A$502=B284)*(IFERROR(DATEVALUE(SCD_Data!$H$3:$H$502&amp;""),SCD_Data!$H$3:$H$502)&lt;=IFERROR(DATEVALUE(A284&amp;""),A284))*(IFERROR(DATEVALUE(SCD_Data!$I$3:$I$502&amp;""),SCD_Data!$I$3:$I$502)&gt;=IFERROR(DATEVALUE(A284&amp;""),A284))*(ROW(SCD_Data!$A$3:$A$502)-2))),"—"))</f>
        <v/>
      </c>
      <c r="I284" s="25" t="str">
        <f aca="false">IF(A284="","",IFERROR(INDEX(SCD_Data!$D$3:$D$502,SUMPRODUCT((SCD_Data!$A$3:$A$502=B284)*(IFERROR(DATEVALUE(SCD_Data!$H$3:$H$502&amp;""),SCD_Data!$H$3:$H$502)&lt;=IFERROR(DATEVALUE(A284&amp;""),A284))*(IFERROR(DATEVALUE(SCD_Data!$I$3:$I$502&amp;""),SCD_Data!$I$3:$I$502)&gt;=IFERROR(DATEVALUE(A284&amp;""),A284))*(ROW(SCD_Data!$A$3:$A$502)-2))),"—"))</f>
        <v/>
      </c>
      <c r="J284" s="26" t="str">
        <f aca="false">IF(A284="","",IFERROR(INDEX(SCD_Data!$E$3:$E$502,SUMPRODUCT((SCD_Data!$A$3:$A$502=B284)*(IFERROR(DATEVALUE(SCD_Data!$H$3:$H$502&amp;""),SCD_Data!$H$3:$H$502)&lt;=IFERROR(DATEVALUE(A284&amp;""),A284))*(IFERROR(DATEVALUE(SCD_Data!$I$3:$I$502&amp;""),SCD_Data!$I$3:$I$502)&gt;=IFERROR(DATEVALUE(A284&amp;""),A284))*(ROW(SCD_Data!$A$3:$A$502)-2))),"—"))</f>
        <v/>
      </c>
      <c r="K284" s="25" t="str">
        <f aca="false">IF(A284="","",IFERROR(INDEX(SCD_Data!$F$3:$F$502,SUMPRODUCT((SCD_Data!$A$3:$A$502=B284)*(IFERROR(DATEVALUE(SCD_Data!$H$3:$H$502&amp;""),SCD_Data!$H$3:$H$502)&lt;=IFERROR(DATEVALUE(A284&amp;""),A284))*(IFERROR(DATEVALUE(SCD_Data!$I$3:$I$502&amp;""),SCD_Data!$I$3:$I$502)&gt;=IFERROR(DATEVALUE(A284&amp;""),A284))*(ROW(SCD_Data!$A$3:$A$502)-2))),"—"))</f>
        <v/>
      </c>
      <c r="L284" s="25" t="str">
        <f aca="false">IF(A284="","",IFERROR(INDEX(SCD_Data!$G$3:$G$502,SUMPRODUCT((SCD_Data!$A$3:$A$502=B284)*(IFERROR(DATEVALUE(SCD_Data!$H$3:$H$502&amp;""),SCD_Data!$H$3:$H$502)&lt;=IFERROR(DATEVALUE(A284&amp;""),A284))*(IFERROR(DATEVALUE(SCD_Data!$I$3:$I$502&amp;""),SCD_Data!$I$3:$I$502)&gt;=IFERROR(DATEVALUE(A284&amp;""),A284))*(ROW(SCD_Data!$A$3:$A$502)-2))),"—"))</f>
        <v/>
      </c>
      <c r="M284" s="27" t="str">
        <f aca="false">IF(A284="","",IF(H284="—","—",IF(C284&amp;""=H284&amp;"","✓","✗")))</f>
        <v/>
      </c>
      <c r="N284" s="27" t="str">
        <f aca="false">IF(A284="","",IF(H284="—","—",IF(D284&amp;""=I284&amp;"","✓","✗")))</f>
        <v/>
      </c>
      <c r="O284" s="27" t="str">
        <f aca="false">IF(A284="","",IF(H284="—","—",IF(ABS(E284-J284)&lt;0.01,"✓","✗")))</f>
        <v/>
      </c>
      <c r="P284" s="27" t="str">
        <f aca="false">IF(A284="","",IF(H284="—","—",IF(F284&amp;""=K284&amp;"","✓","✗")))</f>
        <v/>
      </c>
      <c r="Q284" s="27" t="str">
        <f aca="false">IF(A284="","",IF(H284="—","—",IF(G284&amp;""=L284&amp;"","✓","✗")))</f>
        <v/>
      </c>
      <c r="R284" s="27" t="str">
        <f aca="false">IF(A284="","",IF(COUNTIF(M284:Q284,"—")=5,"⚠ NO SCD ROW",IF(COUNTIF(M284:Q284,"✗")&gt;0,"❌ MISMATCH","✅ MATCH")))</f>
        <v/>
      </c>
    </row>
    <row r="285" customFormat="false" ht="15" hidden="false" customHeight="true" outlineLevel="0" collapsed="false">
      <c r="A285" s="22" t="str">
        <f aca="false">IF(Daily_Data!A284="","",Daily_Data!A284)</f>
        <v/>
      </c>
      <c r="B285" s="23" t="str">
        <f aca="false">IF(Daily_Data!B284="","",Daily_Data!B284)</f>
        <v/>
      </c>
      <c r="C285" s="23" t="str">
        <f aca="false">IF(A285="","",Daily_Data!C284)</f>
        <v/>
      </c>
      <c r="D285" s="23" t="str">
        <f aca="false">IF(A285="","",Daily_Data!D284)</f>
        <v/>
      </c>
      <c r="E285" s="24" t="str">
        <f aca="false">IF(A285="","",Daily_Data!E284)</f>
        <v/>
      </c>
      <c r="F285" s="23" t="str">
        <f aca="false">IF(A285="","",Daily_Data!F284)</f>
        <v/>
      </c>
      <c r="G285" s="23" t="str">
        <f aca="false">IF(A285="","",Daily_Data!G284)</f>
        <v/>
      </c>
      <c r="H285" s="25" t="str">
        <f aca="false">IF(A285="","",IFERROR(INDEX(SCD_Data!$C$3:$C$502,SUMPRODUCT((SCD_Data!$A$3:$A$502=B285)*(IFERROR(DATEVALUE(SCD_Data!$H$3:$H$502&amp;""),SCD_Data!$H$3:$H$502)&lt;=IFERROR(DATEVALUE(A285&amp;""),A285))*(IFERROR(DATEVALUE(SCD_Data!$I$3:$I$502&amp;""),SCD_Data!$I$3:$I$502)&gt;=IFERROR(DATEVALUE(A285&amp;""),A285))*(ROW(SCD_Data!$A$3:$A$502)-2))),"—"))</f>
        <v/>
      </c>
      <c r="I285" s="25" t="str">
        <f aca="false">IF(A285="","",IFERROR(INDEX(SCD_Data!$D$3:$D$502,SUMPRODUCT((SCD_Data!$A$3:$A$502=B285)*(IFERROR(DATEVALUE(SCD_Data!$H$3:$H$502&amp;""),SCD_Data!$H$3:$H$502)&lt;=IFERROR(DATEVALUE(A285&amp;""),A285))*(IFERROR(DATEVALUE(SCD_Data!$I$3:$I$502&amp;""),SCD_Data!$I$3:$I$502)&gt;=IFERROR(DATEVALUE(A285&amp;""),A285))*(ROW(SCD_Data!$A$3:$A$502)-2))),"—"))</f>
        <v/>
      </c>
      <c r="J285" s="26" t="str">
        <f aca="false">IF(A285="","",IFERROR(INDEX(SCD_Data!$E$3:$E$502,SUMPRODUCT((SCD_Data!$A$3:$A$502=B285)*(IFERROR(DATEVALUE(SCD_Data!$H$3:$H$502&amp;""),SCD_Data!$H$3:$H$502)&lt;=IFERROR(DATEVALUE(A285&amp;""),A285))*(IFERROR(DATEVALUE(SCD_Data!$I$3:$I$502&amp;""),SCD_Data!$I$3:$I$502)&gt;=IFERROR(DATEVALUE(A285&amp;""),A285))*(ROW(SCD_Data!$A$3:$A$502)-2))),"—"))</f>
        <v/>
      </c>
      <c r="K285" s="25" t="str">
        <f aca="false">IF(A285="","",IFERROR(INDEX(SCD_Data!$F$3:$F$502,SUMPRODUCT((SCD_Data!$A$3:$A$502=B285)*(IFERROR(DATEVALUE(SCD_Data!$H$3:$H$502&amp;""),SCD_Data!$H$3:$H$502)&lt;=IFERROR(DATEVALUE(A285&amp;""),A285))*(IFERROR(DATEVALUE(SCD_Data!$I$3:$I$502&amp;""),SCD_Data!$I$3:$I$502)&gt;=IFERROR(DATEVALUE(A285&amp;""),A285))*(ROW(SCD_Data!$A$3:$A$502)-2))),"—"))</f>
        <v/>
      </c>
      <c r="L285" s="25" t="str">
        <f aca="false">IF(A285="","",IFERROR(INDEX(SCD_Data!$G$3:$G$502,SUMPRODUCT((SCD_Data!$A$3:$A$502=B285)*(IFERROR(DATEVALUE(SCD_Data!$H$3:$H$502&amp;""),SCD_Data!$H$3:$H$502)&lt;=IFERROR(DATEVALUE(A285&amp;""),A285))*(IFERROR(DATEVALUE(SCD_Data!$I$3:$I$502&amp;""),SCD_Data!$I$3:$I$502)&gt;=IFERROR(DATEVALUE(A285&amp;""),A285))*(ROW(SCD_Data!$A$3:$A$502)-2))),"—"))</f>
        <v/>
      </c>
      <c r="M285" s="27" t="str">
        <f aca="false">IF(A285="","",IF(H285="—","—",IF(C285&amp;""=H285&amp;"","✓","✗")))</f>
        <v/>
      </c>
      <c r="N285" s="27" t="str">
        <f aca="false">IF(A285="","",IF(H285="—","—",IF(D285&amp;""=I285&amp;"","✓","✗")))</f>
        <v/>
      </c>
      <c r="O285" s="27" t="str">
        <f aca="false">IF(A285="","",IF(H285="—","—",IF(ABS(E285-J285)&lt;0.01,"✓","✗")))</f>
        <v/>
      </c>
      <c r="P285" s="27" t="str">
        <f aca="false">IF(A285="","",IF(H285="—","—",IF(F285&amp;""=K285&amp;"","✓","✗")))</f>
        <v/>
      </c>
      <c r="Q285" s="27" t="str">
        <f aca="false">IF(A285="","",IF(H285="—","—",IF(G285&amp;""=L285&amp;"","✓","✗")))</f>
        <v/>
      </c>
      <c r="R285" s="27" t="str">
        <f aca="false">IF(A285="","",IF(COUNTIF(M285:Q285,"—")=5,"⚠ NO SCD ROW",IF(COUNTIF(M285:Q285,"✗")&gt;0,"❌ MISMATCH","✅ MATCH")))</f>
        <v/>
      </c>
    </row>
    <row r="286" customFormat="false" ht="15" hidden="false" customHeight="true" outlineLevel="0" collapsed="false">
      <c r="A286" s="22" t="str">
        <f aca="false">IF(Daily_Data!A285="","",Daily_Data!A285)</f>
        <v/>
      </c>
      <c r="B286" s="23" t="str">
        <f aca="false">IF(Daily_Data!B285="","",Daily_Data!B285)</f>
        <v/>
      </c>
      <c r="C286" s="23" t="str">
        <f aca="false">IF(A286="","",Daily_Data!C285)</f>
        <v/>
      </c>
      <c r="D286" s="23" t="str">
        <f aca="false">IF(A286="","",Daily_Data!D285)</f>
        <v/>
      </c>
      <c r="E286" s="24" t="str">
        <f aca="false">IF(A286="","",Daily_Data!E285)</f>
        <v/>
      </c>
      <c r="F286" s="23" t="str">
        <f aca="false">IF(A286="","",Daily_Data!F285)</f>
        <v/>
      </c>
      <c r="G286" s="23" t="str">
        <f aca="false">IF(A286="","",Daily_Data!G285)</f>
        <v/>
      </c>
      <c r="H286" s="25" t="str">
        <f aca="false">IF(A286="","",IFERROR(INDEX(SCD_Data!$C$3:$C$502,SUMPRODUCT((SCD_Data!$A$3:$A$502=B286)*(IFERROR(DATEVALUE(SCD_Data!$H$3:$H$502&amp;""),SCD_Data!$H$3:$H$502)&lt;=IFERROR(DATEVALUE(A286&amp;""),A286))*(IFERROR(DATEVALUE(SCD_Data!$I$3:$I$502&amp;""),SCD_Data!$I$3:$I$502)&gt;=IFERROR(DATEVALUE(A286&amp;""),A286))*(ROW(SCD_Data!$A$3:$A$502)-2))),"—"))</f>
        <v/>
      </c>
      <c r="I286" s="25" t="str">
        <f aca="false">IF(A286="","",IFERROR(INDEX(SCD_Data!$D$3:$D$502,SUMPRODUCT((SCD_Data!$A$3:$A$502=B286)*(IFERROR(DATEVALUE(SCD_Data!$H$3:$H$502&amp;""),SCD_Data!$H$3:$H$502)&lt;=IFERROR(DATEVALUE(A286&amp;""),A286))*(IFERROR(DATEVALUE(SCD_Data!$I$3:$I$502&amp;""),SCD_Data!$I$3:$I$502)&gt;=IFERROR(DATEVALUE(A286&amp;""),A286))*(ROW(SCD_Data!$A$3:$A$502)-2))),"—"))</f>
        <v/>
      </c>
      <c r="J286" s="26" t="str">
        <f aca="false">IF(A286="","",IFERROR(INDEX(SCD_Data!$E$3:$E$502,SUMPRODUCT((SCD_Data!$A$3:$A$502=B286)*(IFERROR(DATEVALUE(SCD_Data!$H$3:$H$502&amp;""),SCD_Data!$H$3:$H$502)&lt;=IFERROR(DATEVALUE(A286&amp;""),A286))*(IFERROR(DATEVALUE(SCD_Data!$I$3:$I$502&amp;""),SCD_Data!$I$3:$I$502)&gt;=IFERROR(DATEVALUE(A286&amp;""),A286))*(ROW(SCD_Data!$A$3:$A$502)-2))),"—"))</f>
        <v/>
      </c>
      <c r="K286" s="25" t="str">
        <f aca="false">IF(A286="","",IFERROR(INDEX(SCD_Data!$F$3:$F$502,SUMPRODUCT((SCD_Data!$A$3:$A$502=B286)*(IFERROR(DATEVALUE(SCD_Data!$H$3:$H$502&amp;""),SCD_Data!$H$3:$H$502)&lt;=IFERROR(DATEVALUE(A286&amp;""),A286))*(IFERROR(DATEVALUE(SCD_Data!$I$3:$I$502&amp;""),SCD_Data!$I$3:$I$502)&gt;=IFERROR(DATEVALUE(A286&amp;""),A286))*(ROW(SCD_Data!$A$3:$A$502)-2))),"—"))</f>
        <v/>
      </c>
      <c r="L286" s="25" t="str">
        <f aca="false">IF(A286="","",IFERROR(INDEX(SCD_Data!$G$3:$G$502,SUMPRODUCT((SCD_Data!$A$3:$A$502=B286)*(IFERROR(DATEVALUE(SCD_Data!$H$3:$H$502&amp;""),SCD_Data!$H$3:$H$502)&lt;=IFERROR(DATEVALUE(A286&amp;""),A286))*(IFERROR(DATEVALUE(SCD_Data!$I$3:$I$502&amp;""),SCD_Data!$I$3:$I$502)&gt;=IFERROR(DATEVALUE(A286&amp;""),A286))*(ROW(SCD_Data!$A$3:$A$502)-2))),"—"))</f>
        <v/>
      </c>
      <c r="M286" s="27" t="str">
        <f aca="false">IF(A286="","",IF(H286="—","—",IF(C286&amp;""=H286&amp;"","✓","✗")))</f>
        <v/>
      </c>
      <c r="N286" s="27" t="str">
        <f aca="false">IF(A286="","",IF(H286="—","—",IF(D286&amp;""=I286&amp;"","✓","✗")))</f>
        <v/>
      </c>
      <c r="O286" s="27" t="str">
        <f aca="false">IF(A286="","",IF(H286="—","—",IF(ABS(E286-J286)&lt;0.01,"✓","✗")))</f>
        <v/>
      </c>
      <c r="P286" s="27" t="str">
        <f aca="false">IF(A286="","",IF(H286="—","—",IF(F286&amp;""=K286&amp;"","✓","✗")))</f>
        <v/>
      </c>
      <c r="Q286" s="27" t="str">
        <f aca="false">IF(A286="","",IF(H286="—","—",IF(G286&amp;""=L286&amp;"","✓","✗")))</f>
        <v/>
      </c>
      <c r="R286" s="27" t="str">
        <f aca="false">IF(A286="","",IF(COUNTIF(M286:Q286,"—")=5,"⚠ NO SCD ROW",IF(COUNTIF(M286:Q286,"✗")&gt;0,"❌ MISMATCH","✅ MATCH")))</f>
        <v/>
      </c>
    </row>
    <row r="287" customFormat="false" ht="15" hidden="false" customHeight="true" outlineLevel="0" collapsed="false">
      <c r="A287" s="22" t="str">
        <f aca="false">IF(Daily_Data!A286="","",Daily_Data!A286)</f>
        <v/>
      </c>
      <c r="B287" s="23" t="str">
        <f aca="false">IF(Daily_Data!B286="","",Daily_Data!B286)</f>
        <v/>
      </c>
      <c r="C287" s="23" t="str">
        <f aca="false">IF(A287="","",Daily_Data!C286)</f>
        <v/>
      </c>
      <c r="D287" s="23" t="str">
        <f aca="false">IF(A287="","",Daily_Data!D286)</f>
        <v/>
      </c>
      <c r="E287" s="24" t="str">
        <f aca="false">IF(A287="","",Daily_Data!E286)</f>
        <v/>
      </c>
      <c r="F287" s="23" t="str">
        <f aca="false">IF(A287="","",Daily_Data!F286)</f>
        <v/>
      </c>
      <c r="G287" s="23" t="str">
        <f aca="false">IF(A287="","",Daily_Data!G286)</f>
        <v/>
      </c>
      <c r="H287" s="25" t="str">
        <f aca="false">IF(A287="","",IFERROR(INDEX(SCD_Data!$C$3:$C$502,SUMPRODUCT((SCD_Data!$A$3:$A$502=B287)*(IFERROR(DATEVALUE(SCD_Data!$H$3:$H$502&amp;""),SCD_Data!$H$3:$H$502)&lt;=IFERROR(DATEVALUE(A287&amp;""),A287))*(IFERROR(DATEVALUE(SCD_Data!$I$3:$I$502&amp;""),SCD_Data!$I$3:$I$502)&gt;=IFERROR(DATEVALUE(A287&amp;""),A287))*(ROW(SCD_Data!$A$3:$A$502)-2))),"—"))</f>
        <v/>
      </c>
      <c r="I287" s="25" t="str">
        <f aca="false">IF(A287="","",IFERROR(INDEX(SCD_Data!$D$3:$D$502,SUMPRODUCT((SCD_Data!$A$3:$A$502=B287)*(IFERROR(DATEVALUE(SCD_Data!$H$3:$H$502&amp;""),SCD_Data!$H$3:$H$502)&lt;=IFERROR(DATEVALUE(A287&amp;""),A287))*(IFERROR(DATEVALUE(SCD_Data!$I$3:$I$502&amp;""),SCD_Data!$I$3:$I$502)&gt;=IFERROR(DATEVALUE(A287&amp;""),A287))*(ROW(SCD_Data!$A$3:$A$502)-2))),"—"))</f>
        <v/>
      </c>
      <c r="J287" s="26" t="str">
        <f aca="false">IF(A287="","",IFERROR(INDEX(SCD_Data!$E$3:$E$502,SUMPRODUCT((SCD_Data!$A$3:$A$502=B287)*(IFERROR(DATEVALUE(SCD_Data!$H$3:$H$502&amp;""),SCD_Data!$H$3:$H$502)&lt;=IFERROR(DATEVALUE(A287&amp;""),A287))*(IFERROR(DATEVALUE(SCD_Data!$I$3:$I$502&amp;""),SCD_Data!$I$3:$I$502)&gt;=IFERROR(DATEVALUE(A287&amp;""),A287))*(ROW(SCD_Data!$A$3:$A$502)-2))),"—"))</f>
        <v/>
      </c>
      <c r="K287" s="25" t="str">
        <f aca="false">IF(A287="","",IFERROR(INDEX(SCD_Data!$F$3:$F$502,SUMPRODUCT((SCD_Data!$A$3:$A$502=B287)*(IFERROR(DATEVALUE(SCD_Data!$H$3:$H$502&amp;""),SCD_Data!$H$3:$H$502)&lt;=IFERROR(DATEVALUE(A287&amp;""),A287))*(IFERROR(DATEVALUE(SCD_Data!$I$3:$I$502&amp;""),SCD_Data!$I$3:$I$502)&gt;=IFERROR(DATEVALUE(A287&amp;""),A287))*(ROW(SCD_Data!$A$3:$A$502)-2))),"—"))</f>
        <v/>
      </c>
      <c r="L287" s="25" t="str">
        <f aca="false">IF(A287="","",IFERROR(INDEX(SCD_Data!$G$3:$G$502,SUMPRODUCT((SCD_Data!$A$3:$A$502=B287)*(IFERROR(DATEVALUE(SCD_Data!$H$3:$H$502&amp;""),SCD_Data!$H$3:$H$502)&lt;=IFERROR(DATEVALUE(A287&amp;""),A287))*(IFERROR(DATEVALUE(SCD_Data!$I$3:$I$502&amp;""),SCD_Data!$I$3:$I$502)&gt;=IFERROR(DATEVALUE(A287&amp;""),A287))*(ROW(SCD_Data!$A$3:$A$502)-2))),"—"))</f>
        <v/>
      </c>
      <c r="M287" s="27" t="str">
        <f aca="false">IF(A287="","",IF(H287="—","—",IF(C287&amp;""=H287&amp;"","✓","✗")))</f>
        <v/>
      </c>
      <c r="N287" s="27" t="str">
        <f aca="false">IF(A287="","",IF(H287="—","—",IF(D287&amp;""=I287&amp;"","✓","✗")))</f>
        <v/>
      </c>
      <c r="O287" s="27" t="str">
        <f aca="false">IF(A287="","",IF(H287="—","—",IF(ABS(E287-J287)&lt;0.01,"✓","✗")))</f>
        <v/>
      </c>
      <c r="P287" s="27" t="str">
        <f aca="false">IF(A287="","",IF(H287="—","—",IF(F287&amp;""=K287&amp;"","✓","✗")))</f>
        <v/>
      </c>
      <c r="Q287" s="27" t="str">
        <f aca="false">IF(A287="","",IF(H287="—","—",IF(G287&amp;""=L287&amp;"","✓","✗")))</f>
        <v/>
      </c>
      <c r="R287" s="27" t="str">
        <f aca="false">IF(A287="","",IF(COUNTIF(M287:Q287,"—")=5,"⚠ NO SCD ROW",IF(COUNTIF(M287:Q287,"✗")&gt;0,"❌ MISMATCH","✅ MATCH")))</f>
        <v/>
      </c>
    </row>
    <row r="288" customFormat="false" ht="15" hidden="false" customHeight="true" outlineLevel="0" collapsed="false">
      <c r="A288" s="22" t="str">
        <f aca="false">IF(Daily_Data!A287="","",Daily_Data!A287)</f>
        <v/>
      </c>
      <c r="B288" s="23" t="str">
        <f aca="false">IF(Daily_Data!B287="","",Daily_Data!B287)</f>
        <v/>
      </c>
      <c r="C288" s="23" t="str">
        <f aca="false">IF(A288="","",Daily_Data!C287)</f>
        <v/>
      </c>
      <c r="D288" s="23" t="str">
        <f aca="false">IF(A288="","",Daily_Data!D287)</f>
        <v/>
      </c>
      <c r="E288" s="24" t="str">
        <f aca="false">IF(A288="","",Daily_Data!E287)</f>
        <v/>
      </c>
      <c r="F288" s="23" t="str">
        <f aca="false">IF(A288="","",Daily_Data!F287)</f>
        <v/>
      </c>
      <c r="G288" s="23" t="str">
        <f aca="false">IF(A288="","",Daily_Data!G287)</f>
        <v/>
      </c>
      <c r="H288" s="25" t="str">
        <f aca="false">IF(A288="","",IFERROR(INDEX(SCD_Data!$C$3:$C$502,SUMPRODUCT((SCD_Data!$A$3:$A$502=B288)*(IFERROR(DATEVALUE(SCD_Data!$H$3:$H$502&amp;""),SCD_Data!$H$3:$H$502)&lt;=IFERROR(DATEVALUE(A288&amp;""),A288))*(IFERROR(DATEVALUE(SCD_Data!$I$3:$I$502&amp;""),SCD_Data!$I$3:$I$502)&gt;=IFERROR(DATEVALUE(A288&amp;""),A288))*(ROW(SCD_Data!$A$3:$A$502)-2))),"—"))</f>
        <v/>
      </c>
      <c r="I288" s="25" t="str">
        <f aca="false">IF(A288="","",IFERROR(INDEX(SCD_Data!$D$3:$D$502,SUMPRODUCT((SCD_Data!$A$3:$A$502=B288)*(IFERROR(DATEVALUE(SCD_Data!$H$3:$H$502&amp;""),SCD_Data!$H$3:$H$502)&lt;=IFERROR(DATEVALUE(A288&amp;""),A288))*(IFERROR(DATEVALUE(SCD_Data!$I$3:$I$502&amp;""),SCD_Data!$I$3:$I$502)&gt;=IFERROR(DATEVALUE(A288&amp;""),A288))*(ROW(SCD_Data!$A$3:$A$502)-2))),"—"))</f>
        <v/>
      </c>
      <c r="J288" s="26" t="str">
        <f aca="false">IF(A288="","",IFERROR(INDEX(SCD_Data!$E$3:$E$502,SUMPRODUCT((SCD_Data!$A$3:$A$502=B288)*(IFERROR(DATEVALUE(SCD_Data!$H$3:$H$502&amp;""),SCD_Data!$H$3:$H$502)&lt;=IFERROR(DATEVALUE(A288&amp;""),A288))*(IFERROR(DATEVALUE(SCD_Data!$I$3:$I$502&amp;""),SCD_Data!$I$3:$I$502)&gt;=IFERROR(DATEVALUE(A288&amp;""),A288))*(ROW(SCD_Data!$A$3:$A$502)-2))),"—"))</f>
        <v/>
      </c>
      <c r="K288" s="25" t="str">
        <f aca="false">IF(A288="","",IFERROR(INDEX(SCD_Data!$F$3:$F$502,SUMPRODUCT((SCD_Data!$A$3:$A$502=B288)*(IFERROR(DATEVALUE(SCD_Data!$H$3:$H$502&amp;""),SCD_Data!$H$3:$H$502)&lt;=IFERROR(DATEVALUE(A288&amp;""),A288))*(IFERROR(DATEVALUE(SCD_Data!$I$3:$I$502&amp;""),SCD_Data!$I$3:$I$502)&gt;=IFERROR(DATEVALUE(A288&amp;""),A288))*(ROW(SCD_Data!$A$3:$A$502)-2))),"—"))</f>
        <v/>
      </c>
      <c r="L288" s="25" t="str">
        <f aca="false">IF(A288="","",IFERROR(INDEX(SCD_Data!$G$3:$G$502,SUMPRODUCT((SCD_Data!$A$3:$A$502=B288)*(IFERROR(DATEVALUE(SCD_Data!$H$3:$H$502&amp;""),SCD_Data!$H$3:$H$502)&lt;=IFERROR(DATEVALUE(A288&amp;""),A288))*(IFERROR(DATEVALUE(SCD_Data!$I$3:$I$502&amp;""),SCD_Data!$I$3:$I$502)&gt;=IFERROR(DATEVALUE(A288&amp;""),A288))*(ROW(SCD_Data!$A$3:$A$502)-2))),"—"))</f>
        <v/>
      </c>
      <c r="M288" s="27" t="str">
        <f aca="false">IF(A288="","",IF(H288="—","—",IF(C288&amp;""=H288&amp;"","✓","✗")))</f>
        <v/>
      </c>
      <c r="N288" s="27" t="str">
        <f aca="false">IF(A288="","",IF(H288="—","—",IF(D288&amp;""=I288&amp;"","✓","✗")))</f>
        <v/>
      </c>
      <c r="O288" s="27" t="str">
        <f aca="false">IF(A288="","",IF(H288="—","—",IF(ABS(E288-J288)&lt;0.01,"✓","✗")))</f>
        <v/>
      </c>
      <c r="P288" s="27" t="str">
        <f aca="false">IF(A288="","",IF(H288="—","—",IF(F288&amp;""=K288&amp;"","✓","✗")))</f>
        <v/>
      </c>
      <c r="Q288" s="27" t="str">
        <f aca="false">IF(A288="","",IF(H288="—","—",IF(G288&amp;""=L288&amp;"","✓","✗")))</f>
        <v/>
      </c>
      <c r="R288" s="27" t="str">
        <f aca="false">IF(A288="","",IF(COUNTIF(M288:Q288,"—")=5,"⚠ NO SCD ROW",IF(COUNTIF(M288:Q288,"✗")&gt;0,"❌ MISMATCH","✅ MATCH")))</f>
        <v/>
      </c>
    </row>
    <row r="289" customFormat="false" ht="15" hidden="false" customHeight="true" outlineLevel="0" collapsed="false">
      <c r="A289" s="22" t="str">
        <f aca="false">IF(Daily_Data!A288="","",Daily_Data!A288)</f>
        <v/>
      </c>
      <c r="B289" s="23" t="str">
        <f aca="false">IF(Daily_Data!B288="","",Daily_Data!B288)</f>
        <v/>
      </c>
      <c r="C289" s="23" t="str">
        <f aca="false">IF(A289="","",Daily_Data!C288)</f>
        <v/>
      </c>
      <c r="D289" s="23" t="str">
        <f aca="false">IF(A289="","",Daily_Data!D288)</f>
        <v/>
      </c>
      <c r="E289" s="24" t="str">
        <f aca="false">IF(A289="","",Daily_Data!E288)</f>
        <v/>
      </c>
      <c r="F289" s="23" t="str">
        <f aca="false">IF(A289="","",Daily_Data!F288)</f>
        <v/>
      </c>
      <c r="G289" s="23" t="str">
        <f aca="false">IF(A289="","",Daily_Data!G288)</f>
        <v/>
      </c>
      <c r="H289" s="25" t="str">
        <f aca="false">IF(A289="","",IFERROR(INDEX(SCD_Data!$C$3:$C$502,SUMPRODUCT((SCD_Data!$A$3:$A$502=B289)*(IFERROR(DATEVALUE(SCD_Data!$H$3:$H$502&amp;""),SCD_Data!$H$3:$H$502)&lt;=IFERROR(DATEVALUE(A289&amp;""),A289))*(IFERROR(DATEVALUE(SCD_Data!$I$3:$I$502&amp;""),SCD_Data!$I$3:$I$502)&gt;=IFERROR(DATEVALUE(A289&amp;""),A289))*(ROW(SCD_Data!$A$3:$A$502)-2))),"—"))</f>
        <v/>
      </c>
      <c r="I289" s="25" t="str">
        <f aca="false">IF(A289="","",IFERROR(INDEX(SCD_Data!$D$3:$D$502,SUMPRODUCT((SCD_Data!$A$3:$A$502=B289)*(IFERROR(DATEVALUE(SCD_Data!$H$3:$H$502&amp;""),SCD_Data!$H$3:$H$502)&lt;=IFERROR(DATEVALUE(A289&amp;""),A289))*(IFERROR(DATEVALUE(SCD_Data!$I$3:$I$502&amp;""),SCD_Data!$I$3:$I$502)&gt;=IFERROR(DATEVALUE(A289&amp;""),A289))*(ROW(SCD_Data!$A$3:$A$502)-2))),"—"))</f>
        <v/>
      </c>
      <c r="J289" s="26" t="str">
        <f aca="false">IF(A289="","",IFERROR(INDEX(SCD_Data!$E$3:$E$502,SUMPRODUCT((SCD_Data!$A$3:$A$502=B289)*(IFERROR(DATEVALUE(SCD_Data!$H$3:$H$502&amp;""),SCD_Data!$H$3:$H$502)&lt;=IFERROR(DATEVALUE(A289&amp;""),A289))*(IFERROR(DATEVALUE(SCD_Data!$I$3:$I$502&amp;""),SCD_Data!$I$3:$I$502)&gt;=IFERROR(DATEVALUE(A289&amp;""),A289))*(ROW(SCD_Data!$A$3:$A$502)-2))),"—"))</f>
        <v/>
      </c>
      <c r="K289" s="25" t="str">
        <f aca="false">IF(A289="","",IFERROR(INDEX(SCD_Data!$F$3:$F$502,SUMPRODUCT((SCD_Data!$A$3:$A$502=B289)*(IFERROR(DATEVALUE(SCD_Data!$H$3:$H$502&amp;""),SCD_Data!$H$3:$H$502)&lt;=IFERROR(DATEVALUE(A289&amp;""),A289))*(IFERROR(DATEVALUE(SCD_Data!$I$3:$I$502&amp;""),SCD_Data!$I$3:$I$502)&gt;=IFERROR(DATEVALUE(A289&amp;""),A289))*(ROW(SCD_Data!$A$3:$A$502)-2))),"—"))</f>
        <v/>
      </c>
      <c r="L289" s="25" t="str">
        <f aca="false">IF(A289="","",IFERROR(INDEX(SCD_Data!$G$3:$G$502,SUMPRODUCT((SCD_Data!$A$3:$A$502=B289)*(IFERROR(DATEVALUE(SCD_Data!$H$3:$H$502&amp;""),SCD_Data!$H$3:$H$502)&lt;=IFERROR(DATEVALUE(A289&amp;""),A289))*(IFERROR(DATEVALUE(SCD_Data!$I$3:$I$502&amp;""),SCD_Data!$I$3:$I$502)&gt;=IFERROR(DATEVALUE(A289&amp;""),A289))*(ROW(SCD_Data!$A$3:$A$502)-2))),"—"))</f>
        <v/>
      </c>
      <c r="M289" s="27" t="str">
        <f aca="false">IF(A289="","",IF(H289="—","—",IF(C289&amp;""=H289&amp;"","✓","✗")))</f>
        <v/>
      </c>
      <c r="N289" s="27" t="str">
        <f aca="false">IF(A289="","",IF(H289="—","—",IF(D289&amp;""=I289&amp;"","✓","✗")))</f>
        <v/>
      </c>
      <c r="O289" s="27" t="str">
        <f aca="false">IF(A289="","",IF(H289="—","—",IF(ABS(E289-J289)&lt;0.01,"✓","✗")))</f>
        <v/>
      </c>
      <c r="P289" s="27" t="str">
        <f aca="false">IF(A289="","",IF(H289="—","—",IF(F289&amp;""=K289&amp;"","✓","✗")))</f>
        <v/>
      </c>
      <c r="Q289" s="27" t="str">
        <f aca="false">IF(A289="","",IF(H289="—","—",IF(G289&amp;""=L289&amp;"","✓","✗")))</f>
        <v/>
      </c>
      <c r="R289" s="27" t="str">
        <f aca="false">IF(A289="","",IF(COUNTIF(M289:Q289,"—")=5,"⚠ NO SCD ROW",IF(COUNTIF(M289:Q289,"✗")&gt;0,"❌ MISMATCH","✅ MATCH")))</f>
        <v/>
      </c>
    </row>
    <row r="290" customFormat="false" ht="15" hidden="false" customHeight="true" outlineLevel="0" collapsed="false">
      <c r="A290" s="22" t="str">
        <f aca="false">IF(Daily_Data!A289="","",Daily_Data!A289)</f>
        <v/>
      </c>
      <c r="B290" s="23" t="str">
        <f aca="false">IF(Daily_Data!B289="","",Daily_Data!B289)</f>
        <v/>
      </c>
      <c r="C290" s="23" t="str">
        <f aca="false">IF(A290="","",Daily_Data!C289)</f>
        <v/>
      </c>
      <c r="D290" s="23" t="str">
        <f aca="false">IF(A290="","",Daily_Data!D289)</f>
        <v/>
      </c>
      <c r="E290" s="24" t="str">
        <f aca="false">IF(A290="","",Daily_Data!E289)</f>
        <v/>
      </c>
      <c r="F290" s="23" t="str">
        <f aca="false">IF(A290="","",Daily_Data!F289)</f>
        <v/>
      </c>
      <c r="G290" s="23" t="str">
        <f aca="false">IF(A290="","",Daily_Data!G289)</f>
        <v/>
      </c>
      <c r="H290" s="25" t="str">
        <f aca="false">IF(A290="","",IFERROR(INDEX(SCD_Data!$C$3:$C$502,SUMPRODUCT((SCD_Data!$A$3:$A$502=B290)*(IFERROR(DATEVALUE(SCD_Data!$H$3:$H$502&amp;""),SCD_Data!$H$3:$H$502)&lt;=IFERROR(DATEVALUE(A290&amp;""),A290))*(IFERROR(DATEVALUE(SCD_Data!$I$3:$I$502&amp;""),SCD_Data!$I$3:$I$502)&gt;=IFERROR(DATEVALUE(A290&amp;""),A290))*(ROW(SCD_Data!$A$3:$A$502)-2))),"—"))</f>
        <v/>
      </c>
      <c r="I290" s="25" t="str">
        <f aca="false">IF(A290="","",IFERROR(INDEX(SCD_Data!$D$3:$D$502,SUMPRODUCT((SCD_Data!$A$3:$A$502=B290)*(IFERROR(DATEVALUE(SCD_Data!$H$3:$H$502&amp;""),SCD_Data!$H$3:$H$502)&lt;=IFERROR(DATEVALUE(A290&amp;""),A290))*(IFERROR(DATEVALUE(SCD_Data!$I$3:$I$502&amp;""),SCD_Data!$I$3:$I$502)&gt;=IFERROR(DATEVALUE(A290&amp;""),A290))*(ROW(SCD_Data!$A$3:$A$502)-2))),"—"))</f>
        <v/>
      </c>
      <c r="J290" s="26" t="str">
        <f aca="false">IF(A290="","",IFERROR(INDEX(SCD_Data!$E$3:$E$502,SUMPRODUCT((SCD_Data!$A$3:$A$502=B290)*(IFERROR(DATEVALUE(SCD_Data!$H$3:$H$502&amp;""),SCD_Data!$H$3:$H$502)&lt;=IFERROR(DATEVALUE(A290&amp;""),A290))*(IFERROR(DATEVALUE(SCD_Data!$I$3:$I$502&amp;""),SCD_Data!$I$3:$I$502)&gt;=IFERROR(DATEVALUE(A290&amp;""),A290))*(ROW(SCD_Data!$A$3:$A$502)-2))),"—"))</f>
        <v/>
      </c>
      <c r="K290" s="25" t="str">
        <f aca="false">IF(A290="","",IFERROR(INDEX(SCD_Data!$F$3:$F$502,SUMPRODUCT((SCD_Data!$A$3:$A$502=B290)*(IFERROR(DATEVALUE(SCD_Data!$H$3:$H$502&amp;""),SCD_Data!$H$3:$H$502)&lt;=IFERROR(DATEVALUE(A290&amp;""),A290))*(IFERROR(DATEVALUE(SCD_Data!$I$3:$I$502&amp;""),SCD_Data!$I$3:$I$502)&gt;=IFERROR(DATEVALUE(A290&amp;""),A290))*(ROW(SCD_Data!$A$3:$A$502)-2))),"—"))</f>
        <v/>
      </c>
      <c r="L290" s="25" t="str">
        <f aca="false">IF(A290="","",IFERROR(INDEX(SCD_Data!$G$3:$G$502,SUMPRODUCT((SCD_Data!$A$3:$A$502=B290)*(IFERROR(DATEVALUE(SCD_Data!$H$3:$H$502&amp;""),SCD_Data!$H$3:$H$502)&lt;=IFERROR(DATEVALUE(A290&amp;""),A290))*(IFERROR(DATEVALUE(SCD_Data!$I$3:$I$502&amp;""),SCD_Data!$I$3:$I$502)&gt;=IFERROR(DATEVALUE(A290&amp;""),A290))*(ROW(SCD_Data!$A$3:$A$502)-2))),"—"))</f>
        <v/>
      </c>
      <c r="M290" s="27" t="str">
        <f aca="false">IF(A290="","",IF(H290="—","—",IF(C290&amp;""=H290&amp;"","✓","✗")))</f>
        <v/>
      </c>
      <c r="N290" s="27" t="str">
        <f aca="false">IF(A290="","",IF(H290="—","—",IF(D290&amp;""=I290&amp;"","✓","✗")))</f>
        <v/>
      </c>
      <c r="O290" s="27" t="str">
        <f aca="false">IF(A290="","",IF(H290="—","—",IF(ABS(E290-J290)&lt;0.01,"✓","✗")))</f>
        <v/>
      </c>
      <c r="P290" s="27" t="str">
        <f aca="false">IF(A290="","",IF(H290="—","—",IF(F290&amp;""=K290&amp;"","✓","✗")))</f>
        <v/>
      </c>
      <c r="Q290" s="27" t="str">
        <f aca="false">IF(A290="","",IF(H290="—","—",IF(G290&amp;""=L290&amp;"","✓","✗")))</f>
        <v/>
      </c>
      <c r="R290" s="27" t="str">
        <f aca="false">IF(A290="","",IF(COUNTIF(M290:Q290,"—")=5,"⚠ NO SCD ROW",IF(COUNTIF(M290:Q290,"✗")&gt;0,"❌ MISMATCH","✅ MATCH")))</f>
        <v/>
      </c>
    </row>
    <row r="291" customFormat="false" ht="15" hidden="false" customHeight="true" outlineLevel="0" collapsed="false">
      <c r="A291" s="22" t="str">
        <f aca="false">IF(Daily_Data!A290="","",Daily_Data!A290)</f>
        <v/>
      </c>
      <c r="B291" s="23" t="str">
        <f aca="false">IF(Daily_Data!B290="","",Daily_Data!B290)</f>
        <v/>
      </c>
      <c r="C291" s="23" t="str">
        <f aca="false">IF(A291="","",Daily_Data!C290)</f>
        <v/>
      </c>
      <c r="D291" s="23" t="str">
        <f aca="false">IF(A291="","",Daily_Data!D290)</f>
        <v/>
      </c>
      <c r="E291" s="24" t="str">
        <f aca="false">IF(A291="","",Daily_Data!E290)</f>
        <v/>
      </c>
      <c r="F291" s="23" t="str">
        <f aca="false">IF(A291="","",Daily_Data!F290)</f>
        <v/>
      </c>
      <c r="G291" s="23" t="str">
        <f aca="false">IF(A291="","",Daily_Data!G290)</f>
        <v/>
      </c>
      <c r="H291" s="25" t="str">
        <f aca="false">IF(A291="","",IFERROR(INDEX(SCD_Data!$C$3:$C$502,SUMPRODUCT((SCD_Data!$A$3:$A$502=B291)*(IFERROR(DATEVALUE(SCD_Data!$H$3:$H$502&amp;""),SCD_Data!$H$3:$H$502)&lt;=IFERROR(DATEVALUE(A291&amp;""),A291))*(IFERROR(DATEVALUE(SCD_Data!$I$3:$I$502&amp;""),SCD_Data!$I$3:$I$502)&gt;=IFERROR(DATEVALUE(A291&amp;""),A291))*(ROW(SCD_Data!$A$3:$A$502)-2))),"—"))</f>
        <v/>
      </c>
      <c r="I291" s="25" t="str">
        <f aca="false">IF(A291="","",IFERROR(INDEX(SCD_Data!$D$3:$D$502,SUMPRODUCT((SCD_Data!$A$3:$A$502=B291)*(IFERROR(DATEVALUE(SCD_Data!$H$3:$H$502&amp;""),SCD_Data!$H$3:$H$502)&lt;=IFERROR(DATEVALUE(A291&amp;""),A291))*(IFERROR(DATEVALUE(SCD_Data!$I$3:$I$502&amp;""),SCD_Data!$I$3:$I$502)&gt;=IFERROR(DATEVALUE(A291&amp;""),A291))*(ROW(SCD_Data!$A$3:$A$502)-2))),"—"))</f>
        <v/>
      </c>
      <c r="J291" s="26" t="str">
        <f aca="false">IF(A291="","",IFERROR(INDEX(SCD_Data!$E$3:$E$502,SUMPRODUCT((SCD_Data!$A$3:$A$502=B291)*(IFERROR(DATEVALUE(SCD_Data!$H$3:$H$502&amp;""),SCD_Data!$H$3:$H$502)&lt;=IFERROR(DATEVALUE(A291&amp;""),A291))*(IFERROR(DATEVALUE(SCD_Data!$I$3:$I$502&amp;""),SCD_Data!$I$3:$I$502)&gt;=IFERROR(DATEVALUE(A291&amp;""),A291))*(ROW(SCD_Data!$A$3:$A$502)-2))),"—"))</f>
        <v/>
      </c>
      <c r="K291" s="25" t="str">
        <f aca="false">IF(A291="","",IFERROR(INDEX(SCD_Data!$F$3:$F$502,SUMPRODUCT((SCD_Data!$A$3:$A$502=B291)*(IFERROR(DATEVALUE(SCD_Data!$H$3:$H$502&amp;""),SCD_Data!$H$3:$H$502)&lt;=IFERROR(DATEVALUE(A291&amp;""),A291))*(IFERROR(DATEVALUE(SCD_Data!$I$3:$I$502&amp;""),SCD_Data!$I$3:$I$502)&gt;=IFERROR(DATEVALUE(A291&amp;""),A291))*(ROW(SCD_Data!$A$3:$A$502)-2))),"—"))</f>
        <v/>
      </c>
      <c r="L291" s="25" t="str">
        <f aca="false">IF(A291="","",IFERROR(INDEX(SCD_Data!$G$3:$G$502,SUMPRODUCT((SCD_Data!$A$3:$A$502=B291)*(IFERROR(DATEVALUE(SCD_Data!$H$3:$H$502&amp;""),SCD_Data!$H$3:$H$502)&lt;=IFERROR(DATEVALUE(A291&amp;""),A291))*(IFERROR(DATEVALUE(SCD_Data!$I$3:$I$502&amp;""),SCD_Data!$I$3:$I$502)&gt;=IFERROR(DATEVALUE(A291&amp;""),A291))*(ROW(SCD_Data!$A$3:$A$502)-2))),"—"))</f>
        <v/>
      </c>
      <c r="M291" s="27" t="str">
        <f aca="false">IF(A291="","",IF(H291="—","—",IF(C291&amp;""=H291&amp;"","✓","✗")))</f>
        <v/>
      </c>
      <c r="N291" s="27" t="str">
        <f aca="false">IF(A291="","",IF(H291="—","—",IF(D291&amp;""=I291&amp;"","✓","✗")))</f>
        <v/>
      </c>
      <c r="O291" s="27" t="str">
        <f aca="false">IF(A291="","",IF(H291="—","—",IF(ABS(E291-J291)&lt;0.01,"✓","✗")))</f>
        <v/>
      </c>
      <c r="P291" s="27" t="str">
        <f aca="false">IF(A291="","",IF(H291="—","—",IF(F291&amp;""=K291&amp;"","✓","✗")))</f>
        <v/>
      </c>
      <c r="Q291" s="27" t="str">
        <f aca="false">IF(A291="","",IF(H291="—","—",IF(G291&amp;""=L291&amp;"","✓","✗")))</f>
        <v/>
      </c>
      <c r="R291" s="27" t="str">
        <f aca="false">IF(A291="","",IF(COUNTIF(M291:Q291,"—")=5,"⚠ NO SCD ROW",IF(COUNTIF(M291:Q291,"✗")&gt;0,"❌ MISMATCH","✅ MATCH")))</f>
        <v/>
      </c>
    </row>
    <row r="292" customFormat="false" ht="15" hidden="false" customHeight="true" outlineLevel="0" collapsed="false">
      <c r="A292" s="22" t="str">
        <f aca="false">IF(Daily_Data!A291="","",Daily_Data!A291)</f>
        <v/>
      </c>
      <c r="B292" s="23" t="str">
        <f aca="false">IF(Daily_Data!B291="","",Daily_Data!B291)</f>
        <v/>
      </c>
      <c r="C292" s="23" t="str">
        <f aca="false">IF(A292="","",Daily_Data!C291)</f>
        <v/>
      </c>
      <c r="D292" s="23" t="str">
        <f aca="false">IF(A292="","",Daily_Data!D291)</f>
        <v/>
      </c>
      <c r="E292" s="24" t="str">
        <f aca="false">IF(A292="","",Daily_Data!E291)</f>
        <v/>
      </c>
      <c r="F292" s="23" t="str">
        <f aca="false">IF(A292="","",Daily_Data!F291)</f>
        <v/>
      </c>
      <c r="G292" s="23" t="str">
        <f aca="false">IF(A292="","",Daily_Data!G291)</f>
        <v/>
      </c>
      <c r="H292" s="25" t="str">
        <f aca="false">IF(A292="","",IFERROR(INDEX(SCD_Data!$C$3:$C$502,SUMPRODUCT((SCD_Data!$A$3:$A$502=B292)*(IFERROR(DATEVALUE(SCD_Data!$H$3:$H$502&amp;""),SCD_Data!$H$3:$H$502)&lt;=IFERROR(DATEVALUE(A292&amp;""),A292))*(IFERROR(DATEVALUE(SCD_Data!$I$3:$I$502&amp;""),SCD_Data!$I$3:$I$502)&gt;=IFERROR(DATEVALUE(A292&amp;""),A292))*(ROW(SCD_Data!$A$3:$A$502)-2))),"—"))</f>
        <v/>
      </c>
      <c r="I292" s="25" t="str">
        <f aca="false">IF(A292="","",IFERROR(INDEX(SCD_Data!$D$3:$D$502,SUMPRODUCT((SCD_Data!$A$3:$A$502=B292)*(IFERROR(DATEVALUE(SCD_Data!$H$3:$H$502&amp;""),SCD_Data!$H$3:$H$502)&lt;=IFERROR(DATEVALUE(A292&amp;""),A292))*(IFERROR(DATEVALUE(SCD_Data!$I$3:$I$502&amp;""),SCD_Data!$I$3:$I$502)&gt;=IFERROR(DATEVALUE(A292&amp;""),A292))*(ROW(SCD_Data!$A$3:$A$502)-2))),"—"))</f>
        <v/>
      </c>
      <c r="J292" s="26" t="str">
        <f aca="false">IF(A292="","",IFERROR(INDEX(SCD_Data!$E$3:$E$502,SUMPRODUCT((SCD_Data!$A$3:$A$502=B292)*(IFERROR(DATEVALUE(SCD_Data!$H$3:$H$502&amp;""),SCD_Data!$H$3:$H$502)&lt;=IFERROR(DATEVALUE(A292&amp;""),A292))*(IFERROR(DATEVALUE(SCD_Data!$I$3:$I$502&amp;""),SCD_Data!$I$3:$I$502)&gt;=IFERROR(DATEVALUE(A292&amp;""),A292))*(ROW(SCD_Data!$A$3:$A$502)-2))),"—"))</f>
        <v/>
      </c>
      <c r="K292" s="25" t="str">
        <f aca="false">IF(A292="","",IFERROR(INDEX(SCD_Data!$F$3:$F$502,SUMPRODUCT((SCD_Data!$A$3:$A$502=B292)*(IFERROR(DATEVALUE(SCD_Data!$H$3:$H$502&amp;""),SCD_Data!$H$3:$H$502)&lt;=IFERROR(DATEVALUE(A292&amp;""),A292))*(IFERROR(DATEVALUE(SCD_Data!$I$3:$I$502&amp;""),SCD_Data!$I$3:$I$502)&gt;=IFERROR(DATEVALUE(A292&amp;""),A292))*(ROW(SCD_Data!$A$3:$A$502)-2))),"—"))</f>
        <v/>
      </c>
      <c r="L292" s="25" t="str">
        <f aca="false">IF(A292="","",IFERROR(INDEX(SCD_Data!$G$3:$G$502,SUMPRODUCT((SCD_Data!$A$3:$A$502=B292)*(IFERROR(DATEVALUE(SCD_Data!$H$3:$H$502&amp;""),SCD_Data!$H$3:$H$502)&lt;=IFERROR(DATEVALUE(A292&amp;""),A292))*(IFERROR(DATEVALUE(SCD_Data!$I$3:$I$502&amp;""),SCD_Data!$I$3:$I$502)&gt;=IFERROR(DATEVALUE(A292&amp;""),A292))*(ROW(SCD_Data!$A$3:$A$502)-2))),"—"))</f>
        <v/>
      </c>
      <c r="M292" s="27" t="str">
        <f aca="false">IF(A292="","",IF(H292="—","—",IF(C292&amp;""=H292&amp;"","✓","✗")))</f>
        <v/>
      </c>
      <c r="N292" s="27" t="str">
        <f aca="false">IF(A292="","",IF(H292="—","—",IF(D292&amp;""=I292&amp;"","✓","✗")))</f>
        <v/>
      </c>
      <c r="O292" s="27" t="str">
        <f aca="false">IF(A292="","",IF(H292="—","—",IF(ABS(E292-J292)&lt;0.01,"✓","✗")))</f>
        <v/>
      </c>
      <c r="P292" s="27" t="str">
        <f aca="false">IF(A292="","",IF(H292="—","—",IF(F292&amp;""=K292&amp;"","✓","✗")))</f>
        <v/>
      </c>
      <c r="Q292" s="27" t="str">
        <f aca="false">IF(A292="","",IF(H292="—","—",IF(G292&amp;""=L292&amp;"","✓","✗")))</f>
        <v/>
      </c>
      <c r="R292" s="27" t="str">
        <f aca="false">IF(A292="","",IF(COUNTIF(M292:Q292,"—")=5,"⚠ NO SCD ROW",IF(COUNTIF(M292:Q292,"✗")&gt;0,"❌ MISMATCH","✅ MATCH")))</f>
        <v/>
      </c>
    </row>
    <row r="293" customFormat="false" ht="15" hidden="false" customHeight="true" outlineLevel="0" collapsed="false">
      <c r="A293" s="22" t="str">
        <f aca="false">IF(Daily_Data!A292="","",Daily_Data!A292)</f>
        <v/>
      </c>
      <c r="B293" s="23" t="str">
        <f aca="false">IF(Daily_Data!B292="","",Daily_Data!B292)</f>
        <v/>
      </c>
      <c r="C293" s="23" t="str">
        <f aca="false">IF(A293="","",Daily_Data!C292)</f>
        <v/>
      </c>
      <c r="D293" s="23" t="str">
        <f aca="false">IF(A293="","",Daily_Data!D292)</f>
        <v/>
      </c>
      <c r="E293" s="24" t="str">
        <f aca="false">IF(A293="","",Daily_Data!E292)</f>
        <v/>
      </c>
      <c r="F293" s="23" t="str">
        <f aca="false">IF(A293="","",Daily_Data!F292)</f>
        <v/>
      </c>
      <c r="G293" s="23" t="str">
        <f aca="false">IF(A293="","",Daily_Data!G292)</f>
        <v/>
      </c>
      <c r="H293" s="25" t="str">
        <f aca="false">IF(A293="","",IFERROR(INDEX(SCD_Data!$C$3:$C$502,SUMPRODUCT((SCD_Data!$A$3:$A$502=B293)*(IFERROR(DATEVALUE(SCD_Data!$H$3:$H$502&amp;""),SCD_Data!$H$3:$H$502)&lt;=IFERROR(DATEVALUE(A293&amp;""),A293))*(IFERROR(DATEVALUE(SCD_Data!$I$3:$I$502&amp;""),SCD_Data!$I$3:$I$502)&gt;=IFERROR(DATEVALUE(A293&amp;""),A293))*(ROW(SCD_Data!$A$3:$A$502)-2))),"—"))</f>
        <v/>
      </c>
      <c r="I293" s="25" t="str">
        <f aca="false">IF(A293="","",IFERROR(INDEX(SCD_Data!$D$3:$D$502,SUMPRODUCT((SCD_Data!$A$3:$A$502=B293)*(IFERROR(DATEVALUE(SCD_Data!$H$3:$H$502&amp;""),SCD_Data!$H$3:$H$502)&lt;=IFERROR(DATEVALUE(A293&amp;""),A293))*(IFERROR(DATEVALUE(SCD_Data!$I$3:$I$502&amp;""),SCD_Data!$I$3:$I$502)&gt;=IFERROR(DATEVALUE(A293&amp;""),A293))*(ROW(SCD_Data!$A$3:$A$502)-2))),"—"))</f>
        <v/>
      </c>
      <c r="J293" s="26" t="str">
        <f aca="false">IF(A293="","",IFERROR(INDEX(SCD_Data!$E$3:$E$502,SUMPRODUCT((SCD_Data!$A$3:$A$502=B293)*(IFERROR(DATEVALUE(SCD_Data!$H$3:$H$502&amp;""),SCD_Data!$H$3:$H$502)&lt;=IFERROR(DATEVALUE(A293&amp;""),A293))*(IFERROR(DATEVALUE(SCD_Data!$I$3:$I$502&amp;""),SCD_Data!$I$3:$I$502)&gt;=IFERROR(DATEVALUE(A293&amp;""),A293))*(ROW(SCD_Data!$A$3:$A$502)-2))),"—"))</f>
        <v/>
      </c>
      <c r="K293" s="25" t="str">
        <f aca="false">IF(A293="","",IFERROR(INDEX(SCD_Data!$F$3:$F$502,SUMPRODUCT((SCD_Data!$A$3:$A$502=B293)*(IFERROR(DATEVALUE(SCD_Data!$H$3:$H$502&amp;""),SCD_Data!$H$3:$H$502)&lt;=IFERROR(DATEVALUE(A293&amp;""),A293))*(IFERROR(DATEVALUE(SCD_Data!$I$3:$I$502&amp;""),SCD_Data!$I$3:$I$502)&gt;=IFERROR(DATEVALUE(A293&amp;""),A293))*(ROW(SCD_Data!$A$3:$A$502)-2))),"—"))</f>
        <v/>
      </c>
      <c r="L293" s="25" t="str">
        <f aca="false">IF(A293="","",IFERROR(INDEX(SCD_Data!$G$3:$G$502,SUMPRODUCT((SCD_Data!$A$3:$A$502=B293)*(IFERROR(DATEVALUE(SCD_Data!$H$3:$H$502&amp;""),SCD_Data!$H$3:$H$502)&lt;=IFERROR(DATEVALUE(A293&amp;""),A293))*(IFERROR(DATEVALUE(SCD_Data!$I$3:$I$502&amp;""),SCD_Data!$I$3:$I$502)&gt;=IFERROR(DATEVALUE(A293&amp;""),A293))*(ROW(SCD_Data!$A$3:$A$502)-2))),"—"))</f>
        <v/>
      </c>
      <c r="M293" s="27" t="str">
        <f aca="false">IF(A293="","",IF(H293="—","—",IF(C293&amp;""=H293&amp;"","✓","✗")))</f>
        <v/>
      </c>
      <c r="N293" s="27" t="str">
        <f aca="false">IF(A293="","",IF(H293="—","—",IF(D293&amp;""=I293&amp;"","✓","✗")))</f>
        <v/>
      </c>
      <c r="O293" s="27" t="str">
        <f aca="false">IF(A293="","",IF(H293="—","—",IF(ABS(E293-J293)&lt;0.01,"✓","✗")))</f>
        <v/>
      </c>
      <c r="P293" s="27" t="str">
        <f aca="false">IF(A293="","",IF(H293="—","—",IF(F293&amp;""=K293&amp;"","✓","✗")))</f>
        <v/>
      </c>
      <c r="Q293" s="27" t="str">
        <f aca="false">IF(A293="","",IF(H293="—","—",IF(G293&amp;""=L293&amp;"","✓","✗")))</f>
        <v/>
      </c>
      <c r="R293" s="27" t="str">
        <f aca="false">IF(A293="","",IF(COUNTIF(M293:Q293,"—")=5,"⚠ NO SCD ROW",IF(COUNTIF(M293:Q293,"✗")&gt;0,"❌ MISMATCH","✅ MATCH")))</f>
        <v/>
      </c>
    </row>
    <row r="294" customFormat="false" ht="15" hidden="false" customHeight="true" outlineLevel="0" collapsed="false">
      <c r="A294" s="22" t="str">
        <f aca="false">IF(Daily_Data!A293="","",Daily_Data!A293)</f>
        <v/>
      </c>
      <c r="B294" s="23" t="str">
        <f aca="false">IF(Daily_Data!B293="","",Daily_Data!B293)</f>
        <v/>
      </c>
      <c r="C294" s="23" t="str">
        <f aca="false">IF(A294="","",Daily_Data!C293)</f>
        <v/>
      </c>
      <c r="D294" s="23" t="str">
        <f aca="false">IF(A294="","",Daily_Data!D293)</f>
        <v/>
      </c>
      <c r="E294" s="24" t="str">
        <f aca="false">IF(A294="","",Daily_Data!E293)</f>
        <v/>
      </c>
      <c r="F294" s="23" t="str">
        <f aca="false">IF(A294="","",Daily_Data!F293)</f>
        <v/>
      </c>
      <c r="G294" s="23" t="str">
        <f aca="false">IF(A294="","",Daily_Data!G293)</f>
        <v/>
      </c>
      <c r="H294" s="25" t="str">
        <f aca="false">IF(A294="","",IFERROR(INDEX(SCD_Data!$C$3:$C$502,SUMPRODUCT((SCD_Data!$A$3:$A$502=B294)*(IFERROR(DATEVALUE(SCD_Data!$H$3:$H$502&amp;""),SCD_Data!$H$3:$H$502)&lt;=IFERROR(DATEVALUE(A294&amp;""),A294))*(IFERROR(DATEVALUE(SCD_Data!$I$3:$I$502&amp;""),SCD_Data!$I$3:$I$502)&gt;=IFERROR(DATEVALUE(A294&amp;""),A294))*(ROW(SCD_Data!$A$3:$A$502)-2))),"—"))</f>
        <v/>
      </c>
      <c r="I294" s="25" t="str">
        <f aca="false">IF(A294="","",IFERROR(INDEX(SCD_Data!$D$3:$D$502,SUMPRODUCT((SCD_Data!$A$3:$A$502=B294)*(IFERROR(DATEVALUE(SCD_Data!$H$3:$H$502&amp;""),SCD_Data!$H$3:$H$502)&lt;=IFERROR(DATEVALUE(A294&amp;""),A294))*(IFERROR(DATEVALUE(SCD_Data!$I$3:$I$502&amp;""),SCD_Data!$I$3:$I$502)&gt;=IFERROR(DATEVALUE(A294&amp;""),A294))*(ROW(SCD_Data!$A$3:$A$502)-2))),"—"))</f>
        <v/>
      </c>
      <c r="J294" s="26" t="str">
        <f aca="false">IF(A294="","",IFERROR(INDEX(SCD_Data!$E$3:$E$502,SUMPRODUCT((SCD_Data!$A$3:$A$502=B294)*(IFERROR(DATEVALUE(SCD_Data!$H$3:$H$502&amp;""),SCD_Data!$H$3:$H$502)&lt;=IFERROR(DATEVALUE(A294&amp;""),A294))*(IFERROR(DATEVALUE(SCD_Data!$I$3:$I$502&amp;""),SCD_Data!$I$3:$I$502)&gt;=IFERROR(DATEVALUE(A294&amp;""),A294))*(ROW(SCD_Data!$A$3:$A$502)-2))),"—"))</f>
        <v/>
      </c>
      <c r="K294" s="25" t="str">
        <f aca="false">IF(A294="","",IFERROR(INDEX(SCD_Data!$F$3:$F$502,SUMPRODUCT((SCD_Data!$A$3:$A$502=B294)*(IFERROR(DATEVALUE(SCD_Data!$H$3:$H$502&amp;""),SCD_Data!$H$3:$H$502)&lt;=IFERROR(DATEVALUE(A294&amp;""),A294))*(IFERROR(DATEVALUE(SCD_Data!$I$3:$I$502&amp;""),SCD_Data!$I$3:$I$502)&gt;=IFERROR(DATEVALUE(A294&amp;""),A294))*(ROW(SCD_Data!$A$3:$A$502)-2))),"—"))</f>
        <v/>
      </c>
      <c r="L294" s="25" t="str">
        <f aca="false">IF(A294="","",IFERROR(INDEX(SCD_Data!$G$3:$G$502,SUMPRODUCT((SCD_Data!$A$3:$A$502=B294)*(IFERROR(DATEVALUE(SCD_Data!$H$3:$H$502&amp;""),SCD_Data!$H$3:$H$502)&lt;=IFERROR(DATEVALUE(A294&amp;""),A294))*(IFERROR(DATEVALUE(SCD_Data!$I$3:$I$502&amp;""),SCD_Data!$I$3:$I$502)&gt;=IFERROR(DATEVALUE(A294&amp;""),A294))*(ROW(SCD_Data!$A$3:$A$502)-2))),"—"))</f>
        <v/>
      </c>
      <c r="M294" s="27" t="str">
        <f aca="false">IF(A294="","",IF(H294="—","—",IF(C294&amp;""=H294&amp;"","✓","✗")))</f>
        <v/>
      </c>
      <c r="N294" s="27" t="str">
        <f aca="false">IF(A294="","",IF(H294="—","—",IF(D294&amp;""=I294&amp;"","✓","✗")))</f>
        <v/>
      </c>
      <c r="O294" s="27" t="str">
        <f aca="false">IF(A294="","",IF(H294="—","—",IF(ABS(E294-J294)&lt;0.01,"✓","✗")))</f>
        <v/>
      </c>
      <c r="P294" s="27" t="str">
        <f aca="false">IF(A294="","",IF(H294="—","—",IF(F294&amp;""=K294&amp;"","✓","✗")))</f>
        <v/>
      </c>
      <c r="Q294" s="27" t="str">
        <f aca="false">IF(A294="","",IF(H294="—","—",IF(G294&amp;""=L294&amp;"","✓","✗")))</f>
        <v/>
      </c>
      <c r="R294" s="27" t="str">
        <f aca="false">IF(A294="","",IF(COUNTIF(M294:Q294,"—")=5,"⚠ NO SCD ROW",IF(COUNTIF(M294:Q294,"✗")&gt;0,"❌ MISMATCH","✅ MATCH")))</f>
        <v/>
      </c>
    </row>
    <row r="295" customFormat="false" ht="15" hidden="false" customHeight="true" outlineLevel="0" collapsed="false">
      <c r="A295" s="22" t="str">
        <f aca="false">IF(Daily_Data!A294="","",Daily_Data!A294)</f>
        <v/>
      </c>
      <c r="B295" s="23" t="str">
        <f aca="false">IF(Daily_Data!B294="","",Daily_Data!B294)</f>
        <v/>
      </c>
      <c r="C295" s="23" t="str">
        <f aca="false">IF(A295="","",Daily_Data!C294)</f>
        <v/>
      </c>
      <c r="D295" s="23" t="str">
        <f aca="false">IF(A295="","",Daily_Data!D294)</f>
        <v/>
      </c>
      <c r="E295" s="24" t="str">
        <f aca="false">IF(A295="","",Daily_Data!E294)</f>
        <v/>
      </c>
      <c r="F295" s="23" t="str">
        <f aca="false">IF(A295="","",Daily_Data!F294)</f>
        <v/>
      </c>
      <c r="G295" s="23" t="str">
        <f aca="false">IF(A295="","",Daily_Data!G294)</f>
        <v/>
      </c>
      <c r="H295" s="25" t="str">
        <f aca="false">IF(A295="","",IFERROR(INDEX(SCD_Data!$C$3:$C$502,SUMPRODUCT((SCD_Data!$A$3:$A$502=B295)*(IFERROR(DATEVALUE(SCD_Data!$H$3:$H$502&amp;""),SCD_Data!$H$3:$H$502)&lt;=IFERROR(DATEVALUE(A295&amp;""),A295))*(IFERROR(DATEVALUE(SCD_Data!$I$3:$I$502&amp;""),SCD_Data!$I$3:$I$502)&gt;=IFERROR(DATEVALUE(A295&amp;""),A295))*(ROW(SCD_Data!$A$3:$A$502)-2))),"—"))</f>
        <v/>
      </c>
      <c r="I295" s="25" t="str">
        <f aca="false">IF(A295="","",IFERROR(INDEX(SCD_Data!$D$3:$D$502,SUMPRODUCT((SCD_Data!$A$3:$A$502=B295)*(IFERROR(DATEVALUE(SCD_Data!$H$3:$H$502&amp;""),SCD_Data!$H$3:$H$502)&lt;=IFERROR(DATEVALUE(A295&amp;""),A295))*(IFERROR(DATEVALUE(SCD_Data!$I$3:$I$502&amp;""),SCD_Data!$I$3:$I$502)&gt;=IFERROR(DATEVALUE(A295&amp;""),A295))*(ROW(SCD_Data!$A$3:$A$502)-2))),"—"))</f>
        <v/>
      </c>
      <c r="J295" s="26" t="str">
        <f aca="false">IF(A295="","",IFERROR(INDEX(SCD_Data!$E$3:$E$502,SUMPRODUCT((SCD_Data!$A$3:$A$502=B295)*(IFERROR(DATEVALUE(SCD_Data!$H$3:$H$502&amp;""),SCD_Data!$H$3:$H$502)&lt;=IFERROR(DATEVALUE(A295&amp;""),A295))*(IFERROR(DATEVALUE(SCD_Data!$I$3:$I$502&amp;""),SCD_Data!$I$3:$I$502)&gt;=IFERROR(DATEVALUE(A295&amp;""),A295))*(ROW(SCD_Data!$A$3:$A$502)-2))),"—"))</f>
        <v/>
      </c>
      <c r="K295" s="25" t="str">
        <f aca="false">IF(A295="","",IFERROR(INDEX(SCD_Data!$F$3:$F$502,SUMPRODUCT((SCD_Data!$A$3:$A$502=B295)*(IFERROR(DATEVALUE(SCD_Data!$H$3:$H$502&amp;""),SCD_Data!$H$3:$H$502)&lt;=IFERROR(DATEVALUE(A295&amp;""),A295))*(IFERROR(DATEVALUE(SCD_Data!$I$3:$I$502&amp;""),SCD_Data!$I$3:$I$502)&gt;=IFERROR(DATEVALUE(A295&amp;""),A295))*(ROW(SCD_Data!$A$3:$A$502)-2))),"—"))</f>
        <v/>
      </c>
      <c r="L295" s="25" t="str">
        <f aca="false">IF(A295="","",IFERROR(INDEX(SCD_Data!$G$3:$G$502,SUMPRODUCT((SCD_Data!$A$3:$A$502=B295)*(IFERROR(DATEVALUE(SCD_Data!$H$3:$H$502&amp;""),SCD_Data!$H$3:$H$502)&lt;=IFERROR(DATEVALUE(A295&amp;""),A295))*(IFERROR(DATEVALUE(SCD_Data!$I$3:$I$502&amp;""),SCD_Data!$I$3:$I$502)&gt;=IFERROR(DATEVALUE(A295&amp;""),A295))*(ROW(SCD_Data!$A$3:$A$502)-2))),"—"))</f>
        <v/>
      </c>
      <c r="M295" s="27" t="str">
        <f aca="false">IF(A295="","",IF(H295="—","—",IF(C295&amp;""=H295&amp;"","✓","✗")))</f>
        <v/>
      </c>
      <c r="N295" s="27" t="str">
        <f aca="false">IF(A295="","",IF(H295="—","—",IF(D295&amp;""=I295&amp;"","✓","✗")))</f>
        <v/>
      </c>
      <c r="O295" s="27" t="str">
        <f aca="false">IF(A295="","",IF(H295="—","—",IF(ABS(E295-J295)&lt;0.01,"✓","✗")))</f>
        <v/>
      </c>
      <c r="P295" s="27" t="str">
        <f aca="false">IF(A295="","",IF(H295="—","—",IF(F295&amp;""=K295&amp;"","✓","✗")))</f>
        <v/>
      </c>
      <c r="Q295" s="27" t="str">
        <f aca="false">IF(A295="","",IF(H295="—","—",IF(G295&amp;""=L295&amp;"","✓","✗")))</f>
        <v/>
      </c>
      <c r="R295" s="27" t="str">
        <f aca="false">IF(A295="","",IF(COUNTIF(M295:Q295,"—")=5,"⚠ NO SCD ROW",IF(COUNTIF(M295:Q295,"✗")&gt;0,"❌ MISMATCH","✅ MATCH")))</f>
        <v/>
      </c>
    </row>
    <row r="296" customFormat="false" ht="15" hidden="false" customHeight="true" outlineLevel="0" collapsed="false">
      <c r="A296" s="22" t="str">
        <f aca="false">IF(Daily_Data!A295="","",Daily_Data!A295)</f>
        <v/>
      </c>
      <c r="B296" s="23" t="str">
        <f aca="false">IF(Daily_Data!B295="","",Daily_Data!B295)</f>
        <v/>
      </c>
      <c r="C296" s="23" t="str">
        <f aca="false">IF(A296="","",Daily_Data!C295)</f>
        <v/>
      </c>
      <c r="D296" s="23" t="str">
        <f aca="false">IF(A296="","",Daily_Data!D295)</f>
        <v/>
      </c>
      <c r="E296" s="24" t="str">
        <f aca="false">IF(A296="","",Daily_Data!E295)</f>
        <v/>
      </c>
      <c r="F296" s="23" t="str">
        <f aca="false">IF(A296="","",Daily_Data!F295)</f>
        <v/>
      </c>
      <c r="G296" s="23" t="str">
        <f aca="false">IF(A296="","",Daily_Data!G295)</f>
        <v/>
      </c>
      <c r="H296" s="25" t="str">
        <f aca="false">IF(A296="","",IFERROR(INDEX(SCD_Data!$C$3:$C$502,SUMPRODUCT((SCD_Data!$A$3:$A$502=B296)*(IFERROR(DATEVALUE(SCD_Data!$H$3:$H$502&amp;""),SCD_Data!$H$3:$H$502)&lt;=IFERROR(DATEVALUE(A296&amp;""),A296))*(IFERROR(DATEVALUE(SCD_Data!$I$3:$I$502&amp;""),SCD_Data!$I$3:$I$502)&gt;=IFERROR(DATEVALUE(A296&amp;""),A296))*(ROW(SCD_Data!$A$3:$A$502)-2))),"—"))</f>
        <v/>
      </c>
      <c r="I296" s="25" t="str">
        <f aca="false">IF(A296="","",IFERROR(INDEX(SCD_Data!$D$3:$D$502,SUMPRODUCT((SCD_Data!$A$3:$A$502=B296)*(IFERROR(DATEVALUE(SCD_Data!$H$3:$H$502&amp;""),SCD_Data!$H$3:$H$502)&lt;=IFERROR(DATEVALUE(A296&amp;""),A296))*(IFERROR(DATEVALUE(SCD_Data!$I$3:$I$502&amp;""),SCD_Data!$I$3:$I$502)&gt;=IFERROR(DATEVALUE(A296&amp;""),A296))*(ROW(SCD_Data!$A$3:$A$502)-2))),"—"))</f>
        <v/>
      </c>
      <c r="J296" s="26" t="str">
        <f aca="false">IF(A296="","",IFERROR(INDEX(SCD_Data!$E$3:$E$502,SUMPRODUCT((SCD_Data!$A$3:$A$502=B296)*(IFERROR(DATEVALUE(SCD_Data!$H$3:$H$502&amp;""),SCD_Data!$H$3:$H$502)&lt;=IFERROR(DATEVALUE(A296&amp;""),A296))*(IFERROR(DATEVALUE(SCD_Data!$I$3:$I$502&amp;""),SCD_Data!$I$3:$I$502)&gt;=IFERROR(DATEVALUE(A296&amp;""),A296))*(ROW(SCD_Data!$A$3:$A$502)-2))),"—"))</f>
        <v/>
      </c>
      <c r="K296" s="25" t="str">
        <f aca="false">IF(A296="","",IFERROR(INDEX(SCD_Data!$F$3:$F$502,SUMPRODUCT((SCD_Data!$A$3:$A$502=B296)*(IFERROR(DATEVALUE(SCD_Data!$H$3:$H$502&amp;""),SCD_Data!$H$3:$H$502)&lt;=IFERROR(DATEVALUE(A296&amp;""),A296))*(IFERROR(DATEVALUE(SCD_Data!$I$3:$I$502&amp;""),SCD_Data!$I$3:$I$502)&gt;=IFERROR(DATEVALUE(A296&amp;""),A296))*(ROW(SCD_Data!$A$3:$A$502)-2))),"—"))</f>
        <v/>
      </c>
      <c r="L296" s="25" t="str">
        <f aca="false">IF(A296="","",IFERROR(INDEX(SCD_Data!$G$3:$G$502,SUMPRODUCT((SCD_Data!$A$3:$A$502=B296)*(IFERROR(DATEVALUE(SCD_Data!$H$3:$H$502&amp;""),SCD_Data!$H$3:$H$502)&lt;=IFERROR(DATEVALUE(A296&amp;""),A296))*(IFERROR(DATEVALUE(SCD_Data!$I$3:$I$502&amp;""),SCD_Data!$I$3:$I$502)&gt;=IFERROR(DATEVALUE(A296&amp;""),A296))*(ROW(SCD_Data!$A$3:$A$502)-2))),"—"))</f>
        <v/>
      </c>
      <c r="M296" s="27" t="str">
        <f aca="false">IF(A296="","",IF(H296="—","—",IF(C296&amp;""=H296&amp;"","✓","✗")))</f>
        <v/>
      </c>
      <c r="N296" s="27" t="str">
        <f aca="false">IF(A296="","",IF(H296="—","—",IF(D296&amp;""=I296&amp;"","✓","✗")))</f>
        <v/>
      </c>
      <c r="O296" s="27" t="str">
        <f aca="false">IF(A296="","",IF(H296="—","—",IF(ABS(E296-J296)&lt;0.01,"✓","✗")))</f>
        <v/>
      </c>
      <c r="P296" s="27" t="str">
        <f aca="false">IF(A296="","",IF(H296="—","—",IF(F296&amp;""=K296&amp;"","✓","✗")))</f>
        <v/>
      </c>
      <c r="Q296" s="27" t="str">
        <f aca="false">IF(A296="","",IF(H296="—","—",IF(G296&amp;""=L296&amp;"","✓","✗")))</f>
        <v/>
      </c>
      <c r="R296" s="27" t="str">
        <f aca="false">IF(A296="","",IF(COUNTIF(M296:Q296,"—")=5,"⚠ NO SCD ROW",IF(COUNTIF(M296:Q296,"✗")&gt;0,"❌ MISMATCH","✅ MATCH")))</f>
        <v/>
      </c>
    </row>
    <row r="297" customFormat="false" ht="15" hidden="false" customHeight="true" outlineLevel="0" collapsed="false">
      <c r="A297" s="22" t="str">
        <f aca="false">IF(Daily_Data!A296="","",Daily_Data!A296)</f>
        <v/>
      </c>
      <c r="B297" s="23" t="str">
        <f aca="false">IF(Daily_Data!B296="","",Daily_Data!B296)</f>
        <v/>
      </c>
      <c r="C297" s="23" t="str">
        <f aca="false">IF(A297="","",Daily_Data!C296)</f>
        <v/>
      </c>
      <c r="D297" s="23" t="str">
        <f aca="false">IF(A297="","",Daily_Data!D296)</f>
        <v/>
      </c>
      <c r="E297" s="24" t="str">
        <f aca="false">IF(A297="","",Daily_Data!E296)</f>
        <v/>
      </c>
      <c r="F297" s="23" t="str">
        <f aca="false">IF(A297="","",Daily_Data!F296)</f>
        <v/>
      </c>
      <c r="G297" s="23" t="str">
        <f aca="false">IF(A297="","",Daily_Data!G296)</f>
        <v/>
      </c>
      <c r="H297" s="25" t="str">
        <f aca="false">IF(A297="","",IFERROR(INDEX(SCD_Data!$C$3:$C$502,SUMPRODUCT((SCD_Data!$A$3:$A$502=B297)*(IFERROR(DATEVALUE(SCD_Data!$H$3:$H$502&amp;""),SCD_Data!$H$3:$H$502)&lt;=IFERROR(DATEVALUE(A297&amp;""),A297))*(IFERROR(DATEVALUE(SCD_Data!$I$3:$I$502&amp;""),SCD_Data!$I$3:$I$502)&gt;=IFERROR(DATEVALUE(A297&amp;""),A297))*(ROW(SCD_Data!$A$3:$A$502)-2))),"—"))</f>
        <v/>
      </c>
      <c r="I297" s="25" t="str">
        <f aca="false">IF(A297="","",IFERROR(INDEX(SCD_Data!$D$3:$D$502,SUMPRODUCT((SCD_Data!$A$3:$A$502=B297)*(IFERROR(DATEVALUE(SCD_Data!$H$3:$H$502&amp;""),SCD_Data!$H$3:$H$502)&lt;=IFERROR(DATEVALUE(A297&amp;""),A297))*(IFERROR(DATEVALUE(SCD_Data!$I$3:$I$502&amp;""),SCD_Data!$I$3:$I$502)&gt;=IFERROR(DATEVALUE(A297&amp;""),A297))*(ROW(SCD_Data!$A$3:$A$502)-2))),"—"))</f>
        <v/>
      </c>
      <c r="J297" s="26" t="str">
        <f aca="false">IF(A297="","",IFERROR(INDEX(SCD_Data!$E$3:$E$502,SUMPRODUCT((SCD_Data!$A$3:$A$502=B297)*(IFERROR(DATEVALUE(SCD_Data!$H$3:$H$502&amp;""),SCD_Data!$H$3:$H$502)&lt;=IFERROR(DATEVALUE(A297&amp;""),A297))*(IFERROR(DATEVALUE(SCD_Data!$I$3:$I$502&amp;""),SCD_Data!$I$3:$I$502)&gt;=IFERROR(DATEVALUE(A297&amp;""),A297))*(ROW(SCD_Data!$A$3:$A$502)-2))),"—"))</f>
        <v/>
      </c>
      <c r="K297" s="25" t="str">
        <f aca="false">IF(A297="","",IFERROR(INDEX(SCD_Data!$F$3:$F$502,SUMPRODUCT((SCD_Data!$A$3:$A$502=B297)*(IFERROR(DATEVALUE(SCD_Data!$H$3:$H$502&amp;""),SCD_Data!$H$3:$H$502)&lt;=IFERROR(DATEVALUE(A297&amp;""),A297))*(IFERROR(DATEVALUE(SCD_Data!$I$3:$I$502&amp;""),SCD_Data!$I$3:$I$502)&gt;=IFERROR(DATEVALUE(A297&amp;""),A297))*(ROW(SCD_Data!$A$3:$A$502)-2))),"—"))</f>
        <v/>
      </c>
      <c r="L297" s="25" t="str">
        <f aca="false">IF(A297="","",IFERROR(INDEX(SCD_Data!$G$3:$G$502,SUMPRODUCT((SCD_Data!$A$3:$A$502=B297)*(IFERROR(DATEVALUE(SCD_Data!$H$3:$H$502&amp;""),SCD_Data!$H$3:$H$502)&lt;=IFERROR(DATEVALUE(A297&amp;""),A297))*(IFERROR(DATEVALUE(SCD_Data!$I$3:$I$502&amp;""),SCD_Data!$I$3:$I$502)&gt;=IFERROR(DATEVALUE(A297&amp;""),A297))*(ROW(SCD_Data!$A$3:$A$502)-2))),"—"))</f>
        <v/>
      </c>
      <c r="M297" s="27" t="str">
        <f aca="false">IF(A297="","",IF(H297="—","—",IF(C297&amp;""=H297&amp;"","✓","✗")))</f>
        <v/>
      </c>
      <c r="N297" s="27" t="str">
        <f aca="false">IF(A297="","",IF(H297="—","—",IF(D297&amp;""=I297&amp;"","✓","✗")))</f>
        <v/>
      </c>
      <c r="O297" s="27" t="str">
        <f aca="false">IF(A297="","",IF(H297="—","—",IF(ABS(E297-J297)&lt;0.01,"✓","✗")))</f>
        <v/>
      </c>
      <c r="P297" s="27" t="str">
        <f aca="false">IF(A297="","",IF(H297="—","—",IF(F297&amp;""=K297&amp;"","✓","✗")))</f>
        <v/>
      </c>
      <c r="Q297" s="27" t="str">
        <f aca="false">IF(A297="","",IF(H297="—","—",IF(G297&amp;""=L297&amp;"","✓","✗")))</f>
        <v/>
      </c>
      <c r="R297" s="27" t="str">
        <f aca="false">IF(A297="","",IF(COUNTIF(M297:Q297,"—")=5,"⚠ NO SCD ROW",IF(COUNTIF(M297:Q297,"✗")&gt;0,"❌ MISMATCH","✅ MATCH")))</f>
        <v/>
      </c>
    </row>
    <row r="298" customFormat="false" ht="15" hidden="false" customHeight="true" outlineLevel="0" collapsed="false">
      <c r="A298" s="22" t="str">
        <f aca="false">IF(Daily_Data!A297="","",Daily_Data!A297)</f>
        <v/>
      </c>
      <c r="B298" s="23" t="str">
        <f aca="false">IF(Daily_Data!B297="","",Daily_Data!B297)</f>
        <v/>
      </c>
      <c r="C298" s="23" t="str">
        <f aca="false">IF(A298="","",Daily_Data!C297)</f>
        <v/>
      </c>
      <c r="D298" s="23" t="str">
        <f aca="false">IF(A298="","",Daily_Data!D297)</f>
        <v/>
      </c>
      <c r="E298" s="24" t="str">
        <f aca="false">IF(A298="","",Daily_Data!E297)</f>
        <v/>
      </c>
      <c r="F298" s="23" t="str">
        <f aca="false">IF(A298="","",Daily_Data!F297)</f>
        <v/>
      </c>
      <c r="G298" s="23" t="str">
        <f aca="false">IF(A298="","",Daily_Data!G297)</f>
        <v/>
      </c>
      <c r="H298" s="25" t="str">
        <f aca="false">IF(A298="","",IFERROR(INDEX(SCD_Data!$C$3:$C$502,SUMPRODUCT((SCD_Data!$A$3:$A$502=B298)*(IFERROR(DATEVALUE(SCD_Data!$H$3:$H$502&amp;""),SCD_Data!$H$3:$H$502)&lt;=IFERROR(DATEVALUE(A298&amp;""),A298))*(IFERROR(DATEVALUE(SCD_Data!$I$3:$I$502&amp;""),SCD_Data!$I$3:$I$502)&gt;=IFERROR(DATEVALUE(A298&amp;""),A298))*(ROW(SCD_Data!$A$3:$A$502)-2))),"—"))</f>
        <v/>
      </c>
      <c r="I298" s="25" t="str">
        <f aca="false">IF(A298="","",IFERROR(INDEX(SCD_Data!$D$3:$D$502,SUMPRODUCT((SCD_Data!$A$3:$A$502=B298)*(IFERROR(DATEVALUE(SCD_Data!$H$3:$H$502&amp;""),SCD_Data!$H$3:$H$502)&lt;=IFERROR(DATEVALUE(A298&amp;""),A298))*(IFERROR(DATEVALUE(SCD_Data!$I$3:$I$502&amp;""),SCD_Data!$I$3:$I$502)&gt;=IFERROR(DATEVALUE(A298&amp;""),A298))*(ROW(SCD_Data!$A$3:$A$502)-2))),"—"))</f>
        <v/>
      </c>
      <c r="J298" s="26" t="str">
        <f aca="false">IF(A298="","",IFERROR(INDEX(SCD_Data!$E$3:$E$502,SUMPRODUCT((SCD_Data!$A$3:$A$502=B298)*(IFERROR(DATEVALUE(SCD_Data!$H$3:$H$502&amp;""),SCD_Data!$H$3:$H$502)&lt;=IFERROR(DATEVALUE(A298&amp;""),A298))*(IFERROR(DATEVALUE(SCD_Data!$I$3:$I$502&amp;""),SCD_Data!$I$3:$I$502)&gt;=IFERROR(DATEVALUE(A298&amp;""),A298))*(ROW(SCD_Data!$A$3:$A$502)-2))),"—"))</f>
        <v/>
      </c>
      <c r="K298" s="25" t="str">
        <f aca="false">IF(A298="","",IFERROR(INDEX(SCD_Data!$F$3:$F$502,SUMPRODUCT((SCD_Data!$A$3:$A$502=B298)*(IFERROR(DATEVALUE(SCD_Data!$H$3:$H$502&amp;""),SCD_Data!$H$3:$H$502)&lt;=IFERROR(DATEVALUE(A298&amp;""),A298))*(IFERROR(DATEVALUE(SCD_Data!$I$3:$I$502&amp;""),SCD_Data!$I$3:$I$502)&gt;=IFERROR(DATEVALUE(A298&amp;""),A298))*(ROW(SCD_Data!$A$3:$A$502)-2))),"—"))</f>
        <v/>
      </c>
      <c r="L298" s="25" t="str">
        <f aca="false">IF(A298="","",IFERROR(INDEX(SCD_Data!$G$3:$G$502,SUMPRODUCT((SCD_Data!$A$3:$A$502=B298)*(IFERROR(DATEVALUE(SCD_Data!$H$3:$H$502&amp;""),SCD_Data!$H$3:$H$502)&lt;=IFERROR(DATEVALUE(A298&amp;""),A298))*(IFERROR(DATEVALUE(SCD_Data!$I$3:$I$502&amp;""),SCD_Data!$I$3:$I$502)&gt;=IFERROR(DATEVALUE(A298&amp;""),A298))*(ROW(SCD_Data!$A$3:$A$502)-2))),"—"))</f>
        <v/>
      </c>
      <c r="M298" s="27" t="str">
        <f aca="false">IF(A298="","",IF(H298="—","—",IF(C298&amp;""=H298&amp;"","✓","✗")))</f>
        <v/>
      </c>
      <c r="N298" s="27" t="str">
        <f aca="false">IF(A298="","",IF(H298="—","—",IF(D298&amp;""=I298&amp;"","✓","✗")))</f>
        <v/>
      </c>
      <c r="O298" s="27" t="str">
        <f aca="false">IF(A298="","",IF(H298="—","—",IF(ABS(E298-J298)&lt;0.01,"✓","✗")))</f>
        <v/>
      </c>
      <c r="P298" s="27" t="str">
        <f aca="false">IF(A298="","",IF(H298="—","—",IF(F298&amp;""=K298&amp;"","✓","✗")))</f>
        <v/>
      </c>
      <c r="Q298" s="27" t="str">
        <f aca="false">IF(A298="","",IF(H298="—","—",IF(G298&amp;""=L298&amp;"","✓","✗")))</f>
        <v/>
      </c>
      <c r="R298" s="27" t="str">
        <f aca="false">IF(A298="","",IF(COUNTIF(M298:Q298,"—")=5,"⚠ NO SCD ROW",IF(COUNTIF(M298:Q298,"✗")&gt;0,"❌ MISMATCH","✅ MATCH")))</f>
        <v/>
      </c>
    </row>
    <row r="299" customFormat="false" ht="15" hidden="false" customHeight="true" outlineLevel="0" collapsed="false">
      <c r="A299" s="22" t="str">
        <f aca="false">IF(Daily_Data!A298="","",Daily_Data!A298)</f>
        <v/>
      </c>
      <c r="B299" s="23" t="str">
        <f aca="false">IF(Daily_Data!B298="","",Daily_Data!B298)</f>
        <v/>
      </c>
      <c r="C299" s="23" t="str">
        <f aca="false">IF(A299="","",Daily_Data!C298)</f>
        <v/>
      </c>
      <c r="D299" s="23" t="str">
        <f aca="false">IF(A299="","",Daily_Data!D298)</f>
        <v/>
      </c>
      <c r="E299" s="24" t="str">
        <f aca="false">IF(A299="","",Daily_Data!E298)</f>
        <v/>
      </c>
      <c r="F299" s="23" t="str">
        <f aca="false">IF(A299="","",Daily_Data!F298)</f>
        <v/>
      </c>
      <c r="G299" s="23" t="str">
        <f aca="false">IF(A299="","",Daily_Data!G298)</f>
        <v/>
      </c>
      <c r="H299" s="25" t="str">
        <f aca="false">IF(A299="","",IFERROR(INDEX(SCD_Data!$C$3:$C$502,SUMPRODUCT((SCD_Data!$A$3:$A$502=B299)*(IFERROR(DATEVALUE(SCD_Data!$H$3:$H$502&amp;""),SCD_Data!$H$3:$H$502)&lt;=IFERROR(DATEVALUE(A299&amp;""),A299))*(IFERROR(DATEVALUE(SCD_Data!$I$3:$I$502&amp;""),SCD_Data!$I$3:$I$502)&gt;=IFERROR(DATEVALUE(A299&amp;""),A299))*(ROW(SCD_Data!$A$3:$A$502)-2))),"—"))</f>
        <v/>
      </c>
      <c r="I299" s="25" t="str">
        <f aca="false">IF(A299="","",IFERROR(INDEX(SCD_Data!$D$3:$D$502,SUMPRODUCT((SCD_Data!$A$3:$A$502=B299)*(IFERROR(DATEVALUE(SCD_Data!$H$3:$H$502&amp;""),SCD_Data!$H$3:$H$502)&lt;=IFERROR(DATEVALUE(A299&amp;""),A299))*(IFERROR(DATEVALUE(SCD_Data!$I$3:$I$502&amp;""),SCD_Data!$I$3:$I$502)&gt;=IFERROR(DATEVALUE(A299&amp;""),A299))*(ROW(SCD_Data!$A$3:$A$502)-2))),"—"))</f>
        <v/>
      </c>
      <c r="J299" s="26" t="str">
        <f aca="false">IF(A299="","",IFERROR(INDEX(SCD_Data!$E$3:$E$502,SUMPRODUCT((SCD_Data!$A$3:$A$502=B299)*(IFERROR(DATEVALUE(SCD_Data!$H$3:$H$502&amp;""),SCD_Data!$H$3:$H$502)&lt;=IFERROR(DATEVALUE(A299&amp;""),A299))*(IFERROR(DATEVALUE(SCD_Data!$I$3:$I$502&amp;""),SCD_Data!$I$3:$I$502)&gt;=IFERROR(DATEVALUE(A299&amp;""),A299))*(ROW(SCD_Data!$A$3:$A$502)-2))),"—"))</f>
        <v/>
      </c>
      <c r="K299" s="25" t="str">
        <f aca="false">IF(A299="","",IFERROR(INDEX(SCD_Data!$F$3:$F$502,SUMPRODUCT((SCD_Data!$A$3:$A$502=B299)*(IFERROR(DATEVALUE(SCD_Data!$H$3:$H$502&amp;""),SCD_Data!$H$3:$H$502)&lt;=IFERROR(DATEVALUE(A299&amp;""),A299))*(IFERROR(DATEVALUE(SCD_Data!$I$3:$I$502&amp;""),SCD_Data!$I$3:$I$502)&gt;=IFERROR(DATEVALUE(A299&amp;""),A299))*(ROW(SCD_Data!$A$3:$A$502)-2))),"—"))</f>
        <v/>
      </c>
      <c r="L299" s="25" t="str">
        <f aca="false">IF(A299="","",IFERROR(INDEX(SCD_Data!$G$3:$G$502,SUMPRODUCT((SCD_Data!$A$3:$A$502=B299)*(IFERROR(DATEVALUE(SCD_Data!$H$3:$H$502&amp;""),SCD_Data!$H$3:$H$502)&lt;=IFERROR(DATEVALUE(A299&amp;""),A299))*(IFERROR(DATEVALUE(SCD_Data!$I$3:$I$502&amp;""),SCD_Data!$I$3:$I$502)&gt;=IFERROR(DATEVALUE(A299&amp;""),A299))*(ROW(SCD_Data!$A$3:$A$502)-2))),"—"))</f>
        <v/>
      </c>
      <c r="M299" s="27" t="str">
        <f aca="false">IF(A299="","",IF(H299="—","—",IF(C299&amp;""=H299&amp;"","✓","✗")))</f>
        <v/>
      </c>
      <c r="N299" s="27" t="str">
        <f aca="false">IF(A299="","",IF(H299="—","—",IF(D299&amp;""=I299&amp;"","✓","✗")))</f>
        <v/>
      </c>
      <c r="O299" s="27" t="str">
        <f aca="false">IF(A299="","",IF(H299="—","—",IF(ABS(E299-J299)&lt;0.01,"✓","✗")))</f>
        <v/>
      </c>
      <c r="P299" s="27" t="str">
        <f aca="false">IF(A299="","",IF(H299="—","—",IF(F299&amp;""=K299&amp;"","✓","✗")))</f>
        <v/>
      </c>
      <c r="Q299" s="27" t="str">
        <f aca="false">IF(A299="","",IF(H299="—","—",IF(G299&amp;""=L299&amp;"","✓","✗")))</f>
        <v/>
      </c>
      <c r="R299" s="27" t="str">
        <f aca="false">IF(A299="","",IF(COUNTIF(M299:Q299,"—")=5,"⚠ NO SCD ROW",IF(COUNTIF(M299:Q299,"✗")&gt;0,"❌ MISMATCH","✅ MATCH")))</f>
        <v/>
      </c>
    </row>
    <row r="300" customFormat="false" ht="15" hidden="false" customHeight="true" outlineLevel="0" collapsed="false">
      <c r="A300" s="22" t="str">
        <f aca="false">IF(Daily_Data!A299="","",Daily_Data!A299)</f>
        <v/>
      </c>
      <c r="B300" s="23" t="str">
        <f aca="false">IF(Daily_Data!B299="","",Daily_Data!B299)</f>
        <v/>
      </c>
      <c r="C300" s="23" t="str">
        <f aca="false">IF(A300="","",Daily_Data!C299)</f>
        <v/>
      </c>
      <c r="D300" s="23" t="str">
        <f aca="false">IF(A300="","",Daily_Data!D299)</f>
        <v/>
      </c>
      <c r="E300" s="24" t="str">
        <f aca="false">IF(A300="","",Daily_Data!E299)</f>
        <v/>
      </c>
      <c r="F300" s="23" t="str">
        <f aca="false">IF(A300="","",Daily_Data!F299)</f>
        <v/>
      </c>
      <c r="G300" s="23" t="str">
        <f aca="false">IF(A300="","",Daily_Data!G299)</f>
        <v/>
      </c>
      <c r="H300" s="25" t="str">
        <f aca="false">IF(A300="","",IFERROR(INDEX(SCD_Data!$C$3:$C$502,SUMPRODUCT((SCD_Data!$A$3:$A$502=B300)*(IFERROR(DATEVALUE(SCD_Data!$H$3:$H$502&amp;""),SCD_Data!$H$3:$H$502)&lt;=IFERROR(DATEVALUE(A300&amp;""),A300))*(IFERROR(DATEVALUE(SCD_Data!$I$3:$I$502&amp;""),SCD_Data!$I$3:$I$502)&gt;=IFERROR(DATEVALUE(A300&amp;""),A300))*(ROW(SCD_Data!$A$3:$A$502)-2))),"—"))</f>
        <v/>
      </c>
      <c r="I300" s="25" t="str">
        <f aca="false">IF(A300="","",IFERROR(INDEX(SCD_Data!$D$3:$D$502,SUMPRODUCT((SCD_Data!$A$3:$A$502=B300)*(IFERROR(DATEVALUE(SCD_Data!$H$3:$H$502&amp;""),SCD_Data!$H$3:$H$502)&lt;=IFERROR(DATEVALUE(A300&amp;""),A300))*(IFERROR(DATEVALUE(SCD_Data!$I$3:$I$502&amp;""),SCD_Data!$I$3:$I$502)&gt;=IFERROR(DATEVALUE(A300&amp;""),A300))*(ROW(SCD_Data!$A$3:$A$502)-2))),"—"))</f>
        <v/>
      </c>
      <c r="J300" s="26" t="str">
        <f aca="false">IF(A300="","",IFERROR(INDEX(SCD_Data!$E$3:$E$502,SUMPRODUCT((SCD_Data!$A$3:$A$502=B300)*(IFERROR(DATEVALUE(SCD_Data!$H$3:$H$502&amp;""),SCD_Data!$H$3:$H$502)&lt;=IFERROR(DATEVALUE(A300&amp;""),A300))*(IFERROR(DATEVALUE(SCD_Data!$I$3:$I$502&amp;""),SCD_Data!$I$3:$I$502)&gt;=IFERROR(DATEVALUE(A300&amp;""),A300))*(ROW(SCD_Data!$A$3:$A$502)-2))),"—"))</f>
        <v/>
      </c>
      <c r="K300" s="25" t="str">
        <f aca="false">IF(A300="","",IFERROR(INDEX(SCD_Data!$F$3:$F$502,SUMPRODUCT((SCD_Data!$A$3:$A$502=B300)*(IFERROR(DATEVALUE(SCD_Data!$H$3:$H$502&amp;""),SCD_Data!$H$3:$H$502)&lt;=IFERROR(DATEVALUE(A300&amp;""),A300))*(IFERROR(DATEVALUE(SCD_Data!$I$3:$I$502&amp;""),SCD_Data!$I$3:$I$502)&gt;=IFERROR(DATEVALUE(A300&amp;""),A300))*(ROW(SCD_Data!$A$3:$A$502)-2))),"—"))</f>
        <v/>
      </c>
      <c r="L300" s="25" t="str">
        <f aca="false">IF(A300="","",IFERROR(INDEX(SCD_Data!$G$3:$G$502,SUMPRODUCT((SCD_Data!$A$3:$A$502=B300)*(IFERROR(DATEVALUE(SCD_Data!$H$3:$H$502&amp;""),SCD_Data!$H$3:$H$502)&lt;=IFERROR(DATEVALUE(A300&amp;""),A300))*(IFERROR(DATEVALUE(SCD_Data!$I$3:$I$502&amp;""),SCD_Data!$I$3:$I$502)&gt;=IFERROR(DATEVALUE(A300&amp;""),A300))*(ROW(SCD_Data!$A$3:$A$502)-2))),"—"))</f>
        <v/>
      </c>
      <c r="M300" s="27" t="str">
        <f aca="false">IF(A300="","",IF(H300="—","—",IF(C300&amp;""=H300&amp;"","✓","✗")))</f>
        <v/>
      </c>
      <c r="N300" s="27" t="str">
        <f aca="false">IF(A300="","",IF(H300="—","—",IF(D300&amp;""=I300&amp;"","✓","✗")))</f>
        <v/>
      </c>
      <c r="O300" s="27" t="str">
        <f aca="false">IF(A300="","",IF(H300="—","—",IF(ABS(E300-J300)&lt;0.01,"✓","✗")))</f>
        <v/>
      </c>
      <c r="P300" s="27" t="str">
        <f aca="false">IF(A300="","",IF(H300="—","—",IF(F300&amp;""=K300&amp;"","✓","✗")))</f>
        <v/>
      </c>
      <c r="Q300" s="27" t="str">
        <f aca="false">IF(A300="","",IF(H300="—","—",IF(G300&amp;""=L300&amp;"","✓","✗")))</f>
        <v/>
      </c>
      <c r="R300" s="27" t="str">
        <f aca="false">IF(A300="","",IF(COUNTIF(M300:Q300,"—")=5,"⚠ NO SCD ROW",IF(COUNTIF(M300:Q300,"✗")&gt;0,"❌ MISMATCH","✅ MATCH")))</f>
        <v/>
      </c>
    </row>
    <row r="301" customFormat="false" ht="15" hidden="false" customHeight="true" outlineLevel="0" collapsed="false">
      <c r="A301" s="22" t="str">
        <f aca="false">IF(Daily_Data!A300="","",Daily_Data!A300)</f>
        <v/>
      </c>
      <c r="B301" s="23" t="str">
        <f aca="false">IF(Daily_Data!B300="","",Daily_Data!B300)</f>
        <v/>
      </c>
      <c r="C301" s="23" t="str">
        <f aca="false">IF(A301="","",Daily_Data!C300)</f>
        <v/>
      </c>
      <c r="D301" s="23" t="str">
        <f aca="false">IF(A301="","",Daily_Data!D300)</f>
        <v/>
      </c>
      <c r="E301" s="24" t="str">
        <f aca="false">IF(A301="","",Daily_Data!E300)</f>
        <v/>
      </c>
      <c r="F301" s="23" t="str">
        <f aca="false">IF(A301="","",Daily_Data!F300)</f>
        <v/>
      </c>
      <c r="G301" s="23" t="str">
        <f aca="false">IF(A301="","",Daily_Data!G300)</f>
        <v/>
      </c>
      <c r="H301" s="25" t="str">
        <f aca="false">IF(A301="","",IFERROR(INDEX(SCD_Data!$C$3:$C$502,SUMPRODUCT((SCD_Data!$A$3:$A$502=B301)*(IFERROR(DATEVALUE(SCD_Data!$H$3:$H$502&amp;""),SCD_Data!$H$3:$H$502)&lt;=IFERROR(DATEVALUE(A301&amp;""),A301))*(IFERROR(DATEVALUE(SCD_Data!$I$3:$I$502&amp;""),SCD_Data!$I$3:$I$502)&gt;=IFERROR(DATEVALUE(A301&amp;""),A301))*(ROW(SCD_Data!$A$3:$A$502)-2))),"—"))</f>
        <v/>
      </c>
      <c r="I301" s="25" t="str">
        <f aca="false">IF(A301="","",IFERROR(INDEX(SCD_Data!$D$3:$D$502,SUMPRODUCT((SCD_Data!$A$3:$A$502=B301)*(IFERROR(DATEVALUE(SCD_Data!$H$3:$H$502&amp;""),SCD_Data!$H$3:$H$502)&lt;=IFERROR(DATEVALUE(A301&amp;""),A301))*(IFERROR(DATEVALUE(SCD_Data!$I$3:$I$502&amp;""),SCD_Data!$I$3:$I$502)&gt;=IFERROR(DATEVALUE(A301&amp;""),A301))*(ROW(SCD_Data!$A$3:$A$502)-2))),"—"))</f>
        <v/>
      </c>
      <c r="J301" s="26" t="str">
        <f aca="false">IF(A301="","",IFERROR(INDEX(SCD_Data!$E$3:$E$502,SUMPRODUCT((SCD_Data!$A$3:$A$502=B301)*(IFERROR(DATEVALUE(SCD_Data!$H$3:$H$502&amp;""),SCD_Data!$H$3:$H$502)&lt;=IFERROR(DATEVALUE(A301&amp;""),A301))*(IFERROR(DATEVALUE(SCD_Data!$I$3:$I$502&amp;""),SCD_Data!$I$3:$I$502)&gt;=IFERROR(DATEVALUE(A301&amp;""),A301))*(ROW(SCD_Data!$A$3:$A$502)-2))),"—"))</f>
        <v/>
      </c>
      <c r="K301" s="25" t="str">
        <f aca="false">IF(A301="","",IFERROR(INDEX(SCD_Data!$F$3:$F$502,SUMPRODUCT((SCD_Data!$A$3:$A$502=B301)*(IFERROR(DATEVALUE(SCD_Data!$H$3:$H$502&amp;""),SCD_Data!$H$3:$H$502)&lt;=IFERROR(DATEVALUE(A301&amp;""),A301))*(IFERROR(DATEVALUE(SCD_Data!$I$3:$I$502&amp;""),SCD_Data!$I$3:$I$502)&gt;=IFERROR(DATEVALUE(A301&amp;""),A301))*(ROW(SCD_Data!$A$3:$A$502)-2))),"—"))</f>
        <v/>
      </c>
      <c r="L301" s="25" t="str">
        <f aca="false">IF(A301="","",IFERROR(INDEX(SCD_Data!$G$3:$G$502,SUMPRODUCT((SCD_Data!$A$3:$A$502=B301)*(IFERROR(DATEVALUE(SCD_Data!$H$3:$H$502&amp;""),SCD_Data!$H$3:$H$502)&lt;=IFERROR(DATEVALUE(A301&amp;""),A301))*(IFERROR(DATEVALUE(SCD_Data!$I$3:$I$502&amp;""),SCD_Data!$I$3:$I$502)&gt;=IFERROR(DATEVALUE(A301&amp;""),A301))*(ROW(SCD_Data!$A$3:$A$502)-2))),"—"))</f>
        <v/>
      </c>
      <c r="M301" s="27" t="str">
        <f aca="false">IF(A301="","",IF(H301="—","—",IF(C301&amp;""=H301&amp;"","✓","✗")))</f>
        <v/>
      </c>
      <c r="N301" s="27" t="str">
        <f aca="false">IF(A301="","",IF(H301="—","—",IF(D301&amp;""=I301&amp;"","✓","✗")))</f>
        <v/>
      </c>
      <c r="O301" s="27" t="str">
        <f aca="false">IF(A301="","",IF(H301="—","—",IF(ABS(E301-J301)&lt;0.01,"✓","✗")))</f>
        <v/>
      </c>
      <c r="P301" s="27" t="str">
        <f aca="false">IF(A301="","",IF(H301="—","—",IF(F301&amp;""=K301&amp;"","✓","✗")))</f>
        <v/>
      </c>
      <c r="Q301" s="27" t="str">
        <f aca="false">IF(A301="","",IF(H301="—","—",IF(G301&amp;""=L301&amp;"","✓","✗")))</f>
        <v/>
      </c>
      <c r="R301" s="27" t="str">
        <f aca="false">IF(A301="","",IF(COUNTIF(M301:Q301,"—")=5,"⚠ NO SCD ROW",IF(COUNTIF(M301:Q301,"✗")&gt;0,"❌ MISMATCH","✅ MATCH")))</f>
        <v/>
      </c>
    </row>
    <row r="302" customFormat="false" ht="15" hidden="false" customHeight="true" outlineLevel="0" collapsed="false">
      <c r="A302" s="22" t="str">
        <f aca="false">IF(Daily_Data!A301="","",Daily_Data!A301)</f>
        <v/>
      </c>
      <c r="B302" s="23" t="str">
        <f aca="false">IF(Daily_Data!B301="","",Daily_Data!B301)</f>
        <v/>
      </c>
      <c r="C302" s="23" t="str">
        <f aca="false">IF(A302="","",Daily_Data!C301)</f>
        <v/>
      </c>
      <c r="D302" s="23" t="str">
        <f aca="false">IF(A302="","",Daily_Data!D301)</f>
        <v/>
      </c>
      <c r="E302" s="24" t="str">
        <f aca="false">IF(A302="","",Daily_Data!E301)</f>
        <v/>
      </c>
      <c r="F302" s="23" t="str">
        <f aca="false">IF(A302="","",Daily_Data!F301)</f>
        <v/>
      </c>
      <c r="G302" s="23" t="str">
        <f aca="false">IF(A302="","",Daily_Data!G301)</f>
        <v/>
      </c>
      <c r="H302" s="25" t="str">
        <f aca="false">IF(A302="","",IFERROR(INDEX(SCD_Data!$C$3:$C$502,SUMPRODUCT((SCD_Data!$A$3:$A$502=B302)*(IFERROR(DATEVALUE(SCD_Data!$H$3:$H$502&amp;""),SCD_Data!$H$3:$H$502)&lt;=IFERROR(DATEVALUE(A302&amp;""),A302))*(IFERROR(DATEVALUE(SCD_Data!$I$3:$I$502&amp;""),SCD_Data!$I$3:$I$502)&gt;=IFERROR(DATEVALUE(A302&amp;""),A302))*(ROW(SCD_Data!$A$3:$A$502)-2))),"—"))</f>
        <v/>
      </c>
      <c r="I302" s="25" t="str">
        <f aca="false">IF(A302="","",IFERROR(INDEX(SCD_Data!$D$3:$D$502,SUMPRODUCT((SCD_Data!$A$3:$A$502=B302)*(IFERROR(DATEVALUE(SCD_Data!$H$3:$H$502&amp;""),SCD_Data!$H$3:$H$502)&lt;=IFERROR(DATEVALUE(A302&amp;""),A302))*(IFERROR(DATEVALUE(SCD_Data!$I$3:$I$502&amp;""),SCD_Data!$I$3:$I$502)&gt;=IFERROR(DATEVALUE(A302&amp;""),A302))*(ROW(SCD_Data!$A$3:$A$502)-2))),"—"))</f>
        <v/>
      </c>
      <c r="J302" s="26" t="str">
        <f aca="false">IF(A302="","",IFERROR(INDEX(SCD_Data!$E$3:$E$502,SUMPRODUCT((SCD_Data!$A$3:$A$502=B302)*(IFERROR(DATEVALUE(SCD_Data!$H$3:$H$502&amp;""),SCD_Data!$H$3:$H$502)&lt;=IFERROR(DATEVALUE(A302&amp;""),A302))*(IFERROR(DATEVALUE(SCD_Data!$I$3:$I$502&amp;""),SCD_Data!$I$3:$I$502)&gt;=IFERROR(DATEVALUE(A302&amp;""),A302))*(ROW(SCD_Data!$A$3:$A$502)-2))),"—"))</f>
        <v/>
      </c>
      <c r="K302" s="25" t="str">
        <f aca="false">IF(A302="","",IFERROR(INDEX(SCD_Data!$F$3:$F$502,SUMPRODUCT((SCD_Data!$A$3:$A$502=B302)*(IFERROR(DATEVALUE(SCD_Data!$H$3:$H$502&amp;""),SCD_Data!$H$3:$H$502)&lt;=IFERROR(DATEVALUE(A302&amp;""),A302))*(IFERROR(DATEVALUE(SCD_Data!$I$3:$I$502&amp;""),SCD_Data!$I$3:$I$502)&gt;=IFERROR(DATEVALUE(A302&amp;""),A302))*(ROW(SCD_Data!$A$3:$A$502)-2))),"—"))</f>
        <v/>
      </c>
      <c r="L302" s="25" t="str">
        <f aca="false">IF(A302="","",IFERROR(INDEX(SCD_Data!$G$3:$G$502,SUMPRODUCT((SCD_Data!$A$3:$A$502=B302)*(IFERROR(DATEVALUE(SCD_Data!$H$3:$H$502&amp;""),SCD_Data!$H$3:$H$502)&lt;=IFERROR(DATEVALUE(A302&amp;""),A302))*(IFERROR(DATEVALUE(SCD_Data!$I$3:$I$502&amp;""),SCD_Data!$I$3:$I$502)&gt;=IFERROR(DATEVALUE(A302&amp;""),A302))*(ROW(SCD_Data!$A$3:$A$502)-2))),"—"))</f>
        <v/>
      </c>
      <c r="M302" s="27" t="str">
        <f aca="false">IF(A302="","",IF(H302="—","—",IF(C302&amp;""=H302&amp;"","✓","✗")))</f>
        <v/>
      </c>
      <c r="N302" s="27" t="str">
        <f aca="false">IF(A302="","",IF(H302="—","—",IF(D302&amp;""=I302&amp;"","✓","✗")))</f>
        <v/>
      </c>
      <c r="O302" s="27" t="str">
        <f aca="false">IF(A302="","",IF(H302="—","—",IF(ABS(E302-J302)&lt;0.01,"✓","✗")))</f>
        <v/>
      </c>
      <c r="P302" s="27" t="str">
        <f aca="false">IF(A302="","",IF(H302="—","—",IF(F302&amp;""=K302&amp;"","✓","✗")))</f>
        <v/>
      </c>
      <c r="Q302" s="27" t="str">
        <f aca="false">IF(A302="","",IF(H302="—","—",IF(G302&amp;""=L302&amp;"","✓","✗")))</f>
        <v/>
      </c>
      <c r="R302" s="27" t="str">
        <f aca="false">IF(A302="","",IF(COUNTIF(M302:Q302,"—")=5,"⚠ NO SCD ROW",IF(COUNTIF(M302:Q302,"✗")&gt;0,"❌ MISMATCH","✅ MATCH")))</f>
        <v/>
      </c>
    </row>
    <row r="303" customFormat="false" ht="15" hidden="false" customHeight="true" outlineLevel="0" collapsed="false">
      <c r="A303" s="22" t="str">
        <f aca="false">IF(Daily_Data!A302="","",Daily_Data!A302)</f>
        <v/>
      </c>
      <c r="B303" s="23" t="str">
        <f aca="false">IF(Daily_Data!B302="","",Daily_Data!B302)</f>
        <v/>
      </c>
      <c r="C303" s="23" t="str">
        <f aca="false">IF(A303="","",Daily_Data!C302)</f>
        <v/>
      </c>
      <c r="D303" s="23" t="str">
        <f aca="false">IF(A303="","",Daily_Data!D302)</f>
        <v/>
      </c>
      <c r="E303" s="24" t="str">
        <f aca="false">IF(A303="","",Daily_Data!E302)</f>
        <v/>
      </c>
      <c r="F303" s="23" t="str">
        <f aca="false">IF(A303="","",Daily_Data!F302)</f>
        <v/>
      </c>
      <c r="G303" s="23" t="str">
        <f aca="false">IF(A303="","",Daily_Data!G302)</f>
        <v/>
      </c>
      <c r="H303" s="25" t="str">
        <f aca="false">IF(A303="","",IFERROR(INDEX(SCD_Data!$C$3:$C$502,SUMPRODUCT((SCD_Data!$A$3:$A$502=B303)*(IFERROR(DATEVALUE(SCD_Data!$H$3:$H$502&amp;""),SCD_Data!$H$3:$H$502)&lt;=IFERROR(DATEVALUE(A303&amp;""),A303))*(IFERROR(DATEVALUE(SCD_Data!$I$3:$I$502&amp;""),SCD_Data!$I$3:$I$502)&gt;=IFERROR(DATEVALUE(A303&amp;""),A303))*(ROW(SCD_Data!$A$3:$A$502)-2))),"—"))</f>
        <v/>
      </c>
      <c r="I303" s="25" t="str">
        <f aca="false">IF(A303="","",IFERROR(INDEX(SCD_Data!$D$3:$D$502,SUMPRODUCT((SCD_Data!$A$3:$A$502=B303)*(IFERROR(DATEVALUE(SCD_Data!$H$3:$H$502&amp;""),SCD_Data!$H$3:$H$502)&lt;=IFERROR(DATEVALUE(A303&amp;""),A303))*(IFERROR(DATEVALUE(SCD_Data!$I$3:$I$502&amp;""),SCD_Data!$I$3:$I$502)&gt;=IFERROR(DATEVALUE(A303&amp;""),A303))*(ROW(SCD_Data!$A$3:$A$502)-2))),"—"))</f>
        <v/>
      </c>
      <c r="J303" s="26" t="str">
        <f aca="false">IF(A303="","",IFERROR(INDEX(SCD_Data!$E$3:$E$502,SUMPRODUCT((SCD_Data!$A$3:$A$502=B303)*(IFERROR(DATEVALUE(SCD_Data!$H$3:$H$502&amp;""),SCD_Data!$H$3:$H$502)&lt;=IFERROR(DATEVALUE(A303&amp;""),A303))*(IFERROR(DATEVALUE(SCD_Data!$I$3:$I$502&amp;""),SCD_Data!$I$3:$I$502)&gt;=IFERROR(DATEVALUE(A303&amp;""),A303))*(ROW(SCD_Data!$A$3:$A$502)-2))),"—"))</f>
        <v/>
      </c>
      <c r="K303" s="25" t="str">
        <f aca="false">IF(A303="","",IFERROR(INDEX(SCD_Data!$F$3:$F$502,SUMPRODUCT((SCD_Data!$A$3:$A$502=B303)*(IFERROR(DATEVALUE(SCD_Data!$H$3:$H$502&amp;""),SCD_Data!$H$3:$H$502)&lt;=IFERROR(DATEVALUE(A303&amp;""),A303))*(IFERROR(DATEVALUE(SCD_Data!$I$3:$I$502&amp;""),SCD_Data!$I$3:$I$502)&gt;=IFERROR(DATEVALUE(A303&amp;""),A303))*(ROW(SCD_Data!$A$3:$A$502)-2))),"—"))</f>
        <v/>
      </c>
      <c r="L303" s="25" t="str">
        <f aca="false">IF(A303="","",IFERROR(INDEX(SCD_Data!$G$3:$G$502,SUMPRODUCT((SCD_Data!$A$3:$A$502=B303)*(IFERROR(DATEVALUE(SCD_Data!$H$3:$H$502&amp;""),SCD_Data!$H$3:$H$502)&lt;=IFERROR(DATEVALUE(A303&amp;""),A303))*(IFERROR(DATEVALUE(SCD_Data!$I$3:$I$502&amp;""),SCD_Data!$I$3:$I$502)&gt;=IFERROR(DATEVALUE(A303&amp;""),A303))*(ROW(SCD_Data!$A$3:$A$502)-2))),"—"))</f>
        <v/>
      </c>
      <c r="M303" s="27" t="str">
        <f aca="false">IF(A303="","",IF(H303="—","—",IF(C303&amp;""=H303&amp;"","✓","✗")))</f>
        <v/>
      </c>
      <c r="N303" s="27" t="str">
        <f aca="false">IF(A303="","",IF(H303="—","—",IF(D303&amp;""=I303&amp;"","✓","✗")))</f>
        <v/>
      </c>
      <c r="O303" s="27" t="str">
        <f aca="false">IF(A303="","",IF(H303="—","—",IF(ABS(E303-J303)&lt;0.01,"✓","✗")))</f>
        <v/>
      </c>
      <c r="P303" s="27" t="str">
        <f aca="false">IF(A303="","",IF(H303="—","—",IF(F303&amp;""=K303&amp;"","✓","✗")))</f>
        <v/>
      </c>
      <c r="Q303" s="27" t="str">
        <f aca="false">IF(A303="","",IF(H303="—","—",IF(G303&amp;""=L303&amp;"","✓","✗")))</f>
        <v/>
      </c>
      <c r="R303" s="27" t="str">
        <f aca="false">IF(A303="","",IF(COUNTIF(M303:Q303,"—")=5,"⚠ NO SCD ROW",IF(COUNTIF(M303:Q303,"✗")&gt;0,"❌ MISMATCH","✅ MATCH")))</f>
        <v/>
      </c>
    </row>
    <row r="304" customFormat="false" ht="15" hidden="false" customHeight="true" outlineLevel="0" collapsed="false">
      <c r="A304" s="22" t="str">
        <f aca="false">IF(Daily_Data!A303="","",Daily_Data!A303)</f>
        <v/>
      </c>
      <c r="B304" s="23" t="str">
        <f aca="false">IF(Daily_Data!B303="","",Daily_Data!B303)</f>
        <v/>
      </c>
      <c r="C304" s="23" t="str">
        <f aca="false">IF(A304="","",Daily_Data!C303)</f>
        <v/>
      </c>
      <c r="D304" s="23" t="str">
        <f aca="false">IF(A304="","",Daily_Data!D303)</f>
        <v/>
      </c>
      <c r="E304" s="24" t="str">
        <f aca="false">IF(A304="","",Daily_Data!E303)</f>
        <v/>
      </c>
      <c r="F304" s="23" t="str">
        <f aca="false">IF(A304="","",Daily_Data!F303)</f>
        <v/>
      </c>
      <c r="G304" s="23" t="str">
        <f aca="false">IF(A304="","",Daily_Data!G303)</f>
        <v/>
      </c>
      <c r="H304" s="25" t="str">
        <f aca="false">IF(A304="","",IFERROR(INDEX(SCD_Data!$C$3:$C$502,SUMPRODUCT((SCD_Data!$A$3:$A$502=B304)*(IFERROR(DATEVALUE(SCD_Data!$H$3:$H$502&amp;""),SCD_Data!$H$3:$H$502)&lt;=IFERROR(DATEVALUE(A304&amp;""),A304))*(IFERROR(DATEVALUE(SCD_Data!$I$3:$I$502&amp;""),SCD_Data!$I$3:$I$502)&gt;=IFERROR(DATEVALUE(A304&amp;""),A304))*(ROW(SCD_Data!$A$3:$A$502)-2))),"—"))</f>
        <v/>
      </c>
      <c r="I304" s="25" t="str">
        <f aca="false">IF(A304="","",IFERROR(INDEX(SCD_Data!$D$3:$D$502,SUMPRODUCT((SCD_Data!$A$3:$A$502=B304)*(IFERROR(DATEVALUE(SCD_Data!$H$3:$H$502&amp;""),SCD_Data!$H$3:$H$502)&lt;=IFERROR(DATEVALUE(A304&amp;""),A304))*(IFERROR(DATEVALUE(SCD_Data!$I$3:$I$502&amp;""),SCD_Data!$I$3:$I$502)&gt;=IFERROR(DATEVALUE(A304&amp;""),A304))*(ROW(SCD_Data!$A$3:$A$502)-2))),"—"))</f>
        <v/>
      </c>
      <c r="J304" s="26" t="str">
        <f aca="false">IF(A304="","",IFERROR(INDEX(SCD_Data!$E$3:$E$502,SUMPRODUCT((SCD_Data!$A$3:$A$502=B304)*(IFERROR(DATEVALUE(SCD_Data!$H$3:$H$502&amp;""),SCD_Data!$H$3:$H$502)&lt;=IFERROR(DATEVALUE(A304&amp;""),A304))*(IFERROR(DATEVALUE(SCD_Data!$I$3:$I$502&amp;""),SCD_Data!$I$3:$I$502)&gt;=IFERROR(DATEVALUE(A304&amp;""),A304))*(ROW(SCD_Data!$A$3:$A$502)-2))),"—"))</f>
        <v/>
      </c>
      <c r="K304" s="25" t="str">
        <f aca="false">IF(A304="","",IFERROR(INDEX(SCD_Data!$F$3:$F$502,SUMPRODUCT((SCD_Data!$A$3:$A$502=B304)*(IFERROR(DATEVALUE(SCD_Data!$H$3:$H$502&amp;""),SCD_Data!$H$3:$H$502)&lt;=IFERROR(DATEVALUE(A304&amp;""),A304))*(IFERROR(DATEVALUE(SCD_Data!$I$3:$I$502&amp;""),SCD_Data!$I$3:$I$502)&gt;=IFERROR(DATEVALUE(A304&amp;""),A304))*(ROW(SCD_Data!$A$3:$A$502)-2))),"—"))</f>
        <v/>
      </c>
      <c r="L304" s="25" t="str">
        <f aca="false">IF(A304="","",IFERROR(INDEX(SCD_Data!$G$3:$G$502,SUMPRODUCT((SCD_Data!$A$3:$A$502=B304)*(IFERROR(DATEVALUE(SCD_Data!$H$3:$H$502&amp;""),SCD_Data!$H$3:$H$502)&lt;=IFERROR(DATEVALUE(A304&amp;""),A304))*(IFERROR(DATEVALUE(SCD_Data!$I$3:$I$502&amp;""),SCD_Data!$I$3:$I$502)&gt;=IFERROR(DATEVALUE(A304&amp;""),A304))*(ROW(SCD_Data!$A$3:$A$502)-2))),"—"))</f>
        <v/>
      </c>
      <c r="M304" s="27" t="str">
        <f aca="false">IF(A304="","",IF(H304="—","—",IF(C304&amp;""=H304&amp;"","✓","✗")))</f>
        <v/>
      </c>
      <c r="N304" s="27" t="str">
        <f aca="false">IF(A304="","",IF(H304="—","—",IF(D304&amp;""=I304&amp;"","✓","✗")))</f>
        <v/>
      </c>
      <c r="O304" s="27" t="str">
        <f aca="false">IF(A304="","",IF(H304="—","—",IF(ABS(E304-J304)&lt;0.01,"✓","✗")))</f>
        <v/>
      </c>
      <c r="P304" s="27" t="str">
        <f aca="false">IF(A304="","",IF(H304="—","—",IF(F304&amp;""=K304&amp;"","✓","✗")))</f>
        <v/>
      </c>
      <c r="Q304" s="27" t="str">
        <f aca="false">IF(A304="","",IF(H304="—","—",IF(G304&amp;""=L304&amp;"","✓","✗")))</f>
        <v/>
      </c>
      <c r="R304" s="27" t="str">
        <f aca="false">IF(A304="","",IF(COUNTIF(M304:Q304,"—")=5,"⚠ NO SCD ROW",IF(COUNTIF(M304:Q304,"✗")&gt;0,"❌ MISMATCH","✅ MATCH")))</f>
        <v/>
      </c>
    </row>
    <row r="305" customFormat="false" ht="15" hidden="false" customHeight="true" outlineLevel="0" collapsed="false">
      <c r="A305" s="22" t="str">
        <f aca="false">IF(Daily_Data!A304="","",Daily_Data!A304)</f>
        <v/>
      </c>
      <c r="B305" s="23" t="str">
        <f aca="false">IF(Daily_Data!B304="","",Daily_Data!B304)</f>
        <v/>
      </c>
      <c r="C305" s="23" t="str">
        <f aca="false">IF(A305="","",Daily_Data!C304)</f>
        <v/>
      </c>
      <c r="D305" s="23" t="str">
        <f aca="false">IF(A305="","",Daily_Data!D304)</f>
        <v/>
      </c>
      <c r="E305" s="24" t="str">
        <f aca="false">IF(A305="","",Daily_Data!E304)</f>
        <v/>
      </c>
      <c r="F305" s="23" t="str">
        <f aca="false">IF(A305="","",Daily_Data!F304)</f>
        <v/>
      </c>
      <c r="G305" s="23" t="str">
        <f aca="false">IF(A305="","",Daily_Data!G304)</f>
        <v/>
      </c>
      <c r="H305" s="25" t="str">
        <f aca="false">IF(A305="","",IFERROR(INDEX(SCD_Data!$C$3:$C$502,SUMPRODUCT((SCD_Data!$A$3:$A$502=B305)*(IFERROR(DATEVALUE(SCD_Data!$H$3:$H$502&amp;""),SCD_Data!$H$3:$H$502)&lt;=IFERROR(DATEVALUE(A305&amp;""),A305))*(IFERROR(DATEVALUE(SCD_Data!$I$3:$I$502&amp;""),SCD_Data!$I$3:$I$502)&gt;=IFERROR(DATEVALUE(A305&amp;""),A305))*(ROW(SCD_Data!$A$3:$A$502)-2))),"—"))</f>
        <v/>
      </c>
      <c r="I305" s="25" t="str">
        <f aca="false">IF(A305="","",IFERROR(INDEX(SCD_Data!$D$3:$D$502,SUMPRODUCT((SCD_Data!$A$3:$A$502=B305)*(IFERROR(DATEVALUE(SCD_Data!$H$3:$H$502&amp;""),SCD_Data!$H$3:$H$502)&lt;=IFERROR(DATEVALUE(A305&amp;""),A305))*(IFERROR(DATEVALUE(SCD_Data!$I$3:$I$502&amp;""),SCD_Data!$I$3:$I$502)&gt;=IFERROR(DATEVALUE(A305&amp;""),A305))*(ROW(SCD_Data!$A$3:$A$502)-2))),"—"))</f>
        <v/>
      </c>
      <c r="J305" s="26" t="str">
        <f aca="false">IF(A305="","",IFERROR(INDEX(SCD_Data!$E$3:$E$502,SUMPRODUCT((SCD_Data!$A$3:$A$502=B305)*(IFERROR(DATEVALUE(SCD_Data!$H$3:$H$502&amp;""),SCD_Data!$H$3:$H$502)&lt;=IFERROR(DATEVALUE(A305&amp;""),A305))*(IFERROR(DATEVALUE(SCD_Data!$I$3:$I$502&amp;""),SCD_Data!$I$3:$I$502)&gt;=IFERROR(DATEVALUE(A305&amp;""),A305))*(ROW(SCD_Data!$A$3:$A$502)-2))),"—"))</f>
        <v/>
      </c>
      <c r="K305" s="25" t="str">
        <f aca="false">IF(A305="","",IFERROR(INDEX(SCD_Data!$F$3:$F$502,SUMPRODUCT((SCD_Data!$A$3:$A$502=B305)*(IFERROR(DATEVALUE(SCD_Data!$H$3:$H$502&amp;""),SCD_Data!$H$3:$H$502)&lt;=IFERROR(DATEVALUE(A305&amp;""),A305))*(IFERROR(DATEVALUE(SCD_Data!$I$3:$I$502&amp;""),SCD_Data!$I$3:$I$502)&gt;=IFERROR(DATEVALUE(A305&amp;""),A305))*(ROW(SCD_Data!$A$3:$A$502)-2))),"—"))</f>
        <v/>
      </c>
      <c r="L305" s="25" t="str">
        <f aca="false">IF(A305="","",IFERROR(INDEX(SCD_Data!$G$3:$G$502,SUMPRODUCT((SCD_Data!$A$3:$A$502=B305)*(IFERROR(DATEVALUE(SCD_Data!$H$3:$H$502&amp;""),SCD_Data!$H$3:$H$502)&lt;=IFERROR(DATEVALUE(A305&amp;""),A305))*(IFERROR(DATEVALUE(SCD_Data!$I$3:$I$502&amp;""),SCD_Data!$I$3:$I$502)&gt;=IFERROR(DATEVALUE(A305&amp;""),A305))*(ROW(SCD_Data!$A$3:$A$502)-2))),"—"))</f>
        <v/>
      </c>
      <c r="M305" s="27" t="str">
        <f aca="false">IF(A305="","",IF(H305="—","—",IF(C305&amp;""=H305&amp;"","✓","✗")))</f>
        <v/>
      </c>
      <c r="N305" s="27" t="str">
        <f aca="false">IF(A305="","",IF(H305="—","—",IF(D305&amp;""=I305&amp;"","✓","✗")))</f>
        <v/>
      </c>
      <c r="O305" s="27" t="str">
        <f aca="false">IF(A305="","",IF(H305="—","—",IF(ABS(E305-J305)&lt;0.01,"✓","✗")))</f>
        <v/>
      </c>
      <c r="P305" s="27" t="str">
        <f aca="false">IF(A305="","",IF(H305="—","—",IF(F305&amp;""=K305&amp;"","✓","✗")))</f>
        <v/>
      </c>
      <c r="Q305" s="27" t="str">
        <f aca="false">IF(A305="","",IF(H305="—","—",IF(G305&amp;""=L305&amp;"","✓","✗")))</f>
        <v/>
      </c>
      <c r="R305" s="27" t="str">
        <f aca="false">IF(A305="","",IF(COUNTIF(M305:Q305,"—")=5,"⚠ NO SCD ROW",IF(COUNTIF(M305:Q305,"✗")&gt;0,"❌ MISMATCH","✅ MATCH")))</f>
        <v/>
      </c>
    </row>
    <row r="306" customFormat="false" ht="15" hidden="false" customHeight="true" outlineLevel="0" collapsed="false">
      <c r="A306" s="22" t="str">
        <f aca="false">IF(Daily_Data!A305="","",Daily_Data!A305)</f>
        <v/>
      </c>
      <c r="B306" s="23" t="str">
        <f aca="false">IF(Daily_Data!B305="","",Daily_Data!B305)</f>
        <v/>
      </c>
      <c r="C306" s="23" t="str">
        <f aca="false">IF(A306="","",Daily_Data!C305)</f>
        <v/>
      </c>
      <c r="D306" s="23" t="str">
        <f aca="false">IF(A306="","",Daily_Data!D305)</f>
        <v/>
      </c>
      <c r="E306" s="24" t="str">
        <f aca="false">IF(A306="","",Daily_Data!E305)</f>
        <v/>
      </c>
      <c r="F306" s="23" t="str">
        <f aca="false">IF(A306="","",Daily_Data!F305)</f>
        <v/>
      </c>
      <c r="G306" s="23" t="str">
        <f aca="false">IF(A306="","",Daily_Data!G305)</f>
        <v/>
      </c>
      <c r="H306" s="25" t="str">
        <f aca="false">IF(A306="","",IFERROR(INDEX(SCD_Data!$C$3:$C$502,SUMPRODUCT((SCD_Data!$A$3:$A$502=B306)*(IFERROR(DATEVALUE(SCD_Data!$H$3:$H$502&amp;""),SCD_Data!$H$3:$H$502)&lt;=IFERROR(DATEVALUE(A306&amp;""),A306))*(IFERROR(DATEVALUE(SCD_Data!$I$3:$I$502&amp;""),SCD_Data!$I$3:$I$502)&gt;=IFERROR(DATEVALUE(A306&amp;""),A306))*(ROW(SCD_Data!$A$3:$A$502)-2))),"—"))</f>
        <v/>
      </c>
      <c r="I306" s="25" t="str">
        <f aca="false">IF(A306="","",IFERROR(INDEX(SCD_Data!$D$3:$D$502,SUMPRODUCT((SCD_Data!$A$3:$A$502=B306)*(IFERROR(DATEVALUE(SCD_Data!$H$3:$H$502&amp;""),SCD_Data!$H$3:$H$502)&lt;=IFERROR(DATEVALUE(A306&amp;""),A306))*(IFERROR(DATEVALUE(SCD_Data!$I$3:$I$502&amp;""),SCD_Data!$I$3:$I$502)&gt;=IFERROR(DATEVALUE(A306&amp;""),A306))*(ROW(SCD_Data!$A$3:$A$502)-2))),"—"))</f>
        <v/>
      </c>
      <c r="J306" s="26" t="str">
        <f aca="false">IF(A306="","",IFERROR(INDEX(SCD_Data!$E$3:$E$502,SUMPRODUCT((SCD_Data!$A$3:$A$502=B306)*(IFERROR(DATEVALUE(SCD_Data!$H$3:$H$502&amp;""),SCD_Data!$H$3:$H$502)&lt;=IFERROR(DATEVALUE(A306&amp;""),A306))*(IFERROR(DATEVALUE(SCD_Data!$I$3:$I$502&amp;""),SCD_Data!$I$3:$I$502)&gt;=IFERROR(DATEVALUE(A306&amp;""),A306))*(ROW(SCD_Data!$A$3:$A$502)-2))),"—"))</f>
        <v/>
      </c>
      <c r="K306" s="25" t="str">
        <f aca="false">IF(A306="","",IFERROR(INDEX(SCD_Data!$F$3:$F$502,SUMPRODUCT((SCD_Data!$A$3:$A$502=B306)*(IFERROR(DATEVALUE(SCD_Data!$H$3:$H$502&amp;""),SCD_Data!$H$3:$H$502)&lt;=IFERROR(DATEVALUE(A306&amp;""),A306))*(IFERROR(DATEVALUE(SCD_Data!$I$3:$I$502&amp;""),SCD_Data!$I$3:$I$502)&gt;=IFERROR(DATEVALUE(A306&amp;""),A306))*(ROW(SCD_Data!$A$3:$A$502)-2))),"—"))</f>
        <v/>
      </c>
      <c r="L306" s="25" t="str">
        <f aca="false">IF(A306="","",IFERROR(INDEX(SCD_Data!$G$3:$G$502,SUMPRODUCT((SCD_Data!$A$3:$A$502=B306)*(IFERROR(DATEVALUE(SCD_Data!$H$3:$H$502&amp;""),SCD_Data!$H$3:$H$502)&lt;=IFERROR(DATEVALUE(A306&amp;""),A306))*(IFERROR(DATEVALUE(SCD_Data!$I$3:$I$502&amp;""),SCD_Data!$I$3:$I$502)&gt;=IFERROR(DATEVALUE(A306&amp;""),A306))*(ROW(SCD_Data!$A$3:$A$502)-2))),"—"))</f>
        <v/>
      </c>
      <c r="M306" s="27" t="str">
        <f aca="false">IF(A306="","",IF(H306="—","—",IF(C306&amp;""=H306&amp;"","✓","✗")))</f>
        <v/>
      </c>
      <c r="N306" s="27" t="str">
        <f aca="false">IF(A306="","",IF(H306="—","—",IF(D306&amp;""=I306&amp;"","✓","✗")))</f>
        <v/>
      </c>
      <c r="O306" s="27" t="str">
        <f aca="false">IF(A306="","",IF(H306="—","—",IF(ABS(E306-J306)&lt;0.01,"✓","✗")))</f>
        <v/>
      </c>
      <c r="P306" s="27" t="str">
        <f aca="false">IF(A306="","",IF(H306="—","—",IF(F306&amp;""=K306&amp;"","✓","✗")))</f>
        <v/>
      </c>
      <c r="Q306" s="27" t="str">
        <f aca="false">IF(A306="","",IF(H306="—","—",IF(G306&amp;""=L306&amp;"","✓","✗")))</f>
        <v/>
      </c>
      <c r="R306" s="27" t="str">
        <f aca="false">IF(A306="","",IF(COUNTIF(M306:Q306,"—")=5,"⚠ NO SCD ROW",IF(COUNTIF(M306:Q306,"✗")&gt;0,"❌ MISMATCH","✅ MATCH")))</f>
        <v/>
      </c>
    </row>
    <row r="307" customFormat="false" ht="15" hidden="false" customHeight="true" outlineLevel="0" collapsed="false">
      <c r="A307" s="22" t="str">
        <f aca="false">IF(Daily_Data!A306="","",Daily_Data!A306)</f>
        <v/>
      </c>
      <c r="B307" s="23" t="str">
        <f aca="false">IF(Daily_Data!B306="","",Daily_Data!B306)</f>
        <v/>
      </c>
      <c r="C307" s="23" t="str">
        <f aca="false">IF(A307="","",Daily_Data!C306)</f>
        <v/>
      </c>
      <c r="D307" s="23" t="str">
        <f aca="false">IF(A307="","",Daily_Data!D306)</f>
        <v/>
      </c>
      <c r="E307" s="24" t="str">
        <f aca="false">IF(A307="","",Daily_Data!E306)</f>
        <v/>
      </c>
      <c r="F307" s="23" t="str">
        <f aca="false">IF(A307="","",Daily_Data!F306)</f>
        <v/>
      </c>
      <c r="G307" s="23" t="str">
        <f aca="false">IF(A307="","",Daily_Data!G306)</f>
        <v/>
      </c>
      <c r="H307" s="25" t="str">
        <f aca="false">IF(A307="","",IFERROR(INDEX(SCD_Data!$C$3:$C$502,SUMPRODUCT((SCD_Data!$A$3:$A$502=B307)*(IFERROR(DATEVALUE(SCD_Data!$H$3:$H$502&amp;""),SCD_Data!$H$3:$H$502)&lt;=IFERROR(DATEVALUE(A307&amp;""),A307))*(IFERROR(DATEVALUE(SCD_Data!$I$3:$I$502&amp;""),SCD_Data!$I$3:$I$502)&gt;=IFERROR(DATEVALUE(A307&amp;""),A307))*(ROW(SCD_Data!$A$3:$A$502)-2))),"—"))</f>
        <v/>
      </c>
      <c r="I307" s="25" t="str">
        <f aca="false">IF(A307="","",IFERROR(INDEX(SCD_Data!$D$3:$D$502,SUMPRODUCT((SCD_Data!$A$3:$A$502=B307)*(IFERROR(DATEVALUE(SCD_Data!$H$3:$H$502&amp;""),SCD_Data!$H$3:$H$502)&lt;=IFERROR(DATEVALUE(A307&amp;""),A307))*(IFERROR(DATEVALUE(SCD_Data!$I$3:$I$502&amp;""),SCD_Data!$I$3:$I$502)&gt;=IFERROR(DATEVALUE(A307&amp;""),A307))*(ROW(SCD_Data!$A$3:$A$502)-2))),"—"))</f>
        <v/>
      </c>
      <c r="J307" s="26" t="str">
        <f aca="false">IF(A307="","",IFERROR(INDEX(SCD_Data!$E$3:$E$502,SUMPRODUCT((SCD_Data!$A$3:$A$502=B307)*(IFERROR(DATEVALUE(SCD_Data!$H$3:$H$502&amp;""),SCD_Data!$H$3:$H$502)&lt;=IFERROR(DATEVALUE(A307&amp;""),A307))*(IFERROR(DATEVALUE(SCD_Data!$I$3:$I$502&amp;""),SCD_Data!$I$3:$I$502)&gt;=IFERROR(DATEVALUE(A307&amp;""),A307))*(ROW(SCD_Data!$A$3:$A$502)-2))),"—"))</f>
        <v/>
      </c>
      <c r="K307" s="25" t="str">
        <f aca="false">IF(A307="","",IFERROR(INDEX(SCD_Data!$F$3:$F$502,SUMPRODUCT((SCD_Data!$A$3:$A$502=B307)*(IFERROR(DATEVALUE(SCD_Data!$H$3:$H$502&amp;""),SCD_Data!$H$3:$H$502)&lt;=IFERROR(DATEVALUE(A307&amp;""),A307))*(IFERROR(DATEVALUE(SCD_Data!$I$3:$I$502&amp;""),SCD_Data!$I$3:$I$502)&gt;=IFERROR(DATEVALUE(A307&amp;""),A307))*(ROW(SCD_Data!$A$3:$A$502)-2))),"—"))</f>
        <v/>
      </c>
      <c r="L307" s="25" t="str">
        <f aca="false">IF(A307="","",IFERROR(INDEX(SCD_Data!$G$3:$G$502,SUMPRODUCT((SCD_Data!$A$3:$A$502=B307)*(IFERROR(DATEVALUE(SCD_Data!$H$3:$H$502&amp;""),SCD_Data!$H$3:$H$502)&lt;=IFERROR(DATEVALUE(A307&amp;""),A307))*(IFERROR(DATEVALUE(SCD_Data!$I$3:$I$502&amp;""),SCD_Data!$I$3:$I$502)&gt;=IFERROR(DATEVALUE(A307&amp;""),A307))*(ROW(SCD_Data!$A$3:$A$502)-2))),"—"))</f>
        <v/>
      </c>
      <c r="M307" s="27" t="str">
        <f aca="false">IF(A307="","",IF(H307="—","—",IF(C307&amp;""=H307&amp;"","✓","✗")))</f>
        <v/>
      </c>
      <c r="N307" s="27" t="str">
        <f aca="false">IF(A307="","",IF(H307="—","—",IF(D307&amp;""=I307&amp;"","✓","✗")))</f>
        <v/>
      </c>
      <c r="O307" s="27" t="str">
        <f aca="false">IF(A307="","",IF(H307="—","—",IF(ABS(E307-J307)&lt;0.01,"✓","✗")))</f>
        <v/>
      </c>
      <c r="P307" s="27" t="str">
        <f aca="false">IF(A307="","",IF(H307="—","—",IF(F307&amp;""=K307&amp;"","✓","✗")))</f>
        <v/>
      </c>
      <c r="Q307" s="27" t="str">
        <f aca="false">IF(A307="","",IF(H307="—","—",IF(G307&amp;""=L307&amp;"","✓","✗")))</f>
        <v/>
      </c>
      <c r="R307" s="27" t="str">
        <f aca="false">IF(A307="","",IF(COUNTIF(M307:Q307,"—")=5,"⚠ NO SCD ROW",IF(COUNTIF(M307:Q307,"✗")&gt;0,"❌ MISMATCH","✅ MATCH")))</f>
        <v/>
      </c>
    </row>
    <row r="308" customFormat="false" ht="15" hidden="false" customHeight="true" outlineLevel="0" collapsed="false">
      <c r="A308" s="22" t="str">
        <f aca="false">IF(Daily_Data!A307="","",Daily_Data!A307)</f>
        <v/>
      </c>
      <c r="B308" s="23" t="str">
        <f aca="false">IF(Daily_Data!B307="","",Daily_Data!B307)</f>
        <v/>
      </c>
      <c r="C308" s="23" t="str">
        <f aca="false">IF(A308="","",Daily_Data!C307)</f>
        <v/>
      </c>
      <c r="D308" s="23" t="str">
        <f aca="false">IF(A308="","",Daily_Data!D307)</f>
        <v/>
      </c>
      <c r="E308" s="24" t="str">
        <f aca="false">IF(A308="","",Daily_Data!E307)</f>
        <v/>
      </c>
      <c r="F308" s="23" t="str">
        <f aca="false">IF(A308="","",Daily_Data!F307)</f>
        <v/>
      </c>
      <c r="G308" s="23" t="str">
        <f aca="false">IF(A308="","",Daily_Data!G307)</f>
        <v/>
      </c>
      <c r="H308" s="25" t="str">
        <f aca="false">IF(A308="","",IFERROR(INDEX(SCD_Data!$C$3:$C$502,SUMPRODUCT((SCD_Data!$A$3:$A$502=B308)*(IFERROR(DATEVALUE(SCD_Data!$H$3:$H$502&amp;""),SCD_Data!$H$3:$H$502)&lt;=IFERROR(DATEVALUE(A308&amp;""),A308))*(IFERROR(DATEVALUE(SCD_Data!$I$3:$I$502&amp;""),SCD_Data!$I$3:$I$502)&gt;=IFERROR(DATEVALUE(A308&amp;""),A308))*(ROW(SCD_Data!$A$3:$A$502)-2))),"—"))</f>
        <v/>
      </c>
      <c r="I308" s="25" t="str">
        <f aca="false">IF(A308="","",IFERROR(INDEX(SCD_Data!$D$3:$D$502,SUMPRODUCT((SCD_Data!$A$3:$A$502=B308)*(IFERROR(DATEVALUE(SCD_Data!$H$3:$H$502&amp;""),SCD_Data!$H$3:$H$502)&lt;=IFERROR(DATEVALUE(A308&amp;""),A308))*(IFERROR(DATEVALUE(SCD_Data!$I$3:$I$502&amp;""),SCD_Data!$I$3:$I$502)&gt;=IFERROR(DATEVALUE(A308&amp;""),A308))*(ROW(SCD_Data!$A$3:$A$502)-2))),"—"))</f>
        <v/>
      </c>
      <c r="J308" s="26" t="str">
        <f aca="false">IF(A308="","",IFERROR(INDEX(SCD_Data!$E$3:$E$502,SUMPRODUCT((SCD_Data!$A$3:$A$502=B308)*(IFERROR(DATEVALUE(SCD_Data!$H$3:$H$502&amp;""),SCD_Data!$H$3:$H$502)&lt;=IFERROR(DATEVALUE(A308&amp;""),A308))*(IFERROR(DATEVALUE(SCD_Data!$I$3:$I$502&amp;""),SCD_Data!$I$3:$I$502)&gt;=IFERROR(DATEVALUE(A308&amp;""),A308))*(ROW(SCD_Data!$A$3:$A$502)-2))),"—"))</f>
        <v/>
      </c>
      <c r="K308" s="25" t="str">
        <f aca="false">IF(A308="","",IFERROR(INDEX(SCD_Data!$F$3:$F$502,SUMPRODUCT((SCD_Data!$A$3:$A$502=B308)*(IFERROR(DATEVALUE(SCD_Data!$H$3:$H$502&amp;""),SCD_Data!$H$3:$H$502)&lt;=IFERROR(DATEVALUE(A308&amp;""),A308))*(IFERROR(DATEVALUE(SCD_Data!$I$3:$I$502&amp;""),SCD_Data!$I$3:$I$502)&gt;=IFERROR(DATEVALUE(A308&amp;""),A308))*(ROW(SCD_Data!$A$3:$A$502)-2))),"—"))</f>
        <v/>
      </c>
      <c r="L308" s="25" t="str">
        <f aca="false">IF(A308="","",IFERROR(INDEX(SCD_Data!$G$3:$G$502,SUMPRODUCT((SCD_Data!$A$3:$A$502=B308)*(IFERROR(DATEVALUE(SCD_Data!$H$3:$H$502&amp;""),SCD_Data!$H$3:$H$502)&lt;=IFERROR(DATEVALUE(A308&amp;""),A308))*(IFERROR(DATEVALUE(SCD_Data!$I$3:$I$502&amp;""),SCD_Data!$I$3:$I$502)&gt;=IFERROR(DATEVALUE(A308&amp;""),A308))*(ROW(SCD_Data!$A$3:$A$502)-2))),"—"))</f>
        <v/>
      </c>
      <c r="M308" s="27" t="str">
        <f aca="false">IF(A308="","",IF(H308="—","—",IF(C308&amp;""=H308&amp;"","✓","✗")))</f>
        <v/>
      </c>
      <c r="N308" s="27" t="str">
        <f aca="false">IF(A308="","",IF(H308="—","—",IF(D308&amp;""=I308&amp;"","✓","✗")))</f>
        <v/>
      </c>
      <c r="O308" s="27" t="str">
        <f aca="false">IF(A308="","",IF(H308="—","—",IF(ABS(E308-J308)&lt;0.01,"✓","✗")))</f>
        <v/>
      </c>
      <c r="P308" s="27" t="str">
        <f aca="false">IF(A308="","",IF(H308="—","—",IF(F308&amp;""=K308&amp;"","✓","✗")))</f>
        <v/>
      </c>
      <c r="Q308" s="27" t="str">
        <f aca="false">IF(A308="","",IF(H308="—","—",IF(G308&amp;""=L308&amp;"","✓","✗")))</f>
        <v/>
      </c>
      <c r="R308" s="27" t="str">
        <f aca="false">IF(A308="","",IF(COUNTIF(M308:Q308,"—")=5,"⚠ NO SCD ROW",IF(COUNTIF(M308:Q308,"✗")&gt;0,"❌ MISMATCH","✅ MATCH")))</f>
        <v/>
      </c>
    </row>
    <row r="309" customFormat="false" ht="15" hidden="false" customHeight="true" outlineLevel="0" collapsed="false">
      <c r="A309" s="22" t="str">
        <f aca="false">IF(Daily_Data!A308="","",Daily_Data!A308)</f>
        <v/>
      </c>
      <c r="B309" s="23" t="str">
        <f aca="false">IF(Daily_Data!B308="","",Daily_Data!B308)</f>
        <v/>
      </c>
      <c r="C309" s="23" t="str">
        <f aca="false">IF(A309="","",Daily_Data!C308)</f>
        <v/>
      </c>
      <c r="D309" s="23" t="str">
        <f aca="false">IF(A309="","",Daily_Data!D308)</f>
        <v/>
      </c>
      <c r="E309" s="24" t="str">
        <f aca="false">IF(A309="","",Daily_Data!E308)</f>
        <v/>
      </c>
      <c r="F309" s="23" t="str">
        <f aca="false">IF(A309="","",Daily_Data!F308)</f>
        <v/>
      </c>
      <c r="G309" s="23" t="str">
        <f aca="false">IF(A309="","",Daily_Data!G308)</f>
        <v/>
      </c>
      <c r="H309" s="25" t="str">
        <f aca="false">IF(A309="","",IFERROR(INDEX(SCD_Data!$C$3:$C$502,SUMPRODUCT((SCD_Data!$A$3:$A$502=B309)*(IFERROR(DATEVALUE(SCD_Data!$H$3:$H$502&amp;""),SCD_Data!$H$3:$H$502)&lt;=IFERROR(DATEVALUE(A309&amp;""),A309))*(IFERROR(DATEVALUE(SCD_Data!$I$3:$I$502&amp;""),SCD_Data!$I$3:$I$502)&gt;=IFERROR(DATEVALUE(A309&amp;""),A309))*(ROW(SCD_Data!$A$3:$A$502)-2))),"—"))</f>
        <v/>
      </c>
      <c r="I309" s="25" t="str">
        <f aca="false">IF(A309="","",IFERROR(INDEX(SCD_Data!$D$3:$D$502,SUMPRODUCT((SCD_Data!$A$3:$A$502=B309)*(IFERROR(DATEVALUE(SCD_Data!$H$3:$H$502&amp;""),SCD_Data!$H$3:$H$502)&lt;=IFERROR(DATEVALUE(A309&amp;""),A309))*(IFERROR(DATEVALUE(SCD_Data!$I$3:$I$502&amp;""),SCD_Data!$I$3:$I$502)&gt;=IFERROR(DATEVALUE(A309&amp;""),A309))*(ROW(SCD_Data!$A$3:$A$502)-2))),"—"))</f>
        <v/>
      </c>
      <c r="J309" s="26" t="str">
        <f aca="false">IF(A309="","",IFERROR(INDEX(SCD_Data!$E$3:$E$502,SUMPRODUCT((SCD_Data!$A$3:$A$502=B309)*(IFERROR(DATEVALUE(SCD_Data!$H$3:$H$502&amp;""),SCD_Data!$H$3:$H$502)&lt;=IFERROR(DATEVALUE(A309&amp;""),A309))*(IFERROR(DATEVALUE(SCD_Data!$I$3:$I$502&amp;""),SCD_Data!$I$3:$I$502)&gt;=IFERROR(DATEVALUE(A309&amp;""),A309))*(ROW(SCD_Data!$A$3:$A$502)-2))),"—"))</f>
        <v/>
      </c>
      <c r="K309" s="25" t="str">
        <f aca="false">IF(A309="","",IFERROR(INDEX(SCD_Data!$F$3:$F$502,SUMPRODUCT((SCD_Data!$A$3:$A$502=B309)*(IFERROR(DATEVALUE(SCD_Data!$H$3:$H$502&amp;""),SCD_Data!$H$3:$H$502)&lt;=IFERROR(DATEVALUE(A309&amp;""),A309))*(IFERROR(DATEVALUE(SCD_Data!$I$3:$I$502&amp;""),SCD_Data!$I$3:$I$502)&gt;=IFERROR(DATEVALUE(A309&amp;""),A309))*(ROW(SCD_Data!$A$3:$A$502)-2))),"—"))</f>
        <v/>
      </c>
      <c r="L309" s="25" t="str">
        <f aca="false">IF(A309="","",IFERROR(INDEX(SCD_Data!$G$3:$G$502,SUMPRODUCT((SCD_Data!$A$3:$A$502=B309)*(IFERROR(DATEVALUE(SCD_Data!$H$3:$H$502&amp;""),SCD_Data!$H$3:$H$502)&lt;=IFERROR(DATEVALUE(A309&amp;""),A309))*(IFERROR(DATEVALUE(SCD_Data!$I$3:$I$502&amp;""),SCD_Data!$I$3:$I$502)&gt;=IFERROR(DATEVALUE(A309&amp;""),A309))*(ROW(SCD_Data!$A$3:$A$502)-2))),"—"))</f>
        <v/>
      </c>
      <c r="M309" s="27" t="str">
        <f aca="false">IF(A309="","",IF(H309="—","—",IF(C309&amp;""=H309&amp;"","✓","✗")))</f>
        <v/>
      </c>
      <c r="N309" s="27" t="str">
        <f aca="false">IF(A309="","",IF(H309="—","—",IF(D309&amp;""=I309&amp;"","✓","✗")))</f>
        <v/>
      </c>
      <c r="O309" s="27" t="str">
        <f aca="false">IF(A309="","",IF(H309="—","—",IF(ABS(E309-J309)&lt;0.01,"✓","✗")))</f>
        <v/>
      </c>
      <c r="P309" s="27" t="str">
        <f aca="false">IF(A309="","",IF(H309="—","—",IF(F309&amp;""=K309&amp;"","✓","✗")))</f>
        <v/>
      </c>
      <c r="Q309" s="27" t="str">
        <f aca="false">IF(A309="","",IF(H309="—","—",IF(G309&amp;""=L309&amp;"","✓","✗")))</f>
        <v/>
      </c>
      <c r="R309" s="27" t="str">
        <f aca="false">IF(A309="","",IF(COUNTIF(M309:Q309,"—")=5,"⚠ NO SCD ROW",IF(COUNTIF(M309:Q309,"✗")&gt;0,"❌ MISMATCH","✅ MATCH")))</f>
        <v/>
      </c>
    </row>
    <row r="310" customFormat="false" ht="15" hidden="false" customHeight="true" outlineLevel="0" collapsed="false">
      <c r="A310" s="22" t="str">
        <f aca="false">IF(Daily_Data!A309="","",Daily_Data!A309)</f>
        <v/>
      </c>
      <c r="B310" s="23" t="str">
        <f aca="false">IF(Daily_Data!B309="","",Daily_Data!B309)</f>
        <v/>
      </c>
      <c r="C310" s="23" t="str">
        <f aca="false">IF(A310="","",Daily_Data!C309)</f>
        <v/>
      </c>
      <c r="D310" s="23" t="str">
        <f aca="false">IF(A310="","",Daily_Data!D309)</f>
        <v/>
      </c>
      <c r="E310" s="24" t="str">
        <f aca="false">IF(A310="","",Daily_Data!E309)</f>
        <v/>
      </c>
      <c r="F310" s="23" t="str">
        <f aca="false">IF(A310="","",Daily_Data!F309)</f>
        <v/>
      </c>
      <c r="G310" s="23" t="str">
        <f aca="false">IF(A310="","",Daily_Data!G309)</f>
        <v/>
      </c>
      <c r="H310" s="25" t="str">
        <f aca="false">IF(A310="","",IFERROR(INDEX(SCD_Data!$C$3:$C$502,SUMPRODUCT((SCD_Data!$A$3:$A$502=B310)*(IFERROR(DATEVALUE(SCD_Data!$H$3:$H$502&amp;""),SCD_Data!$H$3:$H$502)&lt;=IFERROR(DATEVALUE(A310&amp;""),A310))*(IFERROR(DATEVALUE(SCD_Data!$I$3:$I$502&amp;""),SCD_Data!$I$3:$I$502)&gt;=IFERROR(DATEVALUE(A310&amp;""),A310))*(ROW(SCD_Data!$A$3:$A$502)-2))),"—"))</f>
        <v/>
      </c>
      <c r="I310" s="25" t="str">
        <f aca="false">IF(A310="","",IFERROR(INDEX(SCD_Data!$D$3:$D$502,SUMPRODUCT((SCD_Data!$A$3:$A$502=B310)*(IFERROR(DATEVALUE(SCD_Data!$H$3:$H$502&amp;""),SCD_Data!$H$3:$H$502)&lt;=IFERROR(DATEVALUE(A310&amp;""),A310))*(IFERROR(DATEVALUE(SCD_Data!$I$3:$I$502&amp;""),SCD_Data!$I$3:$I$502)&gt;=IFERROR(DATEVALUE(A310&amp;""),A310))*(ROW(SCD_Data!$A$3:$A$502)-2))),"—"))</f>
        <v/>
      </c>
      <c r="J310" s="26" t="str">
        <f aca="false">IF(A310="","",IFERROR(INDEX(SCD_Data!$E$3:$E$502,SUMPRODUCT((SCD_Data!$A$3:$A$502=B310)*(IFERROR(DATEVALUE(SCD_Data!$H$3:$H$502&amp;""),SCD_Data!$H$3:$H$502)&lt;=IFERROR(DATEVALUE(A310&amp;""),A310))*(IFERROR(DATEVALUE(SCD_Data!$I$3:$I$502&amp;""),SCD_Data!$I$3:$I$502)&gt;=IFERROR(DATEVALUE(A310&amp;""),A310))*(ROW(SCD_Data!$A$3:$A$502)-2))),"—"))</f>
        <v/>
      </c>
      <c r="K310" s="25" t="str">
        <f aca="false">IF(A310="","",IFERROR(INDEX(SCD_Data!$F$3:$F$502,SUMPRODUCT((SCD_Data!$A$3:$A$502=B310)*(IFERROR(DATEVALUE(SCD_Data!$H$3:$H$502&amp;""),SCD_Data!$H$3:$H$502)&lt;=IFERROR(DATEVALUE(A310&amp;""),A310))*(IFERROR(DATEVALUE(SCD_Data!$I$3:$I$502&amp;""),SCD_Data!$I$3:$I$502)&gt;=IFERROR(DATEVALUE(A310&amp;""),A310))*(ROW(SCD_Data!$A$3:$A$502)-2))),"—"))</f>
        <v/>
      </c>
      <c r="L310" s="25" t="str">
        <f aca="false">IF(A310="","",IFERROR(INDEX(SCD_Data!$G$3:$G$502,SUMPRODUCT((SCD_Data!$A$3:$A$502=B310)*(IFERROR(DATEVALUE(SCD_Data!$H$3:$H$502&amp;""),SCD_Data!$H$3:$H$502)&lt;=IFERROR(DATEVALUE(A310&amp;""),A310))*(IFERROR(DATEVALUE(SCD_Data!$I$3:$I$502&amp;""),SCD_Data!$I$3:$I$502)&gt;=IFERROR(DATEVALUE(A310&amp;""),A310))*(ROW(SCD_Data!$A$3:$A$502)-2))),"—"))</f>
        <v/>
      </c>
      <c r="M310" s="27" t="str">
        <f aca="false">IF(A310="","",IF(H310="—","—",IF(C310&amp;""=H310&amp;"","✓","✗")))</f>
        <v/>
      </c>
      <c r="N310" s="27" t="str">
        <f aca="false">IF(A310="","",IF(H310="—","—",IF(D310&amp;""=I310&amp;"","✓","✗")))</f>
        <v/>
      </c>
      <c r="O310" s="27" t="str">
        <f aca="false">IF(A310="","",IF(H310="—","—",IF(ABS(E310-J310)&lt;0.01,"✓","✗")))</f>
        <v/>
      </c>
      <c r="P310" s="27" t="str">
        <f aca="false">IF(A310="","",IF(H310="—","—",IF(F310&amp;""=K310&amp;"","✓","✗")))</f>
        <v/>
      </c>
      <c r="Q310" s="27" t="str">
        <f aca="false">IF(A310="","",IF(H310="—","—",IF(G310&amp;""=L310&amp;"","✓","✗")))</f>
        <v/>
      </c>
      <c r="R310" s="27" t="str">
        <f aca="false">IF(A310="","",IF(COUNTIF(M310:Q310,"—")=5,"⚠ NO SCD ROW",IF(COUNTIF(M310:Q310,"✗")&gt;0,"❌ MISMATCH","✅ MATCH")))</f>
        <v/>
      </c>
    </row>
    <row r="311" customFormat="false" ht="15" hidden="false" customHeight="true" outlineLevel="0" collapsed="false">
      <c r="A311" s="22" t="str">
        <f aca="false">IF(Daily_Data!A310="","",Daily_Data!A310)</f>
        <v/>
      </c>
      <c r="B311" s="23" t="str">
        <f aca="false">IF(Daily_Data!B310="","",Daily_Data!B310)</f>
        <v/>
      </c>
      <c r="C311" s="23" t="str">
        <f aca="false">IF(A311="","",Daily_Data!C310)</f>
        <v/>
      </c>
      <c r="D311" s="23" t="str">
        <f aca="false">IF(A311="","",Daily_Data!D310)</f>
        <v/>
      </c>
      <c r="E311" s="24" t="str">
        <f aca="false">IF(A311="","",Daily_Data!E310)</f>
        <v/>
      </c>
      <c r="F311" s="23" t="str">
        <f aca="false">IF(A311="","",Daily_Data!F310)</f>
        <v/>
      </c>
      <c r="G311" s="23" t="str">
        <f aca="false">IF(A311="","",Daily_Data!G310)</f>
        <v/>
      </c>
      <c r="H311" s="25" t="str">
        <f aca="false">IF(A311="","",IFERROR(INDEX(SCD_Data!$C$3:$C$502,SUMPRODUCT((SCD_Data!$A$3:$A$502=B311)*(IFERROR(DATEVALUE(SCD_Data!$H$3:$H$502&amp;""),SCD_Data!$H$3:$H$502)&lt;=IFERROR(DATEVALUE(A311&amp;""),A311))*(IFERROR(DATEVALUE(SCD_Data!$I$3:$I$502&amp;""),SCD_Data!$I$3:$I$502)&gt;=IFERROR(DATEVALUE(A311&amp;""),A311))*(ROW(SCD_Data!$A$3:$A$502)-2))),"—"))</f>
        <v/>
      </c>
      <c r="I311" s="25" t="str">
        <f aca="false">IF(A311="","",IFERROR(INDEX(SCD_Data!$D$3:$D$502,SUMPRODUCT((SCD_Data!$A$3:$A$502=B311)*(IFERROR(DATEVALUE(SCD_Data!$H$3:$H$502&amp;""),SCD_Data!$H$3:$H$502)&lt;=IFERROR(DATEVALUE(A311&amp;""),A311))*(IFERROR(DATEVALUE(SCD_Data!$I$3:$I$502&amp;""),SCD_Data!$I$3:$I$502)&gt;=IFERROR(DATEVALUE(A311&amp;""),A311))*(ROW(SCD_Data!$A$3:$A$502)-2))),"—"))</f>
        <v/>
      </c>
      <c r="J311" s="26" t="str">
        <f aca="false">IF(A311="","",IFERROR(INDEX(SCD_Data!$E$3:$E$502,SUMPRODUCT((SCD_Data!$A$3:$A$502=B311)*(IFERROR(DATEVALUE(SCD_Data!$H$3:$H$502&amp;""),SCD_Data!$H$3:$H$502)&lt;=IFERROR(DATEVALUE(A311&amp;""),A311))*(IFERROR(DATEVALUE(SCD_Data!$I$3:$I$502&amp;""),SCD_Data!$I$3:$I$502)&gt;=IFERROR(DATEVALUE(A311&amp;""),A311))*(ROW(SCD_Data!$A$3:$A$502)-2))),"—"))</f>
        <v/>
      </c>
      <c r="K311" s="25" t="str">
        <f aca="false">IF(A311="","",IFERROR(INDEX(SCD_Data!$F$3:$F$502,SUMPRODUCT((SCD_Data!$A$3:$A$502=B311)*(IFERROR(DATEVALUE(SCD_Data!$H$3:$H$502&amp;""),SCD_Data!$H$3:$H$502)&lt;=IFERROR(DATEVALUE(A311&amp;""),A311))*(IFERROR(DATEVALUE(SCD_Data!$I$3:$I$502&amp;""),SCD_Data!$I$3:$I$502)&gt;=IFERROR(DATEVALUE(A311&amp;""),A311))*(ROW(SCD_Data!$A$3:$A$502)-2))),"—"))</f>
        <v/>
      </c>
      <c r="L311" s="25" t="str">
        <f aca="false">IF(A311="","",IFERROR(INDEX(SCD_Data!$G$3:$G$502,SUMPRODUCT((SCD_Data!$A$3:$A$502=B311)*(IFERROR(DATEVALUE(SCD_Data!$H$3:$H$502&amp;""),SCD_Data!$H$3:$H$502)&lt;=IFERROR(DATEVALUE(A311&amp;""),A311))*(IFERROR(DATEVALUE(SCD_Data!$I$3:$I$502&amp;""),SCD_Data!$I$3:$I$502)&gt;=IFERROR(DATEVALUE(A311&amp;""),A311))*(ROW(SCD_Data!$A$3:$A$502)-2))),"—"))</f>
        <v/>
      </c>
      <c r="M311" s="27" t="str">
        <f aca="false">IF(A311="","",IF(H311="—","—",IF(C311&amp;""=H311&amp;"","✓","✗")))</f>
        <v/>
      </c>
      <c r="N311" s="27" t="str">
        <f aca="false">IF(A311="","",IF(H311="—","—",IF(D311&amp;""=I311&amp;"","✓","✗")))</f>
        <v/>
      </c>
      <c r="O311" s="27" t="str">
        <f aca="false">IF(A311="","",IF(H311="—","—",IF(ABS(E311-J311)&lt;0.01,"✓","✗")))</f>
        <v/>
      </c>
      <c r="P311" s="27" t="str">
        <f aca="false">IF(A311="","",IF(H311="—","—",IF(F311&amp;""=K311&amp;"","✓","✗")))</f>
        <v/>
      </c>
      <c r="Q311" s="27" t="str">
        <f aca="false">IF(A311="","",IF(H311="—","—",IF(G311&amp;""=L311&amp;"","✓","✗")))</f>
        <v/>
      </c>
      <c r="R311" s="27" t="str">
        <f aca="false">IF(A311="","",IF(COUNTIF(M311:Q311,"—")=5,"⚠ NO SCD ROW",IF(COUNTIF(M311:Q311,"✗")&gt;0,"❌ MISMATCH","✅ MATCH")))</f>
        <v/>
      </c>
    </row>
    <row r="312" customFormat="false" ht="15" hidden="false" customHeight="true" outlineLevel="0" collapsed="false">
      <c r="A312" s="22" t="str">
        <f aca="false">IF(Daily_Data!A311="","",Daily_Data!A311)</f>
        <v/>
      </c>
      <c r="B312" s="23" t="str">
        <f aca="false">IF(Daily_Data!B311="","",Daily_Data!B311)</f>
        <v/>
      </c>
      <c r="C312" s="23" t="str">
        <f aca="false">IF(A312="","",Daily_Data!C311)</f>
        <v/>
      </c>
      <c r="D312" s="23" t="str">
        <f aca="false">IF(A312="","",Daily_Data!D311)</f>
        <v/>
      </c>
      <c r="E312" s="24" t="str">
        <f aca="false">IF(A312="","",Daily_Data!E311)</f>
        <v/>
      </c>
      <c r="F312" s="23" t="str">
        <f aca="false">IF(A312="","",Daily_Data!F311)</f>
        <v/>
      </c>
      <c r="G312" s="23" t="str">
        <f aca="false">IF(A312="","",Daily_Data!G311)</f>
        <v/>
      </c>
      <c r="H312" s="25" t="str">
        <f aca="false">IF(A312="","",IFERROR(INDEX(SCD_Data!$C$3:$C$502,SUMPRODUCT((SCD_Data!$A$3:$A$502=B312)*(IFERROR(DATEVALUE(SCD_Data!$H$3:$H$502&amp;""),SCD_Data!$H$3:$H$502)&lt;=IFERROR(DATEVALUE(A312&amp;""),A312))*(IFERROR(DATEVALUE(SCD_Data!$I$3:$I$502&amp;""),SCD_Data!$I$3:$I$502)&gt;=IFERROR(DATEVALUE(A312&amp;""),A312))*(ROW(SCD_Data!$A$3:$A$502)-2))),"—"))</f>
        <v/>
      </c>
      <c r="I312" s="25" t="str">
        <f aca="false">IF(A312="","",IFERROR(INDEX(SCD_Data!$D$3:$D$502,SUMPRODUCT((SCD_Data!$A$3:$A$502=B312)*(IFERROR(DATEVALUE(SCD_Data!$H$3:$H$502&amp;""),SCD_Data!$H$3:$H$502)&lt;=IFERROR(DATEVALUE(A312&amp;""),A312))*(IFERROR(DATEVALUE(SCD_Data!$I$3:$I$502&amp;""),SCD_Data!$I$3:$I$502)&gt;=IFERROR(DATEVALUE(A312&amp;""),A312))*(ROW(SCD_Data!$A$3:$A$502)-2))),"—"))</f>
        <v/>
      </c>
      <c r="J312" s="26" t="str">
        <f aca="false">IF(A312="","",IFERROR(INDEX(SCD_Data!$E$3:$E$502,SUMPRODUCT((SCD_Data!$A$3:$A$502=B312)*(IFERROR(DATEVALUE(SCD_Data!$H$3:$H$502&amp;""),SCD_Data!$H$3:$H$502)&lt;=IFERROR(DATEVALUE(A312&amp;""),A312))*(IFERROR(DATEVALUE(SCD_Data!$I$3:$I$502&amp;""),SCD_Data!$I$3:$I$502)&gt;=IFERROR(DATEVALUE(A312&amp;""),A312))*(ROW(SCD_Data!$A$3:$A$502)-2))),"—"))</f>
        <v/>
      </c>
      <c r="K312" s="25" t="str">
        <f aca="false">IF(A312="","",IFERROR(INDEX(SCD_Data!$F$3:$F$502,SUMPRODUCT((SCD_Data!$A$3:$A$502=B312)*(IFERROR(DATEVALUE(SCD_Data!$H$3:$H$502&amp;""),SCD_Data!$H$3:$H$502)&lt;=IFERROR(DATEVALUE(A312&amp;""),A312))*(IFERROR(DATEVALUE(SCD_Data!$I$3:$I$502&amp;""),SCD_Data!$I$3:$I$502)&gt;=IFERROR(DATEVALUE(A312&amp;""),A312))*(ROW(SCD_Data!$A$3:$A$502)-2))),"—"))</f>
        <v/>
      </c>
      <c r="L312" s="25" t="str">
        <f aca="false">IF(A312="","",IFERROR(INDEX(SCD_Data!$G$3:$G$502,SUMPRODUCT((SCD_Data!$A$3:$A$502=B312)*(IFERROR(DATEVALUE(SCD_Data!$H$3:$H$502&amp;""),SCD_Data!$H$3:$H$502)&lt;=IFERROR(DATEVALUE(A312&amp;""),A312))*(IFERROR(DATEVALUE(SCD_Data!$I$3:$I$502&amp;""),SCD_Data!$I$3:$I$502)&gt;=IFERROR(DATEVALUE(A312&amp;""),A312))*(ROW(SCD_Data!$A$3:$A$502)-2))),"—"))</f>
        <v/>
      </c>
      <c r="M312" s="27" t="str">
        <f aca="false">IF(A312="","",IF(H312="—","—",IF(C312&amp;""=H312&amp;"","✓","✗")))</f>
        <v/>
      </c>
      <c r="N312" s="27" t="str">
        <f aca="false">IF(A312="","",IF(H312="—","—",IF(D312&amp;""=I312&amp;"","✓","✗")))</f>
        <v/>
      </c>
      <c r="O312" s="27" t="str">
        <f aca="false">IF(A312="","",IF(H312="—","—",IF(ABS(E312-J312)&lt;0.01,"✓","✗")))</f>
        <v/>
      </c>
      <c r="P312" s="27" t="str">
        <f aca="false">IF(A312="","",IF(H312="—","—",IF(F312&amp;""=K312&amp;"","✓","✗")))</f>
        <v/>
      </c>
      <c r="Q312" s="27" t="str">
        <f aca="false">IF(A312="","",IF(H312="—","—",IF(G312&amp;""=L312&amp;"","✓","✗")))</f>
        <v/>
      </c>
      <c r="R312" s="27" t="str">
        <f aca="false">IF(A312="","",IF(COUNTIF(M312:Q312,"—")=5,"⚠ NO SCD ROW",IF(COUNTIF(M312:Q312,"✗")&gt;0,"❌ MISMATCH","✅ MATCH")))</f>
        <v/>
      </c>
    </row>
    <row r="313" customFormat="false" ht="15" hidden="false" customHeight="true" outlineLevel="0" collapsed="false">
      <c r="A313" s="22" t="str">
        <f aca="false">IF(Daily_Data!A312="","",Daily_Data!A312)</f>
        <v/>
      </c>
      <c r="B313" s="23" t="str">
        <f aca="false">IF(Daily_Data!B312="","",Daily_Data!B312)</f>
        <v/>
      </c>
      <c r="C313" s="23" t="str">
        <f aca="false">IF(A313="","",Daily_Data!C312)</f>
        <v/>
      </c>
      <c r="D313" s="23" t="str">
        <f aca="false">IF(A313="","",Daily_Data!D312)</f>
        <v/>
      </c>
      <c r="E313" s="24" t="str">
        <f aca="false">IF(A313="","",Daily_Data!E312)</f>
        <v/>
      </c>
      <c r="F313" s="23" t="str">
        <f aca="false">IF(A313="","",Daily_Data!F312)</f>
        <v/>
      </c>
      <c r="G313" s="23" t="str">
        <f aca="false">IF(A313="","",Daily_Data!G312)</f>
        <v/>
      </c>
      <c r="H313" s="25" t="str">
        <f aca="false">IF(A313="","",IFERROR(INDEX(SCD_Data!$C$3:$C$502,SUMPRODUCT((SCD_Data!$A$3:$A$502=B313)*(IFERROR(DATEVALUE(SCD_Data!$H$3:$H$502&amp;""),SCD_Data!$H$3:$H$502)&lt;=IFERROR(DATEVALUE(A313&amp;""),A313))*(IFERROR(DATEVALUE(SCD_Data!$I$3:$I$502&amp;""),SCD_Data!$I$3:$I$502)&gt;=IFERROR(DATEVALUE(A313&amp;""),A313))*(ROW(SCD_Data!$A$3:$A$502)-2))),"—"))</f>
        <v/>
      </c>
      <c r="I313" s="25" t="str">
        <f aca="false">IF(A313="","",IFERROR(INDEX(SCD_Data!$D$3:$D$502,SUMPRODUCT((SCD_Data!$A$3:$A$502=B313)*(IFERROR(DATEVALUE(SCD_Data!$H$3:$H$502&amp;""),SCD_Data!$H$3:$H$502)&lt;=IFERROR(DATEVALUE(A313&amp;""),A313))*(IFERROR(DATEVALUE(SCD_Data!$I$3:$I$502&amp;""),SCD_Data!$I$3:$I$502)&gt;=IFERROR(DATEVALUE(A313&amp;""),A313))*(ROW(SCD_Data!$A$3:$A$502)-2))),"—"))</f>
        <v/>
      </c>
      <c r="J313" s="26" t="str">
        <f aca="false">IF(A313="","",IFERROR(INDEX(SCD_Data!$E$3:$E$502,SUMPRODUCT((SCD_Data!$A$3:$A$502=B313)*(IFERROR(DATEVALUE(SCD_Data!$H$3:$H$502&amp;""),SCD_Data!$H$3:$H$502)&lt;=IFERROR(DATEVALUE(A313&amp;""),A313))*(IFERROR(DATEVALUE(SCD_Data!$I$3:$I$502&amp;""),SCD_Data!$I$3:$I$502)&gt;=IFERROR(DATEVALUE(A313&amp;""),A313))*(ROW(SCD_Data!$A$3:$A$502)-2))),"—"))</f>
        <v/>
      </c>
      <c r="K313" s="25" t="str">
        <f aca="false">IF(A313="","",IFERROR(INDEX(SCD_Data!$F$3:$F$502,SUMPRODUCT((SCD_Data!$A$3:$A$502=B313)*(IFERROR(DATEVALUE(SCD_Data!$H$3:$H$502&amp;""),SCD_Data!$H$3:$H$502)&lt;=IFERROR(DATEVALUE(A313&amp;""),A313))*(IFERROR(DATEVALUE(SCD_Data!$I$3:$I$502&amp;""),SCD_Data!$I$3:$I$502)&gt;=IFERROR(DATEVALUE(A313&amp;""),A313))*(ROW(SCD_Data!$A$3:$A$502)-2))),"—"))</f>
        <v/>
      </c>
      <c r="L313" s="25" t="str">
        <f aca="false">IF(A313="","",IFERROR(INDEX(SCD_Data!$G$3:$G$502,SUMPRODUCT((SCD_Data!$A$3:$A$502=B313)*(IFERROR(DATEVALUE(SCD_Data!$H$3:$H$502&amp;""),SCD_Data!$H$3:$H$502)&lt;=IFERROR(DATEVALUE(A313&amp;""),A313))*(IFERROR(DATEVALUE(SCD_Data!$I$3:$I$502&amp;""),SCD_Data!$I$3:$I$502)&gt;=IFERROR(DATEVALUE(A313&amp;""),A313))*(ROW(SCD_Data!$A$3:$A$502)-2))),"—"))</f>
        <v/>
      </c>
      <c r="M313" s="27" t="str">
        <f aca="false">IF(A313="","",IF(H313="—","—",IF(C313&amp;""=H313&amp;"","✓","✗")))</f>
        <v/>
      </c>
      <c r="N313" s="27" t="str">
        <f aca="false">IF(A313="","",IF(H313="—","—",IF(D313&amp;""=I313&amp;"","✓","✗")))</f>
        <v/>
      </c>
      <c r="O313" s="27" t="str">
        <f aca="false">IF(A313="","",IF(H313="—","—",IF(ABS(E313-J313)&lt;0.01,"✓","✗")))</f>
        <v/>
      </c>
      <c r="P313" s="27" t="str">
        <f aca="false">IF(A313="","",IF(H313="—","—",IF(F313&amp;""=K313&amp;"","✓","✗")))</f>
        <v/>
      </c>
      <c r="Q313" s="27" t="str">
        <f aca="false">IF(A313="","",IF(H313="—","—",IF(G313&amp;""=L313&amp;"","✓","✗")))</f>
        <v/>
      </c>
      <c r="R313" s="27" t="str">
        <f aca="false">IF(A313="","",IF(COUNTIF(M313:Q313,"—")=5,"⚠ NO SCD ROW",IF(COUNTIF(M313:Q313,"✗")&gt;0,"❌ MISMATCH","✅ MATCH")))</f>
        <v/>
      </c>
    </row>
    <row r="314" customFormat="false" ht="15" hidden="false" customHeight="true" outlineLevel="0" collapsed="false">
      <c r="A314" s="22" t="str">
        <f aca="false">IF(Daily_Data!A313="","",Daily_Data!A313)</f>
        <v/>
      </c>
      <c r="B314" s="23" t="str">
        <f aca="false">IF(Daily_Data!B313="","",Daily_Data!B313)</f>
        <v/>
      </c>
      <c r="C314" s="23" t="str">
        <f aca="false">IF(A314="","",Daily_Data!C313)</f>
        <v/>
      </c>
      <c r="D314" s="23" t="str">
        <f aca="false">IF(A314="","",Daily_Data!D313)</f>
        <v/>
      </c>
      <c r="E314" s="24" t="str">
        <f aca="false">IF(A314="","",Daily_Data!E313)</f>
        <v/>
      </c>
      <c r="F314" s="23" t="str">
        <f aca="false">IF(A314="","",Daily_Data!F313)</f>
        <v/>
      </c>
      <c r="G314" s="23" t="str">
        <f aca="false">IF(A314="","",Daily_Data!G313)</f>
        <v/>
      </c>
      <c r="H314" s="25" t="str">
        <f aca="false">IF(A314="","",IFERROR(INDEX(SCD_Data!$C$3:$C$502,SUMPRODUCT((SCD_Data!$A$3:$A$502=B314)*(IFERROR(DATEVALUE(SCD_Data!$H$3:$H$502&amp;""),SCD_Data!$H$3:$H$502)&lt;=IFERROR(DATEVALUE(A314&amp;""),A314))*(IFERROR(DATEVALUE(SCD_Data!$I$3:$I$502&amp;""),SCD_Data!$I$3:$I$502)&gt;=IFERROR(DATEVALUE(A314&amp;""),A314))*(ROW(SCD_Data!$A$3:$A$502)-2))),"—"))</f>
        <v/>
      </c>
      <c r="I314" s="25" t="str">
        <f aca="false">IF(A314="","",IFERROR(INDEX(SCD_Data!$D$3:$D$502,SUMPRODUCT((SCD_Data!$A$3:$A$502=B314)*(IFERROR(DATEVALUE(SCD_Data!$H$3:$H$502&amp;""),SCD_Data!$H$3:$H$502)&lt;=IFERROR(DATEVALUE(A314&amp;""),A314))*(IFERROR(DATEVALUE(SCD_Data!$I$3:$I$502&amp;""),SCD_Data!$I$3:$I$502)&gt;=IFERROR(DATEVALUE(A314&amp;""),A314))*(ROW(SCD_Data!$A$3:$A$502)-2))),"—"))</f>
        <v/>
      </c>
      <c r="J314" s="26" t="str">
        <f aca="false">IF(A314="","",IFERROR(INDEX(SCD_Data!$E$3:$E$502,SUMPRODUCT((SCD_Data!$A$3:$A$502=B314)*(IFERROR(DATEVALUE(SCD_Data!$H$3:$H$502&amp;""),SCD_Data!$H$3:$H$502)&lt;=IFERROR(DATEVALUE(A314&amp;""),A314))*(IFERROR(DATEVALUE(SCD_Data!$I$3:$I$502&amp;""),SCD_Data!$I$3:$I$502)&gt;=IFERROR(DATEVALUE(A314&amp;""),A314))*(ROW(SCD_Data!$A$3:$A$502)-2))),"—"))</f>
        <v/>
      </c>
      <c r="K314" s="25" t="str">
        <f aca="false">IF(A314="","",IFERROR(INDEX(SCD_Data!$F$3:$F$502,SUMPRODUCT((SCD_Data!$A$3:$A$502=B314)*(IFERROR(DATEVALUE(SCD_Data!$H$3:$H$502&amp;""),SCD_Data!$H$3:$H$502)&lt;=IFERROR(DATEVALUE(A314&amp;""),A314))*(IFERROR(DATEVALUE(SCD_Data!$I$3:$I$502&amp;""),SCD_Data!$I$3:$I$502)&gt;=IFERROR(DATEVALUE(A314&amp;""),A314))*(ROW(SCD_Data!$A$3:$A$502)-2))),"—"))</f>
        <v/>
      </c>
      <c r="L314" s="25" t="str">
        <f aca="false">IF(A314="","",IFERROR(INDEX(SCD_Data!$G$3:$G$502,SUMPRODUCT((SCD_Data!$A$3:$A$502=B314)*(IFERROR(DATEVALUE(SCD_Data!$H$3:$H$502&amp;""),SCD_Data!$H$3:$H$502)&lt;=IFERROR(DATEVALUE(A314&amp;""),A314))*(IFERROR(DATEVALUE(SCD_Data!$I$3:$I$502&amp;""),SCD_Data!$I$3:$I$502)&gt;=IFERROR(DATEVALUE(A314&amp;""),A314))*(ROW(SCD_Data!$A$3:$A$502)-2))),"—"))</f>
        <v/>
      </c>
      <c r="M314" s="27" t="str">
        <f aca="false">IF(A314="","",IF(H314="—","—",IF(C314&amp;""=H314&amp;"","✓","✗")))</f>
        <v/>
      </c>
      <c r="N314" s="27" t="str">
        <f aca="false">IF(A314="","",IF(H314="—","—",IF(D314&amp;""=I314&amp;"","✓","✗")))</f>
        <v/>
      </c>
      <c r="O314" s="27" t="str">
        <f aca="false">IF(A314="","",IF(H314="—","—",IF(ABS(E314-J314)&lt;0.01,"✓","✗")))</f>
        <v/>
      </c>
      <c r="P314" s="27" t="str">
        <f aca="false">IF(A314="","",IF(H314="—","—",IF(F314&amp;""=K314&amp;"","✓","✗")))</f>
        <v/>
      </c>
      <c r="Q314" s="27" t="str">
        <f aca="false">IF(A314="","",IF(H314="—","—",IF(G314&amp;""=L314&amp;"","✓","✗")))</f>
        <v/>
      </c>
      <c r="R314" s="27" t="str">
        <f aca="false">IF(A314="","",IF(COUNTIF(M314:Q314,"—")=5,"⚠ NO SCD ROW",IF(COUNTIF(M314:Q314,"✗")&gt;0,"❌ MISMATCH","✅ MATCH")))</f>
        <v/>
      </c>
    </row>
    <row r="315" customFormat="false" ht="15" hidden="false" customHeight="true" outlineLevel="0" collapsed="false">
      <c r="A315" s="22" t="str">
        <f aca="false">IF(Daily_Data!A314="","",Daily_Data!A314)</f>
        <v/>
      </c>
      <c r="B315" s="23" t="str">
        <f aca="false">IF(Daily_Data!B314="","",Daily_Data!B314)</f>
        <v/>
      </c>
      <c r="C315" s="23" t="str">
        <f aca="false">IF(A315="","",Daily_Data!C314)</f>
        <v/>
      </c>
      <c r="D315" s="23" t="str">
        <f aca="false">IF(A315="","",Daily_Data!D314)</f>
        <v/>
      </c>
      <c r="E315" s="24" t="str">
        <f aca="false">IF(A315="","",Daily_Data!E314)</f>
        <v/>
      </c>
      <c r="F315" s="23" t="str">
        <f aca="false">IF(A315="","",Daily_Data!F314)</f>
        <v/>
      </c>
      <c r="G315" s="23" t="str">
        <f aca="false">IF(A315="","",Daily_Data!G314)</f>
        <v/>
      </c>
      <c r="H315" s="25" t="str">
        <f aca="false">IF(A315="","",IFERROR(INDEX(SCD_Data!$C$3:$C$502,SUMPRODUCT((SCD_Data!$A$3:$A$502=B315)*(IFERROR(DATEVALUE(SCD_Data!$H$3:$H$502&amp;""),SCD_Data!$H$3:$H$502)&lt;=IFERROR(DATEVALUE(A315&amp;""),A315))*(IFERROR(DATEVALUE(SCD_Data!$I$3:$I$502&amp;""),SCD_Data!$I$3:$I$502)&gt;=IFERROR(DATEVALUE(A315&amp;""),A315))*(ROW(SCD_Data!$A$3:$A$502)-2))),"—"))</f>
        <v/>
      </c>
      <c r="I315" s="25" t="str">
        <f aca="false">IF(A315="","",IFERROR(INDEX(SCD_Data!$D$3:$D$502,SUMPRODUCT((SCD_Data!$A$3:$A$502=B315)*(IFERROR(DATEVALUE(SCD_Data!$H$3:$H$502&amp;""),SCD_Data!$H$3:$H$502)&lt;=IFERROR(DATEVALUE(A315&amp;""),A315))*(IFERROR(DATEVALUE(SCD_Data!$I$3:$I$502&amp;""),SCD_Data!$I$3:$I$502)&gt;=IFERROR(DATEVALUE(A315&amp;""),A315))*(ROW(SCD_Data!$A$3:$A$502)-2))),"—"))</f>
        <v/>
      </c>
      <c r="J315" s="26" t="str">
        <f aca="false">IF(A315="","",IFERROR(INDEX(SCD_Data!$E$3:$E$502,SUMPRODUCT((SCD_Data!$A$3:$A$502=B315)*(IFERROR(DATEVALUE(SCD_Data!$H$3:$H$502&amp;""),SCD_Data!$H$3:$H$502)&lt;=IFERROR(DATEVALUE(A315&amp;""),A315))*(IFERROR(DATEVALUE(SCD_Data!$I$3:$I$502&amp;""),SCD_Data!$I$3:$I$502)&gt;=IFERROR(DATEVALUE(A315&amp;""),A315))*(ROW(SCD_Data!$A$3:$A$502)-2))),"—"))</f>
        <v/>
      </c>
      <c r="K315" s="25" t="str">
        <f aca="false">IF(A315="","",IFERROR(INDEX(SCD_Data!$F$3:$F$502,SUMPRODUCT((SCD_Data!$A$3:$A$502=B315)*(IFERROR(DATEVALUE(SCD_Data!$H$3:$H$502&amp;""),SCD_Data!$H$3:$H$502)&lt;=IFERROR(DATEVALUE(A315&amp;""),A315))*(IFERROR(DATEVALUE(SCD_Data!$I$3:$I$502&amp;""),SCD_Data!$I$3:$I$502)&gt;=IFERROR(DATEVALUE(A315&amp;""),A315))*(ROW(SCD_Data!$A$3:$A$502)-2))),"—"))</f>
        <v/>
      </c>
      <c r="L315" s="25" t="str">
        <f aca="false">IF(A315="","",IFERROR(INDEX(SCD_Data!$G$3:$G$502,SUMPRODUCT((SCD_Data!$A$3:$A$502=B315)*(IFERROR(DATEVALUE(SCD_Data!$H$3:$H$502&amp;""),SCD_Data!$H$3:$H$502)&lt;=IFERROR(DATEVALUE(A315&amp;""),A315))*(IFERROR(DATEVALUE(SCD_Data!$I$3:$I$502&amp;""),SCD_Data!$I$3:$I$502)&gt;=IFERROR(DATEVALUE(A315&amp;""),A315))*(ROW(SCD_Data!$A$3:$A$502)-2))),"—"))</f>
        <v/>
      </c>
      <c r="M315" s="27" t="str">
        <f aca="false">IF(A315="","",IF(H315="—","—",IF(C315&amp;""=H315&amp;"","✓","✗")))</f>
        <v/>
      </c>
      <c r="N315" s="27" t="str">
        <f aca="false">IF(A315="","",IF(H315="—","—",IF(D315&amp;""=I315&amp;"","✓","✗")))</f>
        <v/>
      </c>
      <c r="O315" s="27" t="str">
        <f aca="false">IF(A315="","",IF(H315="—","—",IF(ABS(E315-J315)&lt;0.01,"✓","✗")))</f>
        <v/>
      </c>
      <c r="P315" s="27" t="str">
        <f aca="false">IF(A315="","",IF(H315="—","—",IF(F315&amp;""=K315&amp;"","✓","✗")))</f>
        <v/>
      </c>
      <c r="Q315" s="27" t="str">
        <f aca="false">IF(A315="","",IF(H315="—","—",IF(G315&amp;""=L315&amp;"","✓","✗")))</f>
        <v/>
      </c>
      <c r="R315" s="27" t="str">
        <f aca="false">IF(A315="","",IF(COUNTIF(M315:Q315,"—")=5,"⚠ NO SCD ROW",IF(COUNTIF(M315:Q315,"✗")&gt;0,"❌ MISMATCH","✅ MATCH")))</f>
        <v/>
      </c>
    </row>
    <row r="316" customFormat="false" ht="15" hidden="false" customHeight="true" outlineLevel="0" collapsed="false">
      <c r="A316" s="22" t="str">
        <f aca="false">IF(Daily_Data!A315="","",Daily_Data!A315)</f>
        <v/>
      </c>
      <c r="B316" s="23" t="str">
        <f aca="false">IF(Daily_Data!B315="","",Daily_Data!B315)</f>
        <v/>
      </c>
      <c r="C316" s="23" t="str">
        <f aca="false">IF(A316="","",Daily_Data!C315)</f>
        <v/>
      </c>
      <c r="D316" s="23" t="str">
        <f aca="false">IF(A316="","",Daily_Data!D315)</f>
        <v/>
      </c>
      <c r="E316" s="24" t="str">
        <f aca="false">IF(A316="","",Daily_Data!E315)</f>
        <v/>
      </c>
      <c r="F316" s="23" t="str">
        <f aca="false">IF(A316="","",Daily_Data!F315)</f>
        <v/>
      </c>
      <c r="G316" s="23" t="str">
        <f aca="false">IF(A316="","",Daily_Data!G315)</f>
        <v/>
      </c>
      <c r="H316" s="25" t="str">
        <f aca="false">IF(A316="","",IFERROR(INDEX(SCD_Data!$C$3:$C$502,SUMPRODUCT((SCD_Data!$A$3:$A$502=B316)*(IFERROR(DATEVALUE(SCD_Data!$H$3:$H$502&amp;""),SCD_Data!$H$3:$H$502)&lt;=IFERROR(DATEVALUE(A316&amp;""),A316))*(IFERROR(DATEVALUE(SCD_Data!$I$3:$I$502&amp;""),SCD_Data!$I$3:$I$502)&gt;=IFERROR(DATEVALUE(A316&amp;""),A316))*(ROW(SCD_Data!$A$3:$A$502)-2))),"—"))</f>
        <v/>
      </c>
      <c r="I316" s="25" t="str">
        <f aca="false">IF(A316="","",IFERROR(INDEX(SCD_Data!$D$3:$D$502,SUMPRODUCT((SCD_Data!$A$3:$A$502=B316)*(IFERROR(DATEVALUE(SCD_Data!$H$3:$H$502&amp;""),SCD_Data!$H$3:$H$502)&lt;=IFERROR(DATEVALUE(A316&amp;""),A316))*(IFERROR(DATEVALUE(SCD_Data!$I$3:$I$502&amp;""),SCD_Data!$I$3:$I$502)&gt;=IFERROR(DATEVALUE(A316&amp;""),A316))*(ROW(SCD_Data!$A$3:$A$502)-2))),"—"))</f>
        <v/>
      </c>
      <c r="J316" s="26" t="str">
        <f aca="false">IF(A316="","",IFERROR(INDEX(SCD_Data!$E$3:$E$502,SUMPRODUCT((SCD_Data!$A$3:$A$502=B316)*(IFERROR(DATEVALUE(SCD_Data!$H$3:$H$502&amp;""),SCD_Data!$H$3:$H$502)&lt;=IFERROR(DATEVALUE(A316&amp;""),A316))*(IFERROR(DATEVALUE(SCD_Data!$I$3:$I$502&amp;""),SCD_Data!$I$3:$I$502)&gt;=IFERROR(DATEVALUE(A316&amp;""),A316))*(ROW(SCD_Data!$A$3:$A$502)-2))),"—"))</f>
        <v/>
      </c>
      <c r="K316" s="25" t="str">
        <f aca="false">IF(A316="","",IFERROR(INDEX(SCD_Data!$F$3:$F$502,SUMPRODUCT((SCD_Data!$A$3:$A$502=B316)*(IFERROR(DATEVALUE(SCD_Data!$H$3:$H$502&amp;""),SCD_Data!$H$3:$H$502)&lt;=IFERROR(DATEVALUE(A316&amp;""),A316))*(IFERROR(DATEVALUE(SCD_Data!$I$3:$I$502&amp;""),SCD_Data!$I$3:$I$502)&gt;=IFERROR(DATEVALUE(A316&amp;""),A316))*(ROW(SCD_Data!$A$3:$A$502)-2))),"—"))</f>
        <v/>
      </c>
      <c r="L316" s="25" t="str">
        <f aca="false">IF(A316="","",IFERROR(INDEX(SCD_Data!$G$3:$G$502,SUMPRODUCT((SCD_Data!$A$3:$A$502=B316)*(IFERROR(DATEVALUE(SCD_Data!$H$3:$H$502&amp;""),SCD_Data!$H$3:$H$502)&lt;=IFERROR(DATEVALUE(A316&amp;""),A316))*(IFERROR(DATEVALUE(SCD_Data!$I$3:$I$502&amp;""),SCD_Data!$I$3:$I$502)&gt;=IFERROR(DATEVALUE(A316&amp;""),A316))*(ROW(SCD_Data!$A$3:$A$502)-2))),"—"))</f>
        <v/>
      </c>
      <c r="M316" s="27" t="str">
        <f aca="false">IF(A316="","",IF(H316="—","—",IF(C316&amp;""=H316&amp;"","✓","✗")))</f>
        <v/>
      </c>
      <c r="N316" s="27" t="str">
        <f aca="false">IF(A316="","",IF(H316="—","—",IF(D316&amp;""=I316&amp;"","✓","✗")))</f>
        <v/>
      </c>
      <c r="O316" s="27" t="str">
        <f aca="false">IF(A316="","",IF(H316="—","—",IF(ABS(E316-J316)&lt;0.01,"✓","✗")))</f>
        <v/>
      </c>
      <c r="P316" s="27" t="str">
        <f aca="false">IF(A316="","",IF(H316="—","—",IF(F316&amp;""=K316&amp;"","✓","✗")))</f>
        <v/>
      </c>
      <c r="Q316" s="27" t="str">
        <f aca="false">IF(A316="","",IF(H316="—","—",IF(G316&amp;""=L316&amp;"","✓","✗")))</f>
        <v/>
      </c>
      <c r="R316" s="27" t="str">
        <f aca="false">IF(A316="","",IF(COUNTIF(M316:Q316,"—")=5,"⚠ NO SCD ROW",IF(COUNTIF(M316:Q316,"✗")&gt;0,"❌ MISMATCH","✅ MATCH")))</f>
        <v/>
      </c>
    </row>
    <row r="317" customFormat="false" ht="15" hidden="false" customHeight="true" outlineLevel="0" collapsed="false">
      <c r="A317" s="22" t="str">
        <f aca="false">IF(Daily_Data!A316="","",Daily_Data!A316)</f>
        <v/>
      </c>
      <c r="B317" s="23" t="str">
        <f aca="false">IF(Daily_Data!B316="","",Daily_Data!B316)</f>
        <v/>
      </c>
      <c r="C317" s="23" t="str">
        <f aca="false">IF(A317="","",Daily_Data!C316)</f>
        <v/>
      </c>
      <c r="D317" s="23" t="str">
        <f aca="false">IF(A317="","",Daily_Data!D316)</f>
        <v/>
      </c>
      <c r="E317" s="24" t="str">
        <f aca="false">IF(A317="","",Daily_Data!E316)</f>
        <v/>
      </c>
      <c r="F317" s="23" t="str">
        <f aca="false">IF(A317="","",Daily_Data!F316)</f>
        <v/>
      </c>
      <c r="G317" s="23" t="str">
        <f aca="false">IF(A317="","",Daily_Data!G316)</f>
        <v/>
      </c>
      <c r="H317" s="25" t="str">
        <f aca="false">IF(A317="","",IFERROR(INDEX(SCD_Data!$C$3:$C$502,SUMPRODUCT((SCD_Data!$A$3:$A$502=B317)*(IFERROR(DATEVALUE(SCD_Data!$H$3:$H$502&amp;""),SCD_Data!$H$3:$H$502)&lt;=IFERROR(DATEVALUE(A317&amp;""),A317))*(IFERROR(DATEVALUE(SCD_Data!$I$3:$I$502&amp;""),SCD_Data!$I$3:$I$502)&gt;=IFERROR(DATEVALUE(A317&amp;""),A317))*(ROW(SCD_Data!$A$3:$A$502)-2))),"—"))</f>
        <v/>
      </c>
      <c r="I317" s="25" t="str">
        <f aca="false">IF(A317="","",IFERROR(INDEX(SCD_Data!$D$3:$D$502,SUMPRODUCT((SCD_Data!$A$3:$A$502=B317)*(IFERROR(DATEVALUE(SCD_Data!$H$3:$H$502&amp;""),SCD_Data!$H$3:$H$502)&lt;=IFERROR(DATEVALUE(A317&amp;""),A317))*(IFERROR(DATEVALUE(SCD_Data!$I$3:$I$502&amp;""),SCD_Data!$I$3:$I$502)&gt;=IFERROR(DATEVALUE(A317&amp;""),A317))*(ROW(SCD_Data!$A$3:$A$502)-2))),"—"))</f>
        <v/>
      </c>
      <c r="J317" s="26" t="str">
        <f aca="false">IF(A317="","",IFERROR(INDEX(SCD_Data!$E$3:$E$502,SUMPRODUCT((SCD_Data!$A$3:$A$502=B317)*(IFERROR(DATEVALUE(SCD_Data!$H$3:$H$502&amp;""),SCD_Data!$H$3:$H$502)&lt;=IFERROR(DATEVALUE(A317&amp;""),A317))*(IFERROR(DATEVALUE(SCD_Data!$I$3:$I$502&amp;""),SCD_Data!$I$3:$I$502)&gt;=IFERROR(DATEVALUE(A317&amp;""),A317))*(ROW(SCD_Data!$A$3:$A$502)-2))),"—"))</f>
        <v/>
      </c>
      <c r="K317" s="25" t="str">
        <f aca="false">IF(A317="","",IFERROR(INDEX(SCD_Data!$F$3:$F$502,SUMPRODUCT((SCD_Data!$A$3:$A$502=B317)*(IFERROR(DATEVALUE(SCD_Data!$H$3:$H$502&amp;""),SCD_Data!$H$3:$H$502)&lt;=IFERROR(DATEVALUE(A317&amp;""),A317))*(IFERROR(DATEVALUE(SCD_Data!$I$3:$I$502&amp;""),SCD_Data!$I$3:$I$502)&gt;=IFERROR(DATEVALUE(A317&amp;""),A317))*(ROW(SCD_Data!$A$3:$A$502)-2))),"—"))</f>
        <v/>
      </c>
      <c r="L317" s="25" t="str">
        <f aca="false">IF(A317="","",IFERROR(INDEX(SCD_Data!$G$3:$G$502,SUMPRODUCT((SCD_Data!$A$3:$A$502=B317)*(IFERROR(DATEVALUE(SCD_Data!$H$3:$H$502&amp;""),SCD_Data!$H$3:$H$502)&lt;=IFERROR(DATEVALUE(A317&amp;""),A317))*(IFERROR(DATEVALUE(SCD_Data!$I$3:$I$502&amp;""),SCD_Data!$I$3:$I$502)&gt;=IFERROR(DATEVALUE(A317&amp;""),A317))*(ROW(SCD_Data!$A$3:$A$502)-2))),"—"))</f>
        <v/>
      </c>
      <c r="M317" s="27" t="str">
        <f aca="false">IF(A317="","",IF(H317="—","—",IF(C317&amp;""=H317&amp;"","✓","✗")))</f>
        <v/>
      </c>
      <c r="N317" s="27" t="str">
        <f aca="false">IF(A317="","",IF(H317="—","—",IF(D317&amp;""=I317&amp;"","✓","✗")))</f>
        <v/>
      </c>
      <c r="O317" s="27" t="str">
        <f aca="false">IF(A317="","",IF(H317="—","—",IF(ABS(E317-J317)&lt;0.01,"✓","✗")))</f>
        <v/>
      </c>
      <c r="P317" s="27" t="str">
        <f aca="false">IF(A317="","",IF(H317="—","—",IF(F317&amp;""=K317&amp;"","✓","✗")))</f>
        <v/>
      </c>
      <c r="Q317" s="27" t="str">
        <f aca="false">IF(A317="","",IF(H317="—","—",IF(G317&amp;""=L317&amp;"","✓","✗")))</f>
        <v/>
      </c>
      <c r="R317" s="27" t="str">
        <f aca="false">IF(A317="","",IF(COUNTIF(M317:Q317,"—")=5,"⚠ NO SCD ROW",IF(COUNTIF(M317:Q317,"✗")&gt;0,"❌ MISMATCH","✅ MATCH")))</f>
        <v/>
      </c>
    </row>
    <row r="318" customFormat="false" ht="15" hidden="false" customHeight="true" outlineLevel="0" collapsed="false">
      <c r="A318" s="22" t="str">
        <f aca="false">IF(Daily_Data!A317="","",Daily_Data!A317)</f>
        <v/>
      </c>
      <c r="B318" s="23" t="str">
        <f aca="false">IF(Daily_Data!B317="","",Daily_Data!B317)</f>
        <v/>
      </c>
      <c r="C318" s="23" t="str">
        <f aca="false">IF(A318="","",Daily_Data!C317)</f>
        <v/>
      </c>
      <c r="D318" s="23" t="str">
        <f aca="false">IF(A318="","",Daily_Data!D317)</f>
        <v/>
      </c>
      <c r="E318" s="24" t="str">
        <f aca="false">IF(A318="","",Daily_Data!E317)</f>
        <v/>
      </c>
      <c r="F318" s="23" t="str">
        <f aca="false">IF(A318="","",Daily_Data!F317)</f>
        <v/>
      </c>
      <c r="G318" s="23" t="str">
        <f aca="false">IF(A318="","",Daily_Data!G317)</f>
        <v/>
      </c>
      <c r="H318" s="25" t="str">
        <f aca="false">IF(A318="","",IFERROR(INDEX(SCD_Data!$C$3:$C$502,SUMPRODUCT((SCD_Data!$A$3:$A$502=B318)*(IFERROR(DATEVALUE(SCD_Data!$H$3:$H$502&amp;""),SCD_Data!$H$3:$H$502)&lt;=IFERROR(DATEVALUE(A318&amp;""),A318))*(IFERROR(DATEVALUE(SCD_Data!$I$3:$I$502&amp;""),SCD_Data!$I$3:$I$502)&gt;=IFERROR(DATEVALUE(A318&amp;""),A318))*(ROW(SCD_Data!$A$3:$A$502)-2))),"—"))</f>
        <v/>
      </c>
      <c r="I318" s="25" t="str">
        <f aca="false">IF(A318="","",IFERROR(INDEX(SCD_Data!$D$3:$D$502,SUMPRODUCT((SCD_Data!$A$3:$A$502=B318)*(IFERROR(DATEVALUE(SCD_Data!$H$3:$H$502&amp;""),SCD_Data!$H$3:$H$502)&lt;=IFERROR(DATEVALUE(A318&amp;""),A318))*(IFERROR(DATEVALUE(SCD_Data!$I$3:$I$502&amp;""),SCD_Data!$I$3:$I$502)&gt;=IFERROR(DATEVALUE(A318&amp;""),A318))*(ROW(SCD_Data!$A$3:$A$502)-2))),"—"))</f>
        <v/>
      </c>
      <c r="J318" s="26" t="str">
        <f aca="false">IF(A318="","",IFERROR(INDEX(SCD_Data!$E$3:$E$502,SUMPRODUCT((SCD_Data!$A$3:$A$502=B318)*(IFERROR(DATEVALUE(SCD_Data!$H$3:$H$502&amp;""),SCD_Data!$H$3:$H$502)&lt;=IFERROR(DATEVALUE(A318&amp;""),A318))*(IFERROR(DATEVALUE(SCD_Data!$I$3:$I$502&amp;""),SCD_Data!$I$3:$I$502)&gt;=IFERROR(DATEVALUE(A318&amp;""),A318))*(ROW(SCD_Data!$A$3:$A$502)-2))),"—"))</f>
        <v/>
      </c>
      <c r="K318" s="25" t="str">
        <f aca="false">IF(A318="","",IFERROR(INDEX(SCD_Data!$F$3:$F$502,SUMPRODUCT((SCD_Data!$A$3:$A$502=B318)*(IFERROR(DATEVALUE(SCD_Data!$H$3:$H$502&amp;""),SCD_Data!$H$3:$H$502)&lt;=IFERROR(DATEVALUE(A318&amp;""),A318))*(IFERROR(DATEVALUE(SCD_Data!$I$3:$I$502&amp;""),SCD_Data!$I$3:$I$502)&gt;=IFERROR(DATEVALUE(A318&amp;""),A318))*(ROW(SCD_Data!$A$3:$A$502)-2))),"—"))</f>
        <v/>
      </c>
      <c r="L318" s="25" t="str">
        <f aca="false">IF(A318="","",IFERROR(INDEX(SCD_Data!$G$3:$G$502,SUMPRODUCT((SCD_Data!$A$3:$A$502=B318)*(IFERROR(DATEVALUE(SCD_Data!$H$3:$H$502&amp;""),SCD_Data!$H$3:$H$502)&lt;=IFERROR(DATEVALUE(A318&amp;""),A318))*(IFERROR(DATEVALUE(SCD_Data!$I$3:$I$502&amp;""),SCD_Data!$I$3:$I$502)&gt;=IFERROR(DATEVALUE(A318&amp;""),A318))*(ROW(SCD_Data!$A$3:$A$502)-2))),"—"))</f>
        <v/>
      </c>
      <c r="M318" s="27" t="str">
        <f aca="false">IF(A318="","",IF(H318="—","—",IF(C318&amp;""=H318&amp;"","✓","✗")))</f>
        <v/>
      </c>
      <c r="N318" s="27" t="str">
        <f aca="false">IF(A318="","",IF(H318="—","—",IF(D318&amp;""=I318&amp;"","✓","✗")))</f>
        <v/>
      </c>
      <c r="O318" s="27" t="str">
        <f aca="false">IF(A318="","",IF(H318="—","—",IF(ABS(E318-J318)&lt;0.01,"✓","✗")))</f>
        <v/>
      </c>
      <c r="P318" s="27" t="str">
        <f aca="false">IF(A318="","",IF(H318="—","—",IF(F318&amp;""=K318&amp;"","✓","✗")))</f>
        <v/>
      </c>
      <c r="Q318" s="27" t="str">
        <f aca="false">IF(A318="","",IF(H318="—","—",IF(G318&amp;""=L318&amp;"","✓","✗")))</f>
        <v/>
      </c>
      <c r="R318" s="27" t="str">
        <f aca="false">IF(A318="","",IF(COUNTIF(M318:Q318,"—")=5,"⚠ NO SCD ROW",IF(COUNTIF(M318:Q318,"✗")&gt;0,"❌ MISMATCH","✅ MATCH")))</f>
        <v/>
      </c>
    </row>
    <row r="319" customFormat="false" ht="15" hidden="false" customHeight="true" outlineLevel="0" collapsed="false">
      <c r="A319" s="22" t="str">
        <f aca="false">IF(Daily_Data!A318="","",Daily_Data!A318)</f>
        <v/>
      </c>
      <c r="B319" s="23" t="str">
        <f aca="false">IF(Daily_Data!B318="","",Daily_Data!B318)</f>
        <v/>
      </c>
      <c r="C319" s="23" t="str">
        <f aca="false">IF(A319="","",Daily_Data!C318)</f>
        <v/>
      </c>
      <c r="D319" s="23" t="str">
        <f aca="false">IF(A319="","",Daily_Data!D318)</f>
        <v/>
      </c>
      <c r="E319" s="24" t="str">
        <f aca="false">IF(A319="","",Daily_Data!E318)</f>
        <v/>
      </c>
      <c r="F319" s="23" t="str">
        <f aca="false">IF(A319="","",Daily_Data!F318)</f>
        <v/>
      </c>
      <c r="G319" s="23" t="str">
        <f aca="false">IF(A319="","",Daily_Data!G318)</f>
        <v/>
      </c>
      <c r="H319" s="25" t="str">
        <f aca="false">IF(A319="","",IFERROR(INDEX(SCD_Data!$C$3:$C$502,SUMPRODUCT((SCD_Data!$A$3:$A$502=B319)*(IFERROR(DATEVALUE(SCD_Data!$H$3:$H$502&amp;""),SCD_Data!$H$3:$H$502)&lt;=IFERROR(DATEVALUE(A319&amp;""),A319))*(IFERROR(DATEVALUE(SCD_Data!$I$3:$I$502&amp;""),SCD_Data!$I$3:$I$502)&gt;=IFERROR(DATEVALUE(A319&amp;""),A319))*(ROW(SCD_Data!$A$3:$A$502)-2))),"—"))</f>
        <v/>
      </c>
      <c r="I319" s="25" t="str">
        <f aca="false">IF(A319="","",IFERROR(INDEX(SCD_Data!$D$3:$D$502,SUMPRODUCT((SCD_Data!$A$3:$A$502=B319)*(IFERROR(DATEVALUE(SCD_Data!$H$3:$H$502&amp;""),SCD_Data!$H$3:$H$502)&lt;=IFERROR(DATEVALUE(A319&amp;""),A319))*(IFERROR(DATEVALUE(SCD_Data!$I$3:$I$502&amp;""),SCD_Data!$I$3:$I$502)&gt;=IFERROR(DATEVALUE(A319&amp;""),A319))*(ROW(SCD_Data!$A$3:$A$502)-2))),"—"))</f>
        <v/>
      </c>
      <c r="J319" s="26" t="str">
        <f aca="false">IF(A319="","",IFERROR(INDEX(SCD_Data!$E$3:$E$502,SUMPRODUCT((SCD_Data!$A$3:$A$502=B319)*(IFERROR(DATEVALUE(SCD_Data!$H$3:$H$502&amp;""),SCD_Data!$H$3:$H$502)&lt;=IFERROR(DATEVALUE(A319&amp;""),A319))*(IFERROR(DATEVALUE(SCD_Data!$I$3:$I$502&amp;""),SCD_Data!$I$3:$I$502)&gt;=IFERROR(DATEVALUE(A319&amp;""),A319))*(ROW(SCD_Data!$A$3:$A$502)-2))),"—"))</f>
        <v/>
      </c>
      <c r="K319" s="25" t="str">
        <f aca="false">IF(A319="","",IFERROR(INDEX(SCD_Data!$F$3:$F$502,SUMPRODUCT((SCD_Data!$A$3:$A$502=B319)*(IFERROR(DATEVALUE(SCD_Data!$H$3:$H$502&amp;""),SCD_Data!$H$3:$H$502)&lt;=IFERROR(DATEVALUE(A319&amp;""),A319))*(IFERROR(DATEVALUE(SCD_Data!$I$3:$I$502&amp;""),SCD_Data!$I$3:$I$502)&gt;=IFERROR(DATEVALUE(A319&amp;""),A319))*(ROW(SCD_Data!$A$3:$A$502)-2))),"—"))</f>
        <v/>
      </c>
      <c r="L319" s="25" t="str">
        <f aca="false">IF(A319="","",IFERROR(INDEX(SCD_Data!$G$3:$G$502,SUMPRODUCT((SCD_Data!$A$3:$A$502=B319)*(IFERROR(DATEVALUE(SCD_Data!$H$3:$H$502&amp;""),SCD_Data!$H$3:$H$502)&lt;=IFERROR(DATEVALUE(A319&amp;""),A319))*(IFERROR(DATEVALUE(SCD_Data!$I$3:$I$502&amp;""),SCD_Data!$I$3:$I$502)&gt;=IFERROR(DATEVALUE(A319&amp;""),A319))*(ROW(SCD_Data!$A$3:$A$502)-2))),"—"))</f>
        <v/>
      </c>
      <c r="M319" s="27" t="str">
        <f aca="false">IF(A319="","",IF(H319="—","—",IF(C319&amp;""=H319&amp;"","✓","✗")))</f>
        <v/>
      </c>
      <c r="N319" s="27" t="str">
        <f aca="false">IF(A319="","",IF(H319="—","—",IF(D319&amp;""=I319&amp;"","✓","✗")))</f>
        <v/>
      </c>
      <c r="O319" s="27" t="str">
        <f aca="false">IF(A319="","",IF(H319="—","—",IF(ABS(E319-J319)&lt;0.01,"✓","✗")))</f>
        <v/>
      </c>
      <c r="P319" s="27" t="str">
        <f aca="false">IF(A319="","",IF(H319="—","—",IF(F319&amp;""=K319&amp;"","✓","✗")))</f>
        <v/>
      </c>
      <c r="Q319" s="27" t="str">
        <f aca="false">IF(A319="","",IF(H319="—","—",IF(G319&amp;""=L319&amp;"","✓","✗")))</f>
        <v/>
      </c>
      <c r="R319" s="27" t="str">
        <f aca="false">IF(A319="","",IF(COUNTIF(M319:Q319,"—")=5,"⚠ NO SCD ROW",IF(COUNTIF(M319:Q319,"✗")&gt;0,"❌ MISMATCH","✅ MATCH")))</f>
        <v/>
      </c>
    </row>
    <row r="320" customFormat="false" ht="15" hidden="false" customHeight="true" outlineLevel="0" collapsed="false">
      <c r="A320" s="22" t="str">
        <f aca="false">IF(Daily_Data!A319="","",Daily_Data!A319)</f>
        <v/>
      </c>
      <c r="B320" s="23" t="str">
        <f aca="false">IF(Daily_Data!B319="","",Daily_Data!B319)</f>
        <v/>
      </c>
      <c r="C320" s="23" t="str">
        <f aca="false">IF(A320="","",Daily_Data!C319)</f>
        <v/>
      </c>
      <c r="D320" s="23" t="str">
        <f aca="false">IF(A320="","",Daily_Data!D319)</f>
        <v/>
      </c>
      <c r="E320" s="24" t="str">
        <f aca="false">IF(A320="","",Daily_Data!E319)</f>
        <v/>
      </c>
      <c r="F320" s="23" t="str">
        <f aca="false">IF(A320="","",Daily_Data!F319)</f>
        <v/>
      </c>
      <c r="G320" s="23" t="str">
        <f aca="false">IF(A320="","",Daily_Data!G319)</f>
        <v/>
      </c>
      <c r="H320" s="25" t="str">
        <f aca="false">IF(A320="","",IFERROR(INDEX(SCD_Data!$C$3:$C$502,SUMPRODUCT((SCD_Data!$A$3:$A$502=B320)*(IFERROR(DATEVALUE(SCD_Data!$H$3:$H$502&amp;""),SCD_Data!$H$3:$H$502)&lt;=IFERROR(DATEVALUE(A320&amp;""),A320))*(IFERROR(DATEVALUE(SCD_Data!$I$3:$I$502&amp;""),SCD_Data!$I$3:$I$502)&gt;=IFERROR(DATEVALUE(A320&amp;""),A320))*(ROW(SCD_Data!$A$3:$A$502)-2))),"—"))</f>
        <v/>
      </c>
      <c r="I320" s="25" t="str">
        <f aca="false">IF(A320="","",IFERROR(INDEX(SCD_Data!$D$3:$D$502,SUMPRODUCT((SCD_Data!$A$3:$A$502=B320)*(IFERROR(DATEVALUE(SCD_Data!$H$3:$H$502&amp;""),SCD_Data!$H$3:$H$502)&lt;=IFERROR(DATEVALUE(A320&amp;""),A320))*(IFERROR(DATEVALUE(SCD_Data!$I$3:$I$502&amp;""),SCD_Data!$I$3:$I$502)&gt;=IFERROR(DATEVALUE(A320&amp;""),A320))*(ROW(SCD_Data!$A$3:$A$502)-2))),"—"))</f>
        <v/>
      </c>
      <c r="J320" s="26" t="str">
        <f aca="false">IF(A320="","",IFERROR(INDEX(SCD_Data!$E$3:$E$502,SUMPRODUCT((SCD_Data!$A$3:$A$502=B320)*(IFERROR(DATEVALUE(SCD_Data!$H$3:$H$502&amp;""),SCD_Data!$H$3:$H$502)&lt;=IFERROR(DATEVALUE(A320&amp;""),A320))*(IFERROR(DATEVALUE(SCD_Data!$I$3:$I$502&amp;""),SCD_Data!$I$3:$I$502)&gt;=IFERROR(DATEVALUE(A320&amp;""),A320))*(ROW(SCD_Data!$A$3:$A$502)-2))),"—"))</f>
        <v/>
      </c>
      <c r="K320" s="25" t="str">
        <f aca="false">IF(A320="","",IFERROR(INDEX(SCD_Data!$F$3:$F$502,SUMPRODUCT((SCD_Data!$A$3:$A$502=B320)*(IFERROR(DATEVALUE(SCD_Data!$H$3:$H$502&amp;""),SCD_Data!$H$3:$H$502)&lt;=IFERROR(DATEVALUE(A320&amp;""),A320))*(IFERROR(DATEVALUE(SCD_Data!$I$3:$I$502&amp;""),SCD_Data!$I$3:$I$502)&gt;=IFERROR(DATEVALUE(A320&amp;""),A320))*(ROW(SCD_Data!$A$3:$A$502)-2))),"—"))</f>
        <v/>
      </c>
      <c r="L320" s="25" t="str">
        <f aca="false">IF(A320="","",IFERROR(INDEX(SCD_Data!$G$3:$G$502,SUMPRODUCT((SCD_Data!$A$3:$A$502=B320)*(IFERROR(DATEVALUE(SCD_Data!$H$3:$H$502&amp;""),SCD_Data!$H$3:$H$502)&lt;=IFERROR(DATEVALUE(A320&amp;""),A320))*(IFERROR(DATEVALUE(SCD_Data!$I$3:$I$502&amp;""),SCD_Data!$I$3:$I$502)&gt;=IFERROR(DATEVALUE(A320&amp;""),A320))*(ROW(SCD_Data!$A$3:$A$502)-2))),"—"))</f>
        <v/>
      </c>
      <c r="M320" s="27" t="str">
        <f aca="false">IF(A320="","",IF(H320="—","—",IF(C320&amp;""=H320&amp;"","✓","✗")))</f>
        <v/>
      </c>
      <c r="N320" s="27" t="str">
        <f aca="false">IF(A320="","",IF(H320="—","—",IF(D320&amp;""=I320&amp;"","✓","✗")))</f>
        <v/>
      </c>
      <c r="O320" s="27" t="str">
        <f aca="false">IF(A320="","",IF(H320="—","—",IF(ABS(E320-J320)&lt;0.01,"✓","✗")))</f>
        <v/>
      </c>
      <c r="P320" s="27" t="str">
        <f aca="false">IF(A320="","",IF(H320="—","—",IF(F320&amp;""=K320&amp;"","✓","✗")))</f>
        <v/>
      </c>
      <c r="Q320" s="27" t="str">
        <f aca="false">IF(A320="","",IF(H320="—","—",IF(G320&amp;""=L320&amp;"","✓","✗")))</f>
        <v/>
      </c>
      <c r="R320" s="27" t="str">
        <f aca="false">IF(A320="","",IF(COUNTIF(M320:Q320,"—")=5,"⚠ NO SCD ROW",IF(COUNTIF(M320:Q320,"✗")&gt;0,"❌ MISMATCH","✅ MATCH")))</f>
        <v/>
      </c>
    </row>
    <row r="321" customFormat="false" ht="15" hidden="false" customHeight="true" outlineLevel="0" collapsed="false">
      <c r="A321" s="22" t="str">
        <f aca="false">IF(Daily_Data!A320="","",Daily_Data!A320)</f>
        <v/>
      </c>
      <c r="B321" s="23" t="str">
        <f aca="false">IF(Daily_Data!B320="","",Daily_Data!B320)</f>
        <v/>
      </c>
      <c r="C321" s="23" t="str">
        <f aca="false">IF(A321="","",Daily_Data!C320)</f>
        <v/>
      </c>
      <c r="D321" s="23" t="str">
        <f aca="false">IF(A321="","",Daily_Data!D320)</f>
        <v/>
      </c>
      <c r="E321" s="24" t="str">
        <f aca="false">IF(A321="","",Daily_Data!E320)</f>
        <v/>
      </c>
      <c r="F321" s="23" t="str">
        <f aca="false">IF(A321="","",Daily_Data!F320)</f>
        <v/>
      </c>
      <c r="G321" s="23" t="str">
        <f aca="false">IF(A321="","",Daily_Data!G320)</f>
        <v/>
      </c>
      <c r="H321" s="25" t="str">
        <f aca="false">IF(A321="","",IFERROR(INDEX(SCD_Data!$C$3:$C$502,SUMPRODUCT((SCD_Data!$A$3:$A$502=B321)*(IFERROR(DATEVALUE(SCD_Data!$H$3:$H$502&amp;""),SCD_Data!$H$3:$H$502)&lt;=IFERROR(DATEVALUE(A321&amp;""),A321))*(IFERROR(DATEVALUE(SCD_Data!$I$3:$I$502&amp;""),SCD_Data!$I$3:$I$502)&gt;=IFERROR(DATEVALUE(A321&amp;""),A321))*(ROW(SCD_Data!$A$3:$A$502)-2))),"—"))</f>
        <v/>
      </c>
      <c r="I321" s="25" t="str">
        <f aca="false">IF(A321="","",IFERROR(INDEX(SCD_Data!$D$3:$D$502,SUMPRODUCT((SCD_Data!$A$3:$A$502=B321)*(IFERROR(DATEVALUE(SCD_Data!$H$3:$H$502&amp;""),SCD_Data!$H$3:$H$502)&lt;=IFERROR(DATEVALUE(A321&amp;""),A321))*(IFERROR(DATEVALUE(SCD_Data!$I$3:$I$502&amp;""),SCD_Data!$I$3:$I$502)&gt;=IFERROR(DATEVALUE(A321&amp;""),A321))*(ROW(SCD_Data!$A$3:$A$502)-2))),"—"))</f>
        <v/>
      </c>
      <c r="J321" s="26" t="str">
        <f aca="false">IF(A321="","",IFERROR(INDEX(SCD_Data!$E$3:$E$502,SUMPRODUCT((SCD_Data!$A$3:$A$502=B321)*(IFERROR(DATEVALUE(SCD_Data!$H$3:$H$502&amp;""),SCD_Data!$H$3:$H$502)&lt;=IFERROR(DATEVALUE(A321&amp;""),A321))*(IFERROR(DATEVALUE(SCD_Data!$I$3:$I$502&amp;""),SCD_Data!$I$3:$I$502)&gt;=IFERROR(DATEVALUE(A321&amp;""),A321))*(ROW(SCD_Data!$A$3:$A$502)-2))),"—"))</f>
        <v/>
      </c>
      <c r="K321" s="25" t="str">
        <f aca="false">IF(A321="","",IFERROR(INDEX(SCD_Data!$F$3:$F$502,SUMPRODUCT((SCD_Data!$A$3:$A$502=B321)*(IFERROR(DATEVALUE(SCD_Data!$H$3:$H$502&amp;""),SCD_Data!$H$3:$H$502)&lt;=IFERROR(DATEVALUE(A321&amp;""),A321))*(IFERROR(DATEVALUE(SCD_Data!$I$3:$I$502&amp;""),SCD_Data!$I$3:$I$502)&gt;=IFERROR(DATEVALUE(A321&amp;""),A321))*(ROW(SCD_Data!$A$3:$A$502)-2))),"—"))</f>
        <v/>
      </c>
      <c r="L321" s="25" t="str">
        <f aca="false">IF(A321="","",IFERROR(INDEX(SCD_Data!$G$3:$G$502,SUMPRODUCT((SCD_Data!$A$3:$A$502=B321)*(IFERROR(DATEVALUE(SCD_Data!$H$3:$H$502&amp;""),SCD_Data!$H$3:$H$502)&lt;=IFERROR(DATEVALUE(A321&amp;""),A321))*(IFERROR(DATEVALUE(SCD_Data!$I$3:$I$502&amp;""),SCD_Data!$I$3:$I$502)&gt;=IFERROR(DATEVALUE(A321&amp;""),A321))*(ROW(SCD_Data!$A$3:$A$502)-2))),"—"))</f>
        <v/>
      </c>
      <c r="M321" s="27" t="str">
        <f aca="false">IF(A321="","",IF(H321="—","—",IF(C321&amp;""=H321&amp;"","✓","✗")))</f>
        <v/>
      </c>
      <c r="N321" s="27" t="str">
        <f aca="false">IF(A321="","",IF(H321="—","—",IF(D321&amp;""=I321&amp;"","✓","✗")))</f>
        <v/>
      </c>
      <c r="O321" s="27" t="str">
        <f aca="false">IF(A321="","",IF(H321="—","—",IF(ABS(E321-J321)&lt;0.01,"✓","✗")))</f>
        <v/>
      </c>
      <c r="P321" s="27" t="str">
        <f aca="false">IF(A321="","",IF(H321="—","—",IF(F321&amp;""=K321&amp;"","✓","✗")))</f>
        <v/>
      </c>
      <c r="Q321" s="27" t="str">
        <f aca="false">IF(A321="","",IF(H321="—","—",IF(G321&amp;""=L321&amp;"","✓","✗")))</f>
        <v/>
      </c>
      <c r="R321" s="27" t="str">
        <f aca="false">IF(A321="","",IF(COUNTIF(M321:Q321,"—")=5,"⚠ NO SCD ROW",IF(COUNTIF(M321:Q321,"✗")&gt;0,"❌ MISMATCH","✅ MATCH")))</f>
        <v/>
      </c>
    </row>
    <row r="322" customFormat="false" ht="15" hidden="false" customHeight="true" outlineLevel="0" collapsed="false">
      <c r="A322" s="22" t="str">
        <f aca="false">IF(Daily_Data!A321="","",Daily_Data!A321)</f>
        <v/>
      </c>
      <c r="B322" s="23" t="str">
        <f aca="false">IF(Daily_Data!B321="","",Daily_Data!B321)</f>
        <v/>
      </c>
      <c r="C322" s="23" t="str">
        <f aca="false">IF(A322="","",Daily_Data!C321)</f>
        <v/>
      </c>
      <c r="D322" s="23" t="str">
        <f aca="false">IF(A322="","",Daily_Data!D321)</f>
        <v/>
      </c>
      <c r="E322" s="24" t="str">
        <f aca="false">IF(A322="","",Daily_Data!E321)</f>
        <v/>
      </c>
      <c r="F322" s="23" t="str">
        <f aca="false">IF(A322="","",Daily_Data!F321)</f>
        <v/>
      </c>
      <c r="G322" s="23" t="str">
        <f aca="false">IF(A322="","",Daily_Data!G321)</f>
        <v/>
      </c>
      <c r="H322" s="25" t="str">
        <f aca="false">IF(A322="","",IFERROR(INDEX(SCD_Data!$C$3:$C$502,SUMPRODUCT((SCD_Data!$A$3:$A$502=B322)*(IFERROR(DATEVALUE(SCD_Data!$H$3:$H$502&amp;""),SCD_Data!$H$3:$H$502)&lt;=IFERROR(DATEVALUE(A322&amp;""),A322))*(IFERROR(DATEVALUE(SCD_Data!$I$3:$I$502&amp;""),SCD_Data!$I$3:$I$502)&gt;=IFERROR(DATEVALUE(A322&amp;""),A322))*(ROW(SCD_Data!$A$3:$A$502)-2))),"—"))</f>
        <v/>
      </c>
      <c r="I322" s="25" t="str">
        <f aca="false">IF(A322="","",IFERROR(INDEX(SCD_Data!$D$3:$D$502,SUMPRODUCT((SCD_Data!$A$3:$A$502=B322)*(IFERROR(DATEVALUE(SCD_Data!$H$3:$H$502&amp;""),SCD_Data!$H$3:$H$502)&lt;=IFERROR(DATEVALUE(A322&amp;""),A322))*(IFERROR(DATEVALUE(SCD_Data!$I$3:$I$502&amp;""),SCD_Data!$I$3:$I$502)&gt;=IFERROR(DATEVALUE(A322&amp;""),A322))*(ROW(SCD_Data!$A$3:$A$502)-2))),"—"))</f>
        <v/>
      </c>
      <c r="J322" s="26" t="str">
        <f aca="false">IF(A322="","",IFERROR(INDEX(SCD_Data!$E$3:$E$502,SUMPRODUCT((SCD_Data!$A$3:$A$502=B322)*(IFERROR(DATEVALUE(SCD_Data!$H$3:$H$502&amp;""),SCD_Data!$H$3:$H$502)&lt;=IFERROR(DATEVALUE(A322&amp;""),A322))*(IFERROR(DATEVALUE(SCD_Data!$I$3:$I$502&amp;""),SCD_Data!$I$3:$I$502)&gt;=IFERROR(DATEVALUE(A322&amp;""),A322))*(ROW(SCD_Data!$A$3:$A$502)-2))),"—"))</f>
        <v/>
      </c>
      <c r="K322" s="25" t="str">
        <f aca="false">IF(A322="","",IFERROR(INDEX(SCD_Data!$F$3:$F$502,SUMPRODUCT((SCD_Data!$A$3:$A$502=B322)*(IFERROR(DATEVALUE(SCD_Data!$H$3:$H$502&amp;""),SCD_Data!$H$3:$H$502)&lt;=IFERROR(DATEVALUE(A322&amp;""),A322))*(IFERROR(DATEVALUE(SCD_Data!$I$3:$I$502&amp;""),SCD_Data!$I$3:$I$502)&gt;=IFERROR(DATEVALUE(A322&amp;""),A322))*(ROW(SCD_Data!$A$3:$A$502)-2))),"—"))</f>
        <v/>
      </c>
      <c r="L322" s="25" t="str">
        <f aca="false">IF(A322="","",IFERROR(INDEX(SCD_Data!$G$3:$G$502,SUMPRODUCT((SCD_Data!$A$3:$A$502=B322)*(IFERROR(DATEVALUE(SCD_Data!$H$3:$H$502&amp;""),SCD_Data!$H$3:$H$502)&lt;=IFERROR(DATEVALUE(A322&amp;""),A322))*(IFERROR(DATEVALUE(SCD_Data!$I$3:$I$502&amp;""),SCD_Data!$I$3:$I$502)&gt;=IFERROR(DATEVALUE(A322&amp;""),A322))*(ROW(SCD_Data!$A$3:$A$502)-2))),"—"))</f>
        <v/>
      </c>
      <c r="M322" s="27" t="str">
        <f aca="false">IF(A322="","",IF(H322="—","—",IF(C322&amp;""=H322&amp;"","✓","✗")))</f>
        <v/>
      </c>
      <c r="N322" s="27" t="str">
        <f aca="false">IF(A322="","",IF(H322="—","—",IF(D322&amp;""=I322&amp;"","✓","✗")))</f>
        <v/>
      </c>
      <c r="O322" s="27" t="str">
        <f aca="false">IF(A322="","",IF(H322="—","—",IF(ABS(E322-J322)&lt;0.01,"✓","✗")))</f>
        <v/>
      </c>
      <c r="P322" s="27" t="str">
        <f aca="false">IF(A322="","",IF(H322="—","—",IF(F322&amp;""=K322&amp;"","✓","✗")))</f>
        <v/>
      </c>
      <c r="Q322" s="27" t="str">
        <f aca="false">IF(A322="","",IF(H322="—","—",IF(G322&amp;""=L322&amp;"","✓","✗")))</f>
        <v/>
      </c>
      <c r="R322" s="27" t="str">
        <f aca="false">IF(A322="","",IF(COUNTIF(M322:Q322,"—")=5,"⚠ NO SCD ROW",IF(COUNTIF(M322:Q322,"✗")&gt;0,"❌ MISMATCH","✅ MATCH")))</f>
        <v/>
      </c>
    </row>
    <row r="323" customFormat="false" ht="15" hidden="false" customHeight="true" outlineLevel="0" collapsed="false">
      <c r="A323" s="22" t="str">
        <f aca="false">IF(Daily_Data!A322="","",Daily_Data!A322)</f>
        <v/>
      </c>
      <c r="B323" s="23" t="str">
        <f aca="false">IF(Daily_Data!B322="","",Daily_Data!B322)</f>
        <v/>
      </c>
      <c r="C323" s="23" t="str">
        <f aca="false">IF(A323="","",Daily_Data!C322)</f>
        <v/>
      </c>
      <c r="D323" s="23" t="str">
        <f aca="false">IF(A323="","",Daily_Data!D322)</f>
        <v/>
      </c>
      <c r="E323" s="24" t="str">
        <f aca="false">IF(A323="","",Daily_Data!E322)</f>
        <v/>
      </c>
      <c r="F323" s="23" t="str">
        <f aca="false">IF(A323="","",Daily_Data!F322)</f>
        <v/>
      </c>
      <c r="G323" s="23" t="str">
        <f aca="false">IF(A323="","",Daily_Data!G322)</f>
        <v/>
      </c>
      <c r="H323" s="25" t="str">
        <f aca="false">IF(A323="","",IFERROR(INDEX(SCD_Data!$C$3:$C$502,SUMPRODUCT((SCD_Data!$A$3:$A$502=B323)*(IFERROR(DATEVALUE(SCD_Data!$H$3:$H$502&amp;""),SCD_Data!$H$3:$H$502)&lt;=IFERROR(DATEVALUE(A323&amp;""),A323))*(IFERROR(DATEVALUE(SCD_Data!$I$3:$I$502&amp;""),SCD_Data!$I$3:$I$502)&gt;=IFERROR(DATEVALUE(A323&amp;""),A323))*(ROW(SCD_Data!$A$3:$A$502)-2))),"—"))</f>
        <v/>
      </c>
      <c r="I323" s="25" t="str">
        <f aca="false">IF(A323="","",IFERROR(INDEX(SCD_Data!$D$3:$D$502,SUMPRODUCT((SCD_Data!$A$3:$A$502=B323)*(IFERROR(DATEVALUE(SCD_Data!$H$3:$H$502&amp;""),SCD_Data!$H$3:$H$502)&lt;=IFERROR(DATEVALUE(A323&amp;""),A323))*(IFERROR(DATEVALUE(SCD_Data!$I$3:$I$502&amp;""),SCD_Data!$I$3:$I$502)&gt;=IFERROR(DATEVALUE(A323&amp;""),A323))*(ROW(SCD_Data!$A$3:$A$502)-2))),"—"))</f>
        <v/>
      </c>
      <c r="J323" s="26" t="str">
        <f aca="false">IF(A323="","",IFERROR(INDEX(SCD_Data!$E$3:$E$502,SUMPRODUCT((SCD_Data!$A$3:$A$502=B323)*(IFERROR(DATEVALUE(SCD_Data!$H$3:$H$502&amp;""),SCD_Data!$H$3:$H$502)&lt;=IFERROR(DATEVALUE(A323&amp;""),A323))*(IFERROR(DATEVALUE(SCD_Data!$I$3:$I$502&amp;""),SCD_Data!$I$3:$I$502)&gt;=IFERROR(DATEVALUE(A323&amp;""),A323))*(ROW(SCD_Data!$A$3:$A$502)-2))),"—"))</f>
        <v/>
      </c>
      <c r="K323" s="25" t="str">
        <f aca="false">IF(A323="","",IFERROR(INDEX(SCD_Data!$F$3:$F$502,SUMPRODUCT((SCD_Data!$A$3:$A$502=B323)*(IFERROR(DATEVALUE(SCD_Data!$H$3:$H$502&amp;""),SCD_Data!$H$3:$H$502)&lt;=IFERROR(DATEVALUE(A323&amp;""),A323))*(IFERROR(DATEVALUE(SCD_Data!$I$3:$I$502&amp;""),SCD_Data!$I$3:$I$502)&gt;=IFERROR(DATEVALUE(A323&amp;""),A323))*(ROW(SCD_Data!$A$3:$A$502)-2))),"—"))</f>
        <v/>
      </c>
      <c r="L323" s="25" t="str">
        <f aca="false">IF(A323="","",IFERROR(INDEX(SCD_Data!$G$3:$G$502,SUMPRODUCT((SCD_Data!$A$3:$A$502=B323)*(IFERROR(DATEVALUE(SCD_Data!$H$3:$H$502&amp;""),SCD_Data!$H$3:$H$502)&lt;=IFERROR(DATEVALUE(A323&amp;""),A323))*(IFERROR(DATEVALUE(SCD_Data!$I$3:$I$502&amp;""),SCD_Data!$I$3:$I$502)&gt;=IFERROR(DATEVALUE(A323&amp;""),A323))*(ROW(SCD_Data!$A$3:$A$502)-2))),"—"))</f>
        <v/>
      </c>
      <c r="M323" s="27" t="str">
        <f aca="false">IF(A323="","",IF(H323="—","—",IF(C323&amp;""=H323&amp;"","✓","✗")))</f>
        <v/>
      </c>
      <c r="N323" s="27" t="str">
        <f aca="false">IF(A323="","",IF(H323="—","—",IF(D323&amp;""=I323&amp;"","✓","✗")))</f>
        <v/>
      </c>
      <c r="O323" s="27" t="str">
        <f aca="false">IF(A323="","",IF(H323="—","—",IF(ABS(E323-J323)&lt;0.01,"✓","✗")))</f>
        <v/>
      </c>
      <c r="P323" s="27" t="str">
        <f aca="false">IF(A323="","",IF(H323="—","—",IF(F323&amp;""=K323&amp;"","✓","✗")))</f>
        <v/>
      </c>
      <c r="Q323" s="27" t="str">
        <f aca="false">IF(A323="","",IF(H323="—","—",IF(G323&amp;""=L323&amp;"","✓","✗")))</f>
        <v/>
      </c>
      <c r="R323" s="27" t="str">
        <f aca="false">IF(A323="","",IF(COUNTIF(M323:Q323,"—")=5,"⚠ NO SCD ROW",IF(COUNTIF(M323:Q323,"✗")&gt;0,"❌ MISMATCH","✅ MATCH")))</f>
        <v/>
      </c>
    </row>
    <row r="324" customFormat="false" ht="15" hidden="false" customHeight="true" outlineLevel="0" collapsed="false">
      <c r="A324" s="22" t="str">
        <f aca="false">IF(Daily_Data!A323="","",Daily_Data!A323)</f>
        <v/>
      </c>
      <c r="B324" s="23" t="str">
        <f aca="false">IF(Daily_Data!B323="","",Daily_Data!B323)</f>
        <v/>
      </c>
      <c r="C324" s="23" t="str">
        <f aca="false">IF(A324="","",Daily_Data!C323)</f>
        <v/>
      </c>
      <c r="D324" s="23" t="str">
        <f aca="false">IF(A324="","",Daily_Data!D323)</f>
        <v/>
      </c>
      <c r="E324" s="24" t="str">
        <f aca="false">IF(A324="","",Daily_Data!E323)</f>
        <v/>
      </c>
      <c r="F324" s="23" t="str">
        <f aca="false">IF(A324="","",Daily_Data!F323)</f>
        <v/>
      </c>
      <c r="G324" s="23" t="str">
        <f aca="false">IF(A324="","",Daily_Data!G323)</f>
        <v/>
      </c>
      <c r="H324" s="25" t="str">
        <f aca="false">IF(A324="","",IFERROR(INDEX(SCD_Data!$C$3:$C$502,SUMPRODUCT((SCD_Data!$A$3:$A$502=B324)*(IFERROR(DATEVALUE(SCD_Data!$H$3:$H$502&amp;""),SCD_Data!$H$3:$H$502)&lt;=IFERROR(DATEVALUE(A324&amp;""),A324))*(IFERROR(DATEVALUE(SCD_Data!$I$3:$I$502&amp;""),SCD_Data!$I$3:$I$502)&gt;=IFERROR(DATEVALUE(A324&amp;""),A324))*(ROW(SCD_Data!$A$3:$A$502)-2))),"—"))</f>
        <v/>
      </c>
      <c r="I324" s="25" t="str">
        <f aca="false">IF(A324="","",IFERROR(INDEX(SCD_Data!$D$3:$D$502,SUMPRODUCT((SCD_Data!$A$3:$A$502=B324)*(IFERROR(DATEVALUE(SCD_Data!$H$3:$H$502&amp;""),SCD_Data!$H$3:$H$502)&lt;=IFERROR(DATEVALUE(A324&amp;""),A324))*(IFERROR(DATEVALUE(SCD_Data!$I$3:$I$502&amp;""),SCD_Data!$I$3:$I$502)&gt;=IFERROR(DATEVALUE(A324&amp;""),A324))*(ROW(SCD_Data!$A$3:$A$502)-2))),"—"))</f>
        <v/>
      </c>
      <c r="J324" s="26" t="str">
        <f aca="false">IF(A324="","",IFERROR(INDEX(SCD_Data!$E$3:$E$502,SUMPRODUCT((SCD_Data!$A$3:$A$502=B324)*(IFERROR(DATEVALUE(SCD_Data!$H$3:$H$502&amp;""),SCD_Data!$H$3:$H$502)&lt;=IFERROR(DATEVALUE(A324&amp;""),A324))*(IFERROR(DATEVALUE(SCD_Data!$I$3:$I$502&amp;""),SCD_Data!$I$3:$I$502)&gt;=IFERROR(DATEVALUE(A324&amp;""),A324))*(ROW(SCD_Data!$A$3:$A$502)-2))),"—"))</f>
        <v/>
      </c>
      <c r="K324" s="25" t="str">
        <f aca="false">IF(A324="","",IFERROR(INDEX(SCD_Data!$F$3:$F$502,SUMPRODUCT((SCD_Data!$A$3:$A$502=B324)*(IFERROR(DATEVALUE(SCD_Data!$H$3:$H$502&amp;""),SCD_Data!$H$3:$H$502)&lt;=IFERROR(DATEVALUE(A324&amp;""),A324))*(IFERROR(DATEVALUE(SCD_Data!$I$3:$I$502&amp;""),SCD_Data!$I$3:$I$502)&gt;=IFERROR(DATEVALUE(A324&amp;""),A324))*(ROW(SCD_Data!$A$3:$A$502)-2))),"—"))</f>
        <v/>
      </c>
      <c r="L324" s="25" t="str">
        <f aca="false">IF(A324="","",IFERROR(INDEX(SCD_Data!$G$3:$G$502,SUMPRODUCT((SCD_Data!$A$3:$A$502=B324)*(IFERROR(DATEVALUE(SCD_Data!$H$3:$H$502&amp;""),SCD_Data!$H$3:$H$502)&lt;=IFERROR(DATEVALUE(A324&amp;""),A324))*(IFERROR(DATEVALUE(SCD_Data!$I$3:$I$502&amp;""),SCD_Data!$I$3:$I$502)&gt;=IFERROR(DATEVALUE(A324&amp;""),A324))*(ROW(SCD_Data!$A$3:$A$502)-2))),"—"))</f>
        <v/>
      </c>
      <c r="M324" s="27" t="str">
        <f aca="false">IF(A324="","",IF(H324="—","—",IF(C324&amp;""=H324&amp;"","✓","✗")))</f>
        <v/>
      </c>
      <c r="N324" s="27" t="str">
        <f aca="false">IF(A324="","",IF(H324="—","—",IF(D324&amp;""=I324&amp;"","✓","✗")))</f>
        <v/>
      </c>
      <c r="O324" s="27" t="str">
        <f aca="false">IF(A324="","",IF(H324="—","—",IF(ABS(E324-J324)&lt;0.01,"✓","✗")))</f>
        <v/>
      </c>
      <c r="P324" s="27" t="str">
        <f aca="false">IF(A324="","",IF(H324="—","—",IF(F324&amp;""=K324&amp;"","✓","✗")))</f>
        <v/>
      </c>
      <c r="Q324" s="27" t="str">
        <f aca="false">IF(A324="","",IF(H324="—","—",IF(G324&amp;""=L324&amp;"","✓","✗")))</f>
        <v/>
      </c>
      <c r="R324" s="27" t="str">
        <f aca="false">IF(A324="","",IF(COUNTIF(M324:Q324,"—")=5,"⚠ NO SCD ROW",IF(COUNTIF(M324:Q324,"✗")&gt;0,"❌ MISMATCH","✅ MATCH")))</f>
        <v/>
      </c>
    </row>
    <row r="325" customFormat="false" ht="15" hidden="false" customHeight="true" outlineLevel="0" collapsed="false">
      <c r="A325" s="22" t="str">
        <f aca="false">IF(Daily_Data!A324="","",Daily_Data!A324)</f>
        <v/>
      </c>
      <c r="B325" s="23" t="str">
        <f aca="false">IF(Daily_Data!B324="","",Daily_Data!B324)</f>
        <v/>
      </c>
      <c r="C325" s="23" t="str">
        <f aca="false">IF(A325="","",Daily_Data!C324)</f>
        <v/>
      </c>
      <c r="D325" s="23" t="str">
        <f aca="false">IF(A325="","",Daily_Data!D324)</f>
        <v/>
      </c>
      <c r="E325" s="24" t="str">
        <f aca="false">IF(A325="","",Daily_Data!E324)</f>
        <v/>
      </c>
      <c r="F325" s="23" t="str">
        <f aca="false">IF(A325="","",Daily_Data!F324)</f>
        <v/>
      </c>
      <c r="G325" s="23" t="str">
        <f aca="false">IF(A325="","",Daily_Data!G324)</f>
        <v/>
      </c>
      <c r="H325" s="25" t="str">
        <f aca="false">IF(A325="","",IFERROR(INDEX(SCD_Data!$C$3:$C$502,SUMPRODUCT((SCD_Data!$A$3:$A$502=B325)*(IFERROR(DATEVALUE(SCD_Data!$H$3:$H$502&amp;""),SCD_Data!$H$3:$H$502)&lt;=IFERROR(DATEVALUE(A325&amp;""),A325))*(IFERROR(DATEVALUE(SCD_Data!$I$3:$I$502&amp;""),SCD_Data!$I$3:$I$502)&gt;=IFERROR(DATEVALUE(A325&amp;""),A325))*(ROW(SCD_Data!$A$3:$A$502)-2))),"—"))</f>
        <v/>
      </c>
      <c r="I325" s="25" t="str">
        <f aca="false">IF(A325="","",IFERROR(INDEX(SCD_Data!$D$3:$D$502,SUMPRODUCT((SCD_Data!$A$3:$A$502=B325)*(IFERROR(DATEVALUE(SCD_Data!$H$3:$H$502&amp;""),SCD_Data!$H$3:$H$502)&lt;=IFERROR(DATEVALUE(A325&amp;""),A325))*(IFERROR(DATEVALUE(SCD_Data!$I$3:$I$502&amp;""),SCD_Data!$I$3:$I$502)&gt;=IFERROR(DATEVALUE(A325&amp;""),A325))*(ROW(SCD_Data!$A$3:$A$502)-2))),"—"))</f>
        <v/>
      </c>
      <c r="J325" s="26" t="str">
        <f aca="false">IF(A325="","",IFERROR(INDEX(SCD_Data!$E$3:$E$502,SUMPRODUCT((SCD_Data!$A$3:$A$502=B325)*(IFERROR(DATEVALUE(SCD_Data!$H$3:$H$502&amp;""),SCD_Data!$H$3:$H$502)&lt;=IFERROR(DATEVALUE(A325&amp;""),A325))*(IFERROR(DATEVALUE(SCD_Data!$I$3:$I$502&amp;""),SCD_Data!$I$3:$I$502)&gt;=IFERROR(DATEVALUE(A325&amp;""),A325))*(ROW(SCD_Data!$A$3:$A$502)-2))),"—"))</f>
        <v/>
      </c>
      <c r="K325" s="25" t="str">
        <f aca="false">IF(A325="","",IFERROR(INDEX(SCD_Data!$F$3:$F$502,SUMPRODUCT((SCD_Data!$A$3:$A$502=B325)*(IFERROR(DATEVALUE(SCD_Data!$H$3:$H$502&amp;""),SCD_Data!$H$3:$H$502)&lt;=IFERROR(DATEVALUE(A325&amp;""),A325))*(IFERROR(DATEVALUE(SCD_Data!$I$3:$I$502&amp;""),SCD_Data!$I$3:$I$502)&gt;=IFERROR(DATEVALUE(A325&amp;""),A325))*(ROW(SCD_Data!$A$3:$A$502)-2))),"—"))</f>
        <v/>
      </c>
      <c r="L325" s="25" t="str">
        <f aca="false">IF(A325="","",IFERROR(INDEX(SCD_Data!$G$3:$G$502,SUMPRODUCT((SCD_Data!$A$3:$A$502=B325)*(IFERROR(DATEVALUE(SCD_Data!$H$3:$H$502&amp;""),SCD_Data!$H$3:$H$502)&lt;=IFERROR(DATEVALUE(A325&amp;""),A325))*(IFERROR(DATEVALUE(SCD_Data!$I$3:$I$502&amp;""),SCD_Data!$I$3:$I$502)&gt;=IFERROR(DATEVALUE(A325&amp;""),A325))*(ROW(SCD_Data!$A$3:$A$502)-2))),"—"))</f>
        <v/>
      </c>
      <c r="M325" s="27" t="str">
        <f aca="false">IF(A325="","",IF(H325="—","—",IF(C325&amp;""=H325&amp;"","✓","✗")))</f>
        <v/>
      </c>
      <c r="N325" s="27" t="str">
        <f aca="false">IF(A325="","",IF(H325="—","—",IF(D325&amp;""=I325&amp;"","✓","✗")))</f>
        <v/>
      </c>
      <c r="O325" s="27" t="str">
        <f aca="false">IF(A325="","",IF(H325="—","—",IF(ABS(E325-J325)&lt;0.01,"✓","✗")))</f>
        <v/>
      </c>
      <c r="P325" s="27" t="str">
        <f aca="false">IF(A325="","",IF(H325="—","—",IF(F325&amp;""=K325&amp;"","✓","✗")))</f>
        <v/>
      </c>
      <c r="Q325" s="27" t="str">
        <f aca="false">IF(A325="","",IF(H325="—","—",IF(G325&amp;""=L325&amp;"","✓","✗")))</f>
        <v/>
      </c>
      <c r="R325" s="27" t="str">
        <f aca="false">IF(A325="","",IF(COUNTIF(M325:Q325,"—")=5,"⚠ NO SCD ROW",IF(COUNTIF(M325:Q325,"✗")&gt;0,"❌ MISMATCH","✅ MATCH")))</f>
        <v/>
      </c>
    </row>
    <row r="326" customFormat="false" ht="15" hidden="false" customHeight="true" outlineLevel="0" collapsed="false">
      <c r="A326" s="22" t="str">
        <f aca="false">IF(Daily_Data!A325="","",Daily_Data!A325)</f>
        <v/>
      </c>
      <c r="B326" s="23" t="str">
        <f aca="false">IF(Daily_Data!B325="","",Daily_Data!B325)</f>
        <v/>
      </c>
      <c r="C326" s="23" t="str">
        <f aca="false">IF(A326="","",Daily_Data!C325)</f>
        <v/>
      </c>
      <c r="D326" s="23" t="str">
        <f aca="false">IF(A326="","",Daily_Data!D325)</f>
        <v/>
      </c>
      <c r="E326" s="24" t="str">
        <f aca="false">IF(A326="","",Daily_Data!E325)</f>
        <v/>
      </c>
      <c r="F326" s="23" t="str">
        <f aca="false">IF(A326="","",Daily_Data!F325)</f>
        <v/>
      </c>
      <c r="G326" s="23" t="str">
        <f aca="false">IF(A326="","",Daily_Data!G325)</f>
        <v/>
      </c>
      <c r="H326" s="25" t="str">
        <f aca="false">IF(A326="","",IFERROR(INDEX(SCD_Data!$C$3:$C$502,SUMPRODUCT((SCD_Data!$A$3:$A$502=B326)*(IFERROR(DATEVALUE(SCD_Data!$H$3:$H$502&amp;""),SCD_Data!$H$3:$H$502)&lt;=IFERROR(DATEVALUE(A326&amp;""),A326))*(IFERROR(DATEVALUE(SCD_Data!$I$3:$I$502&amp;""),SCD_Data!$I$3:$I$502)&gt;=IFERROR(DATEVALUE(A326&amp;""),A326))*(ROW(SCD_Data!$A$3:$A$502)-2))),"—"))</f>
        <v/>
      </c>
      <c r="I326" s="25" t="str">
        <f aca="false">IF(A326="","",IFERROR(INDEX(SCD_Data!$D$3:$D$502,SUMPRODUCT((SCD_Data!$A$3:$A$502=B326)*(IFERROR(DATEVALUE(SCD_Data!$H$3:$H$502&amp;""),SCD_Data!$H$3:$H$502)&lt;=IFERROR(DATEVALUE(A326&amp;""),A326))*(IFERROR(DATEVALUE(SCD_Data!$I$3:$I$502&amp;""),SCD_Data!$I$3:$I$502)&gt;=IFERROR(DATEVALUE(A326&amp;""),A326))*(ROW(SCD_Data!$A$3:$A$502)-2))),"—"))</f>
        <v/>
      </c>
      <c r="J326" s="26" t="str">
        <f aca="false">IF(A326="","",IFERROR(INDEX(SCD_Data!$E$3:$E$502,SUMPRODUCT((SCD_Data!$A$3:$A$502=B326)*(IFERROR(DATEVALUE(SCD_Data!$H$3:$H$502&amp;""),SCD_Data!$H$3:$H$502)&lt;=IFERROR(DATEVALUE(A326&amp;""),A326))*(IFERROR(DATEVALUE(SCD_Data!$I$3:$I$502&amp;""),SCD_Data!$I$3:$I$502)&gt;=IFERROR(DATEVALUE(A326&amp;""),A326))*(ROW(SCD_Data!$A$3:$A$502)-2))),"—"))</f>
        <v/>
      </c>
      <c r="K326" s="25" t="str">
        <f aca="false">IF(A326="","",IFERROR(INDEX(SCD_Data!$F$3:$F$502,SUMPRODUCT((SCD_Data!$A$3:$A$502=B326)*(IFERROR(DATEVALUE(SCD_Data!$H$3:$H$502&amp;""),SCD_Data!$H$3:$H$502)&lt;=IFERROR(DATEVALUE(A326&amp;""),A326))*(IFERROR(DATEVALUE(SCD_Data!$I$3:$I$502&amp;""),SCD_Data!$I$3:$I$502)&gt;=IFERROR(DATEVALUE(A326&amp;""),A326))*(ROW(SCD_Data!$A$3:$A$502)-2))),"—"))</f>
        <v/>
      </c>
      <c r="L326" s="25" t="str">
        <f aca="false">IF(A326="","",IFERROR(INDEX(SCD_Data!$G$3:$G$502,SUMPRODUCT((SCD_Data!$A$3:$A$502=B326)*(IFERROR(DATEVALUE(SCD_Data!$H$3:$H$502&amp;""),SCD_Data!$H$3:$H$502)&lt;=IFERROR(DATEVALUE(A326&amp;""),A326))*(IFERROR(DATEVALUE(SCD_Data!$I$3:$I$502&amp;""),SCD_Data!$I$3:$I$502)&gt;=IFERROR(DATEVALUE(A326&amp;""),A326))*(ROW(SCD_Data!$A$3:$A$502)-2))),"—"))</f>
        <v/>
      </c>
      <c r="M326" s="27" t="str">
        <f aca="false">IF(A326="","",IF(H326="—","—",IF(C326&amp;""=H326&amp;"","✓","✗")))</f>
        <v/>
      </c>
      <c r="N326" s="27" t="str">
        <f aca="false">IF(A326="","",IF(H326="—","—",IF(D326&amp;""=I326&amp;"","✓","✗")))</f>
        <v/>
      </c>
      <c r="O326" s="27" t="str">
        <f aca="false">IF(A326="","",IF(H326="—","—",IF(ABS(E326-J326)&lt;0.01,"✓","✗")))</f>
        <v/>
      </c>
      <c r="P326" s="27" t="str">
        <f aca="false">IF(A326="","",IF(H326="—","—",IF(F326&amp;""=K326&amp;"","✓","✗")))</f>
        <v/>
      </c>
      <c r="Q326" s="27" t="str">
        <f aca="false">IF(A326="","",IF(H326="—","—",IF(G326&amp;""=L326&amp;"","✓","✗")))</f>
        <v/>
      </c>
      <c r="R326" s="27" t="str">
        <f aca="false">IF(A326="","",IF(COUNTIF(M326:Q326,"—")=5,"⚠ NO SCD ROW",IF(COUNTIF(M326:Q326,"✗")&gt;0,"❌ MISMATCH","✅ MATCH")))</f>
        <v/>
      </c>
    </row>
    <row r="327" customFormat="false" ht="15" hidden="false" customHeight="true" outlineLevel="0" collapsed="false">
      <c r="A327" s="22" t="str">
        <f aca="false">IF(Daily_Data!A326="","",Daily_Data!A326)</f>
        <v/>
      </c>
      <c r="B327" s="23" t="str">
        <f aca="false">IF(Daily_Data!B326="","",Daily_Data!B326)</f>
        <v/>
      </c>
      <c r="C327" s="23" t="str">
        <f aca="false">IF(A327="","",Daily_Data!C326)</f>
        <v/>
      </c>
      <c r="D327" s="23" t="str">
        <f aca="false">IF(A327="","",Daily_Data!D326)</f>
        <v/>
      </c>
      <c r="E327" s="24" t="str">
        <f aca="false">IF(A327="","",Daily_Data!E326)</f>
        <v/>
      </c>
      <c r="F327" s="23" t="str">
        <f aca="false">IF(A327="","",Daily_Data!F326)</f>
        <v/>
      </c>
      <c r="G327" s="23" t="str">
        <f aca="false">IF(A327="","",Daily_Data!G326)</f>
        <v/>
      </c>
      <c r="H327" s="25" t="str">
        <f aca="false">IF(A327="","",IFERROR(INDEX(SCD_Data!$C$3:$C$502,SUMPRODUCT((SCD_Data!$A$3:$A$502=B327)*(IFERROR(DATEVALUE(SCD_Data!$H$3:$H$502&amp;""),SCD_Data!$H$3:$H$502)&lt;=IFERROR(DATEVALUE(A327&amp;""),A327))*(IFERROR(DATEVALUE(SCD_Data!$I$3:$I$502&amp;""),SCD_Data!$I$3:$I$502)&gt;=IFERROR(DATEVALUE(A327&amp;""),A327))*(ROW(SCD_Data!$A$3:$A$502)-2))),"—"))</f>
        <v/>
      </c>
      <c r="I327" s="25" t="str">
        <f aca="false">IF(A327="","",IFERROR(INDEX(SCD_Data!$D$3:$D$502,SUMPRODUCT((SCD_Data!$A$3:$A$502=B327)*(IFERROR(DATEVALUE(SCD_Data!$H$3:$H$502&amp;""),SCD_Data!$H$3:$H$502)&lt;=IFERROR(DATEVALUE(A327&amp;""),A327))*(IFERROR(DATEVALUE(SCD_Data!$I$3:$I$502&amp;""),SCD_Data!$I$3:$I$502)&gt;=IFERROR(DATEVALUE(A327&amp;""),A327))*(ROW(SCD_Data!$A$3:$A$502)-2))),"—"))</f>
        <v/>
      </c>
      <c r="J327" s="26" t="str">
        <f aca="false">IF(A327="","",IFERROR(INDEX(SCD_Data!$E$3:$E$502,SUMPRODUCT((SCD_Data!$A$3:$A$502=B327)*(IFERROR(DATEVALUE(SCD_Data!$H$3:$H$502&amp;""),SCD_Data!$H$3:$H$502)&lt;=IFERROR(DATEVALUE(A327&amp;""),A327))*(IFERROR(DATEVALUE(SCD_Data!$I$3:$I$502&amp;""),SCD_Data!$I$3:$I$502)&gt;=IFERROR(DATEVALUE(A327&amp;""),A327))*(ROW(SCD_Data!$A$3:$A$502)-2))),"—"))</f>
        <v/>
      </c>
      <c r="K327" s="25" t="str">
        <f aca="false">IF(A327="","",IFERROR(INDEX(SCD_Data!$F$3:$F$502,SUMPRODUCT((SCD_Data!$A$3:$A$502=B327)*(IFERROR(DATEVALUE(SCD_Data!$H$3:$H$502&amp;""),SCD_Data!$H$3:$H$502)&lt;=IFERROR(DATEVALUE(A327&amp;""),A327))*(IFERROR(DATEVALUE(SCD_Data!$I$3:$I$502&amp;""),SCD_Data!$I$3:$I$502)&gt;=IFERROR(DATEVALUE(A327&amp;""),A327))*(ROW(SCD_Data!$A$3:$A$502)-2))),"—"))</f>
        <v/>
      </c>
      <c r="L327" s="25" t="str">
        <f aca="false">IF(A327="","",IFERROR(INDEX(SCD_Data!$G$3:$G$502,SUMPRODUCT((SCD_Data!$A$3:$A$502=B327)*(IFERROR(DATEVALUE(SCD_Data!$H$3:$H$502&amp;""),SCD_Data!$H$3:$H$502)&lt;=IFERROR(DATEVALUE(A327&amp;""),A327))*(IFERROR(DATEVALUE(SCD_Data!$I$3:$I$502&amp;""),SCD_Data!$I$3:$I$502)&gt;=IFERROR(DATEVALUE(A327&amp;""),A327))*(ROW(SCD_Data!$A$3:$A$502)-2))),"—"))</f>
        <v/>
      </c>
      <c r="M327" s="27" t="str">
        <f aca="false">IF(A327="","",IF(H327="—","—",IF(C327&amp;""=H327&amp;"","✓","✗")))</f>
        <v/>
      </c>
      <c r="N327" s="27" t="str">
        <f aca="false">IF(A327="","",IF(H327="—","—",IF(D327&amp;""=I327&amp;"","✓","✗")))</f>
        <v/>
      </c>
      <c r="O327" s="27" t="str">
        <f aca="false">IF(A327="","",IF(H327="—","—",IF(ABS(E327-J327)&lt;0.01,"✓","✗")))</f>
        <v/>
      </c>
      <c r="P327" s="27" t="str">
        <f aca="false">IF(A327="","",IF(H327="—","—",IF(F327&amp;""=K327&amp;"","✓","✗")))</f>
        <v/>
      </c>
      <c r="Q327" s="27" t="str">
        <f aca="false">IF(A327="","",IF(H327="—","—",IF(G327&amp;""=L327&amp;"","✓","✗")))</f>
        <v/>
      </c>
      <c r="R327" s="27" t="str">
        <f aca="false">IF(A327="","",IF(COUNTIF(M327:Q327,"—")=5,"⚠ NO SCD ROW",IF(COUNTIF(M327:Q327,"✗")&gt;0,"❌ MISMATCH","✅ MATCH")))</f>
        <v/>
      </c>
    </row>
    <row r="328" customFormat="false" ht="15" hidden="false" customHeight="true" outlineLevel="0" collapsed="false">
      <c r="A328" s="22" t="str">
        <f aca="false">IF(Daily_Data!A327="","",Daily_Data!A327)</f>
        <v/>
      </c>
      <c r="B328" s="23" t="str">
        <f aca="false">IF(Daily_Data!B327="","",Daily_Data!B327)</f>
        <v/>
      </c>
      <c r="C328" s="23" t="str">
        <f aca="false">IF(A328="","",Daily_Data!C327)</f>
        <v/>
      </c>
      <c r="D328" s="23" t="str">
        <f aca="false">IF(A328="","",Daily_Data!D327)</f>
        <v/>
      </c>
      <c r="E328" s="24" t="str">
        <f aca="false">IF(A328="","",Daily_Data!E327)</f>
        <v/>
      </c>
      <c r="F328" s="23" t="str">
        <f aca="false">IF(A328="","",Daily_Data!F327)</f>
        <v/>
      </c>
      <c r="G328" s="23" t="str">
        <f aca="false">IF(A328="","",Daily_Data!G327)</f>
        <v/>
      </c>
      <c r="H328" s="25" t="str">
        <f aca="false">IF(A328="","",IFERROR(INDEX(SCD_Data!$C$3:$C$502,SUMPRODUCT((SCD_Data!$A$3:$A$502=B328)*(IFERROR(DATEVALUE(SCD_Data!$H$3:$H$502&amp;""),SCD_Data!$H$3:$H$502)&lt;=IFERROR(DATEVALUE(A328&amp;""),A328))*(IFERROR(DATEVALUE(SCD_Data!$I$3:$I$502&amp;""),SCD_Data!$I$3:$I$502)&gt;=IFERROR(DATEVALUE(A328&amp;""),A328))*(ROW(SCD_Data!$A$3:$A$502)-2))),"—"))</f>
        <v/>
      </c>
      <c r="I328" s="25" t="str">
        <f aca="false">IF(A328="","",IFERROR(INDEX(SCD_Data!$D$3:$D$502,SUMPRODUCT((SCD_Data!$A$3:$A$502=B328)*(IFERROR(DATEVALUE(SCD_Data!$H$3:$H$502&amp;""),SCD_Data!$H$3:$H$502)&lt;=IFERROR(DATEVALUE(A328&amp;""),A328))*(IFERROR(DATEVALUE(SCD_Data!$I$3:$I$502&amp;""),SCD_Data!$I$3:$I$502)&gt;=IFERROR(DATEVALUE(A328&amp;""),A328))*(ROW(SCD_Data!$A$3:$A$502)-2))),"—"))</f>
        <v/>
      </c>
      <c r="J328" s="26" t="str">
        <f aca="false">IF(A328="","",IFERROR(INDEX(SCD_Data!$E$3:$E$502,SUMPRODUCT((SCD_Data!$A$3:$A$502=B328)*(IFERROR(DATEVALUE(SCD_Data!$H$3:$H$502&amp;""),SCD_Data!$H$3:$H$502)&lt;=IFERROR(DATEVALUE(A328&amp;""),A328))*(IFERROR(DATEVALUE(SCD_Data!$I$3:$I$502&amp;""),SCD_Data!$I$3:$I$502)&gt;=IFERROR(DATEVALUE(A328&amp;""),A328))*(ROW(SCD_Data!$A$3:$A$502)-2))),"—"))</f>
        <v/>
      </c>
      <c r="K328" s="25" t="str">
        <f aca="false">IF(A328="","",IFERROR(INDEX(SCD_Data!$F$3:$F$502,SUMPRODUCT((SCD_Data!$A$3:$A$502=B328)*(IFERROR(DATEVALUE(SCD_Data!$H$3:$H$502&amp;""),SCD_Data!$H$3:$H$502)&lt;=IFERROR(DATEVALUE(A328&amp;""),A328))*(IFERROR(DATEVALUE(SCD_Data!$I$3:$I$502&amp;""),SCD_Data!$I$3:$I$502)&gt;=IFERROR(DATEVALUE(A328&amp;""),A328))*(ROW(SCD_Data!$A$3:$A$502)-2))),"—"))</f>
        <v/>
      </c>
      <c r="L328" s="25" t="str">
        <f aca="false">IF(A328="","",IFERROR(INDEX(SCD_Data!$G$3:$G$502,SUMPRODUCT((SCD_Data!$A$3:$A$502=B328)*(IFERROR(DATEVALUE(SCD_Data!$H$3:$H$502&amp;""),SCD_Data!$H$3:$H$502)&lt;=IFERROR(DATEVALUE(A328&amp;""),A328))*(IFERROR(DATEVALUE(SCD_Data!$I$3:$I$502&amp;""),SCD_Data!$I$3:$I$502)&gt;=IFERROR(DATEVALUE(A328&amp;""),A328))*(ROW(SCD_Data!$A$3:$A$502)-2))),"—"))</f>
        <v/>
      </c>
      <c r="M328" s="27" t="str">
        <f aca="false">IF(A328="","",IF(H328="—","—",IF(C328&amp;""=H328&amp;"","✓","✗")))</f>
        <v/>
      </c>
      <c r="N328" s="27" t="str">
        <f aca="false">IF(A328="","",IF(H328="—","—",IF(D328&amp;""=I328&amp;"","✓","✗")))</f>
        <v/>
      </c>
      <c r="O328" s="27" t="str">
        <f aca="false">IF(A328="","",IF(H328="—","—",IF(ABS(E328-J328)&lt;0.01,"✓","✗")))</f>
        <v/>
      </c>
      <c r="P328" s="27" t="str">
        <f aca="false">IF(A328="","",IF(H328="—","—",IF(F328&amp;""=K328&amp;"","✓","✗")))</f>
        <v/>
      </c>
      <c r="Q328" s="27" t="str">
        <f aca="false">IF(A328="","",IF(H328="—","—",IF(G328&amp;""=L328&amp;"","✓","✗")))</f>
        <v/>
      </c>
      <c r="R328" s="27" t="str">
        <f aca="false">IF(A328="","",IF(COUNTIF(M328:Q328,"—")=5,"⚠ NO SCD ROW",IF(COUNTIF(M328:Q328,"✗")&gt;0,"❌ MISMATCH","✅ MATCH")))</f>
        <v/>
      </c>
    </row>
    <row r="329" customFormat="false" ht="15" hidden="false" customHeight="true" outlineLevel="0" collapsed="false">
      <c r="A329" s="22" t="str">
        <f aca="false">IF(Daily_Data!A328="","",Daily_Data!A328)</f>
        <v/>
      </c>
      <c r="B329" s="23" t="str">
        <f aca="false">IF(Daily_Data!B328="","",Daily_Data!B328)</f>
        <v/>
      </c>
      <c r="C329" s="23" t="str">
        <f aca="false">IF(A329="","",Daily_Data!C328)</f>
        <v/>
      </c>
      <c r="D329" s="23" t="str">
        <f aca="false">IF(A329="","",Daily_Data!D328)</f>
        <v/>
      </c>
      <c r="E329" s="24" t="str">
        <f aca="false">IF(A329="","",Daily_Data!E328)</f>
        <v/>
      </c>
      <c r="F329" s="23" t="str">
        <f aca="false">IF(A329="","",Daily_Data!F328)</f>
        <v/>
      </c>
      <c r="G329" s="23" t="str">
        <f aca="false">IF(A329="","",Daily_Data!G328)</f>
        <v/>
      </c>
      <c r="H329" s="25" t="str">
        <f aca="false">IF(A329="","",IFERROR(INDEX(SCD_Data!$C$3:$C$502,SUMPRODUCT((SCD_Data!$A$3:$A$502=B329)*(IFERROR(DATEVALUE(SCD_Data!$H$3:$H$502&amp;""),SCD_Data!$H$3:$H$502)&lt;=IFERROR(DATEVALUE(A329&amp;""),A329))*(IFERROR(DATEVALUE(SCD_Data!$I$3:$I$502&amp;""),SCD_Data!$I$3:$I$502)&gt;=IFERROR(DATEVALUE(A329&amp;""),A329))*(ROW(SCD_Data!$A$3:$A$502)-2))),"—"))</f>
        <v/>
      </c>
      <c r="I329" s="25" t="str">
        <f aca="false">IF(A329="","",IFERROR(INDEX(SCD_Data!$D$3:$D$502,SUMPRODUCT((SCD_Data!$A$3:$A$502=B329)*(IFERROR(DATEVALUE(SCD_Data!$H$3:$H$502&amp;""),SCD_Data!$H$3:$H$502)&lt;=IFERROR(DATEVALUE(A329&amp;""),A329))*(IFERROR(DATEVALUE(SCD_Data!$I$3:$I$502&amp;""),SCD_Data!$I$3:$I$502)&gt;=IFERROR(DATEVALUE(A329&amp;""),A329))*(ROW(SCD_Data!$A$3:$A$502)-2))),"—"))</f>
        <v/>
      </c>
      <c r="J329" s="26" t="str">
        <f aca="false">IF(A329="","",IFERROR(INDEX(SCD_Data!$E$3:$E$502,SUMPRODUCT((SCD_Data!$A$3:$A$502=B329)*(IFERROR(DATEVALUE(SCD_Data!$H$3:$H$502&amp;""),SCD_Data!$H$3:$H$502)&lt;=IFERROR(DATEVALUE(A329&amp;""),A329))*(IFERROR(DATEVALUE(SCD_Data!$I$3:$I$502&amp;""),SCD_Data!$I$3:$I$502)&gt;=IFERROR(DATEVALUE(A329&amp;""),A329))*(ROW(SCD_Data!$A$3:$A$502)-2))),"—"))</f>
        <v/>
      </c>
      <c r="K329" s="25" t="str">
        <f aca="false">IF(A329="","",IFERROR(INDEX(SCD_Data!$F$3:$F$502,SUMPRODUCT((SCD_Data!$A$3:$A$502=B329)*(IFERROR(DATEVALUE(SCD_Data!$H$3:$H$502&amp;""),SCD_Data!$H$3:$H$502)&lt;=IFERROR(DATEVALUE(A329&amp;""),A329))*(IFERROR(DATEVALUE(SCD_Data!$I$3:$I$502&amp;""),SCD_Data!$I$3:$I$502)&gt;=IFERROR(DATEVALUE(A329&amp;""),A329))*(ROW(SCD_Data!$A$3:$A$502)-2))),"—"))</f>
        <v/>
      </c>
      <c r="L329" s="25" t="str">
        <f aca="false">IF(A329="","",IFERROR(INDEX(SCD_Data!$G$3:$G$502,SUMPRODUCT((SCD_Data!$A$3:$A$502=B329)*(IFERROR(DATEVALUE(SCD_Data!$H$3:$H$502&amp;""),SCD_Data!$H$3:$H$502)&lt;=IFERROR(DATEVALUE(A329&amp;""),A329))*(IFERROR(DATEVALUE(SCD_Data!$I$3:$I$502&amp;""),SCD_Data!$I$3:$I$502)&gt;=IFERROR(DATEVALUE(A329&amp;""),A329))*(ROW(SCD_Data!$A$3:$A$502)-2))),"—"))</f>
        <v/>
      </c>
      <c r="M329" s="27" t="str">
        <f aca="false">IF(A329="","",IF(H329="—","—",IF(C329&amp;""=H329&amp;"","✓","✗")))</f>
        <v/>
      </c>
      <c r="N329" s="27" t="str">
        <f aca="false">IF(A329="","",IF(H329="—","—",IF(D329&amp;""=I329&amp;"","✓","✗")))</f>
        <v/>
      </c>
      <c r="O329" s="27" t="str">
        <f aca="false">IF(A329="","",IF(H329="—","—",IF(ABS(E329-J329)&lt;0.01,"✓","✗")))</f>
        <v/>
      </c>
      <c r="P329" s="27" t="str">
        <f aca="false">IF(A329="","",IF(H329="—","—",IF(F329&amp;""=K329&amp;"","✓","✗")))</f>
        <v/>
      </c>
      <c r="Q329" s="27" t="str">
        <f aca="false">IF(A329="","",IF(H329="—","—",IF(G329&amp;""=L329&amp;"","✓","✗")))</f>
        <v/>
      </c>
      <c r="R329" s="27" t="str">
        <f aca="false">IF(A329="","",IF(COUNTIF(M329:Q329,"—")=5,"⚠ NO SCD ROW",IF(COUNTIF(M329:Q329,"✗")&gt;0,"❌ MISMATCH","✅ MATCH")))</f>
        <v/>
      </c>
    </row>
    <row r="330" customFormat="false" ht="15" hidden="false" customHeight="true" outlineLevel="0" collapsed="false">
      <c r="A330" s="22" t="str">
        <f aca="false">IF(Daily_Data!A329="","",Daily_Data!A329)</f>
        <v/>
      </c>
      <c r="B330" s="23" t="str">
        <f aca="false">IF(Daily_Data!B329="","",Daily_Data!B329)</f>
        <v/>
      </c>
      <c r="C330" s="23" t="str">
        <f aca="false">IF(A330="","",Daily_Data!C329)</f>
        <v/>
      </c>
      <c r="D330" s="23" t="str">
        <f aca="false">IF(A330="","",Daily_Data!D329)</f>
        <v/>
      </c>
      <c r="E330" s="24" t="str">
        <f aca="false">IF(A330="","",Daily_Data!E329)</f>
        <v/>
      </c>
      <c r="F330" s="23" t="str">
        <f aca="false">IF(A330="","",Daily_Data!F329)</f>
        <v/>
      </c>
      <c r="G330" s="23" t="str">
        <f aca="false">IF(A330="","",Daily_Data!G329)</f>
        <v/>
      </c>
      <c r="H330" s="25" t="str">
        <f aca="false">IF(A330="","",IFERROR(INDEX(SCD_Data!$C$3:$C$502,SUMPRODUCT((SCD_Data!$A$3:$A$502=B330)*(IFERROR(DATEVALUE(SCD_Data!$H$3:$H$502&amp;""),SCD_Data!$H$3:$H$502)&lt;=IFERROR(DATEVALUE(A330&amp;""),A330))*(IFERROR(DATEVALUE(SCD_Data!$I$3:$I$502&amp;""),SCD_Data!$I$3:$I$502)&gt;=IFERROR(DATEVALUE(A330&amp;""),A330))*(ROW(SCD_Data!$A$3:$A$502)-2))),"—"))</f>
        <v/>
      </c>
      <c r="I330" s="25" t="str">
        <f aca="false">IF(A330="","",IFERROR(INDEX(SCD_Data!$D$3:$D$502,SUMPRODUCT((SCD_Data!$A$3:$A$502=B330)*(IFERROR(DATEVALUE(SCD_Data!$H$3:$H$502&amp;""),SCD_Data!$H$3:$H$502)&lt;=IFERROR(DATEVALUE(A330&amp;""),A330))*(IFERROR(DATEVALUE(SCD_Data!$I$3:$I$502&amp;""),SCD_Data!$I$3:$I$502)&gt;=IFERROR(DATEVALUE(A330&amp;""),A330))*(ROW(SCD_Data!$A$3:$A$502)-2))),"—"))</f>
        <v/>
      </c>
      <c r="J330" s="26" t="str">
        <f aca="false">IF(A330="","",IFERROR(INDEX(SCD_Data!$E$3:$E$502,SUMPRODUCT((SCD_Data!$A$3:$A$502=B330)*(IFERROR(DATEVALUE(SCD_Data!$H$3:$H$502&amp;""),SCD_Data!$H$3:$H$502)&lt;=IFERROR(DATEVALUE(A330&amp;""),A330))*(IFERROR(DATEVALUE(SCD_Data!$I$3:$I$502&amp;""),SCD_Data!$I$3:$I$502)&gt;=IFERROR(DATEVALUE(A330&amp;""),A330))*(ROW(SCD_Data!$A$3:$A$502)-2))),"—"))</f>
        <v/>
      </c>
      <c r="K330" s="25" t="str">
        <f aca="false">IF(A330="","",IFERROR(INDEX(SCD_Data!$F$3:$F$502,SUMPRODUCT((SCD_Data!$A$3:$A$502=B330)*(IFERROR(DATEVALUE(SCD_Data!$H$3:$H$502&amp;""),SCD_Data!$H$3:$H$502)&lt;=IFERROR(DATEVALUE(A330&amp;""),A330))*(IFERROR(DATEVALUE(SCD_Data!$I$3:$I$502&amp;""),SCD_Data!$I$3:$I$502)&gt;=IFERROR(DATEVALUE(A330&amp;""),A330))*(ROW(SCD_Data!$A$3:$A$502)-2))),"—"))</f>
        <v/>
      </c>
      <c r="L330" s="25" t="str">
        <f aca="false">IF(A330="","",IFERROR(INDEX(SCD_Data!$G$3:$G$502,SUMPRODUCT((SCD_Data!$A$3:$A$502=B330)*(IFERROR(DATEVALUE(SCD_Data!$H$3:$H$502&amp;""),SCD_Data!$H$3:$H$502)&lt;=IFERROR(DATEVALUE(A330&amp;""),A330))*(IFERROR(DATEVALUE(SCD_Data!$I$3:$I$502&amp;""),SCD_Data!$I$3:$I$502)&gt;=IFERROR(DATEVALUE(A330&amp;""),A330))*(ROW(SCD_Data!$A$3:$A$502)-2))),"—"))</f>
        <v/>
      </c>
      <c r="M330" s="27" t="str">
        <f aca="false">IF(A330="","",IF(H330="—","—",IF(C330&amp;""=H330&amp;"","✓","✗")))</f>
        <v/>
      </c>
      <c r="N330" s="27" t="str">
        <f aca="false">IF(A330="","",IF(H330="—","—",IF(D330&amp;""=I330&amp;"","✓","✗")))</f>
        <v/>
      </c>
      <c r="O330" s="27" t="str">
        <f aca="false">IF(A330="","",IF(H330="—","—",IF(ABS(E330-J330)&lt;0.01,"✓","✗")))</f>
        <v/>
      </c>
      <c r="P330" s="27" t="str">
        <f aca="false">IF(A330="","",IF(H330="—","—",IF(F330&amp;""=K330&amp;"","✓","✗")))</f>
        <v/>
      </c>
      <c r="Q330" s="27" t="str">
        <f aca="false">IF(A330="","",IF(H330="—","—",IF(G330&amp;""=L330&amp;"","✓","✗")))</f>
        <v/>
      </c>
      <c r="R330" s="27" t="str">
        <f aca="false">IF(A330="","",IF(COUNTIF(M330:Q330,"—")=5,"⚠ NO SCD ROW",IF(COUNTIF(M330:Q330,"✗")&gt;0,"❌ MISMATCH","✅ MATCH")))</f>
        <v/>
      </c>
    </row>
    <row r="331" customFormat="false" ht="15" hidden="false" customHeight="true" outlineLevel="0" collapsed="false">
      <c r="A331" s="22" t="str">
        <f aca="false">IF(Daily_Data!A330="","",Daily_Data!A330)</f>
        <v/>
      </c>
      <c r="B331" s="23" t="str">
        <f aca="false">IF(Daily_Data!B330="","",Daily_Data!B330)</f>
        <v/>
      </c>
      <c r="C331" s="23" t="str">
        <f aca="false">IF(A331="","",Daily_Data!C330)</f>
        <v/>
      </c>
      <c r="D331" s="23" t="str">
        <f aca="false">IF(A331="","",Daily_Data!D330)</f>
        <v/>
      </c>
      <c r="E331" s="24" t="str">
        <f aca="false">IF(A331="","",Daily_Data!E330)</f>
        <v/>
      </c>
      <c r="F331" s="23" t="str">
        <f aca="false">IF(A331="","",Daily_Data!F330)</f>
        <v/>
      </c>
      <c r="G331" s="23" t="str">
        <f aca="false">IF(A331="","",Daily_Data!G330)</f>
        <v/>
      </c>
      <c r="H331" s="25" t="str">
        <f aca="false">IF(A331="","",IFERROR(INDEX(SCD_Data!$C$3:$C$502,SUMPRODUCT((SCD_Data!$A$3:$A$502=B331)*(IFERROR(DATEVALUE(SCD_Data!$H$3:$H$502&amp;""),SCD_Data!$H$3:$H$502)&lt;=IFERROR(DATEVALUE(A331&amp;""),A331))*(IFERROR(DATEVALUE(SCD_Data!$I$3:$I$502&amp;""),SCD_Data!$I$3:$I$502)&gt;=IFERROR(DATEVALUE(A331&amp;""),A331))*(ROW(SCD_Data!$A$3:$A$502)-2))),"—"))</f>
        <v/>
      </c>
      <c r="I331" s="25" t="str">
        <f aca="false">IF(A331="","",IFERROR(INDEX(SCD_Data!$D$3:$D$502,SUMPRODUCT((SCD_Data!$A$3:$A$502=B331)*(IFERROR(DATEVALUE(SCD_Data!$H$3:$H$502&amp;""),SCD_Data!$H$3:$H$502)&lt;=IFERROR(DATEVALUE(A331&amp;""),A331))*(IFERROR(DATEVALUE(SCD_Data!$I$3:$I$502&amp;""),SCD_Data!$I$3:$I$502)&gt;=IFERROR(DATEVALUE(A331&amp;""),A331))*(ROW(SCD_Data!$A$3:$A$502)-2))),"—"))</f>
        <v/>
      </c>
      <c r="J331" s="26" t="str">
        <f aca="false">IF(A331="","",IFERROR(INDEX(SCD_Data!$E$3:$E$502,SUMPRODUCT((SCD_Data!$A$3:$A$502=B331)*(IFERROR(DATEVALUE(SCD_Data!$H$3:$H$502&amp;""),SCD_Data!$H$3:$H$502)&lt;=IFERROR(DATEVALUE(A331&amp;""),A331))*(IFERROR(DATEVALUE(SCD_Data!$I$3:$I$502&amp;""),SCD_Data!$I$3:$I$502)&gt;=IFERROR(DATEVALUE(A331&amp;""),A331))*(ROW(SCD_Data!$A$3:$A$502)-2))),"—"))</f>
        <v/>
      </c>
      <c r="K331" s="25" t="str">
        <f aca="false">IF(A331="","",IFERROR(INDEX(SCD_Data!$F$3:$F$502,SUMPRODUCT((SCD_Data!$A$3:$A$502=B331)*(IFERROR(DATEVALUE(SCD_Data!$H$3:$H$502&amp;""),SCD_Data!$H$3:$H$502)&lt;=IFERROR(DATEVALUE(A331&amp;""),A331))*(IFERROR(DATEVALUE(SCD_Data!$I$3:$I$502&amp;""),SCD_Data!$I$3:$I$502)&gt;=IFERROR(DATEVALUE(A331&amp;""),A331))*(ROW(SCD_Data!$A$3:$A$502)-2))),"—"))</f>
        <v/>
      </c>
      <c r="L331" s="25" t="str">
        <f aca="false">IF(A331="","",IFERROR(INDEX(SCD_Data!$G$3:$G$502,SUMPRODUCT((SCD_Data!$A$3:$A$502=B331)*(IFERROR(DATEVALUE(SCD_Data!$H$3:$H$502&amp;""),SCD_Data!$H$3:$H$502)&lt;=IFERROR(DATEVALUE(A331&amp;""),A331))*(IFERROR(DATEVALUE(SCD_Data!$I$3:$I$502&amp;""),SCD_Data!$I$3:$I$502)&gt;=IFERROR(DATEVALUE(A331&amp;""),A331))*(ROW(SCD_Data!$A$3:$A$502)-2))),"—"))</f>
        <v/>
      </c>
      <c r="M331" s="27" t="str">
        <f aca="false">IF(A331="","",IF(H331="—","—",IF(C331&amp;""=H331&amp;"","✓","✗")))</f>
        <v/>
      </c>
      <c r="N331" s="27" t="str">
        <f aca="false">IF(A331="","",IF(H331="—","—",IF(D331&amp;""=I331&amp;"","✓","✗")))</f>
        <v/>
      </c>
      <c r="O331" s="27" t="str">
        <f aca="false">IF(A331="","",IF(H331="—","—",IF(ABS(E331-J331)&lt;0.01,"✓","✗")))</f>
        <v/>
      </c>
      <c r="P331" s="27" t="str">
        <f aca="false">IF(A331="","",IF(H331="—","—",IF(F331&amp;""=K331&amp;"","✓","✗")))</f>
        <v/>
      </c>
      <c r="Q331" s="27" t="str">
        <f aca="false">IF(A331="","",IF(H331="—","—",IF(G331&amp;""=L331&amp;"","✓","✗")))</f>
        <v/>
      </c>
      <c r="R331" s="27" t="str">
        <f aca="false">IF(A331="","",IF(COUNTIF(M331:Q331,"—")=5,"⚠ NO SCD ROW",IF(COUNTIF(M331:Q331,"✗")&gt;0,"❌ MISMATCH","✅ MATCH")))</f>
        <v/>
      </c>
    </row>
    <row r="332" customFormat="false" ht="15" hidden="false" customHeight="true" outlineLevel="0" collapsed="false">
      <c r="A332" s="22" t="str">
        <f aca="false">IF(Daily_Data!A331="","",Daily_Data!A331)</f>
        <v/>
      </c>
      <c r="B332" s="23" t="str">
        <f aca="false">IF(Daily_Data!B331="","",Daily_Data!B331)</f>
        <v/>
      </c>
      <c r="C332" s="23" t="str">
        <f aca="false">IF(A332="","",Daily_Data!C331)</f>
        <v/>
      </c>
      <c r="D332" s="23" t="str">
        <f aca="false">IF(A332="","",Daily_Data!D331)</f>
        <v/>
      </c>
      <c r="E332" s="24" t="str">
        <f aca="false">IF(A332="","",Daily_Data!E331)</f>
        <v/>
      </c>
      <c r="F332" s="23" t="str">
        <f aca="false">IF(A332="","",Daily_Data!F331)</f>
        <v/>
      </c>
      <c r="G332" s="23" t="str">
        <f aca="false">IF(A332="","",Daily_Data!G331)</f>
        <v/>
      </c>
      <c r="H332" s="25" t="str">
        <f aca="false">IF(A332="","",IFERROR(INDEX(SCD_Data!$C$3:$C$502,SUMPRODUCT((SCD_Data!$A$3:$A$502=B332)*(IFERROR(DATEVALUE(SCD_Data!$H$3:$H$502&amp;""),SCD_Data!$H$3:$H$502)&lt;=IFERROR(DATEVALUE(A332&amp;""),A332))*(IFERROR(DATEVALUE(SCD_Data!$I$3:$I$502&amp;""),SCD_Data!$I$3:$I$502)&gt;=IFERROR(DATEVALUE(A332&amp;""),A332))*(ROW(SCD_Data!$A$3:$A$502)-2))),"—"))</f>
        <v/>
      </c>
      <c r="I332" s="25" t="str">
        <f aca="false">IF(A332="","",IFERROR(INDEX(SCD_Data!$D$3:$D$502,SUMPRODUCT((SCD_Data!$A$3:$A$502=B332)*(IFERROR(DATEVALUE(SCD_Data!$H$3:$H$502&amp;""),SCD_Data!$H$3:$H$502)&lt;=IFERROR(DATEVALUE(A332&amp;""),A332))*(IFERROR(DATEVALUE(SCD_Data!$I$3:$I$502&amp;""),SCD_Data!$I$3:$I$502)&gt;=IFERROR(DATEVALUE(A332&amp;""),A332))*(ROW(SCD_Data!$A$3:$A$502)-2))),"—"))</f>
        <v/>
      </c>
      <c r="J332" s="26" t="str">
        <f aca="false">IF(A332="","",IFERROR(INDEX(SCD_Data!$E$3:$E$502,SUMPRODUCT((SCD_Data!$A$3:$A$502=B332)*(IFERROR(DATEVALUE(SCD_Data!$H$3:$H$502&amp;""),SCD_Data!$H$3:$H$502)&lt;=IFERROR(DATEVALUE(A332&amp;""),A332))*(IFERROR(DATEVALUE(SCD_Data!$I$3:$I$502&amp;""),SCD_Data!$I$3:$I$502)&gt;=IFERROR(DATEVALUE(A332&amp;""),A332))*(ROW(SCD_Data!$A$3:$A$502)-2))),"—"))</f>
        <v/>
      </c>
      <c r="K332" s="25" t="str">
        <f aca="false">IF(A332="","",IFERROR(INDEX(SCD_Data!$F$3:$F$502,SUMPRODUCT((SCD_Data!$A$3:$A$502=B332)*(IFERROR(DATEVALUE(SCD_Data!$H$3:$H$502&amp;""),SCD_Data!$H$3:$H$502)&lt;=IFERROR(DATEVALUE(A332&amp;""),A332))*(IFERROR(DATEVALUE(SCD_Data!$I$3:$I$502&amp;""),SCD_Data!$I$3:$I$502)&gt;=IFERROR(DATEVALUE(A332&amp;""),A332))*(ROW(SCD_Data!$A$3:$A$502)-2))),"—"))</f>
        <v/>
      </c>
      <c r="L332" s="25" t="str">
        <f aca="false">IF(A332="","",IFERROR(INDEX(SCD_Data!$G$3:$G$502,SUMPRODUCT((SCD_Data!$A$3:$A$502=B332)*(IFERROR(DATEVALUE(SCD_Data!$H$3:$H$502&amp;""),SCD_Data!$H$3:$H$502)&lt;=IFERROR(DATEVALUE(A332&amp;""),A332))*(IFERROR(DATEVALUE(SCD_Data!$I$3:$I$502&amp;""),SCD_Data!$I$3:$I$502)&gt;=IFERROR(DATEVALUE(A332&amp;""),A332))*(ROW(SCD_Data!$A$3:$A$502)-2))),"—"))</f>
        <v/>
      </c>
      <c r="M332" s="27" t="str">
        <f aca="false">IF(A332="","",IF(H332="—","—",IF(C332&amp;""=H332&amp;"","✓","✗")))</f>
        <v/>
      </c>
      <c r="N332" s="27" t="str">
        <f aca="false">IF(A332="","",IF(H332="—","—",IF(D332&amp;""=I332&amp;"","✓","✗")))</f>
        <v/>
      </c>
      <c r="O332" s="27" t="str">
        <f aca="false">IF(A332="","",IF(H332="—","—",IF(ABS(E332-J332)&lt;0.01,"✓","✗")))</f>
        <v/>
      </c>
      <c r="P332" s="27" t="str">
        <f aca="false">IF(A332="","",IF(H332="—","—",IF(F332&amp;""=K332&amp;"","✓","✗")))</f>
        <v/>
      </c>
      <c r="Q332" s="27" t="str">
        <f aca="false">IF(A332="","",IF(H332="—","—",IF(G332&amp;""=L332&amp;"","✓","✗")))</f>
        <v/>
      </c>
      <c r="R332" s="27" t="str">
        <f aca="false">IF(A332="","",IF(COUNTIF(M332:Q332,"—")=5,"⚠ NO SCD ROW",IF(COUNTIF(M332:Q332,"✗")&gt;0,"❌ MISMATCH","✅ MATCH")))</f>
        <v/>
      </c>
    </row>
    <row r="333" customFormat="false" ht="15" hidden="false" customHeight="true" outlineLevel="0" collapsed="false">
      <c r="A333" s="22" t="str">
        <f aca="false">IF(Daily_Data!A332="","",Daily_Data!A332)</f>
        <v/>
      </c>
      <c r="B333" s="23" t="str">
        <f aca="false">IF(Daily_Data!B332="","",Daily_Data!B332)</f>
        <v/>
      </c>
      <c r="C333" s="23" t="str">
        <f aca="false">IF(A333="","",Daily_Data!C332)</f>
        <v/>
      </c>
      <c r="D333" s="23" t="str">
        <f aca="false">IF(A333="","",Daily_Data!D332)</f>
        <v/>
      </c>
      <c r="E333" s="24" t="str">
        <f aca="false">IF(A333="","",Daily_Data!E332)</f>
        <v/>
      </c>
      <c r="F333" s="23" t="str">
        <f aca="false">IF(A333="","",Daily_Data!F332)</f>
        <v/>
      </c>
      <c r="G333" s="23" t="str">
        <f aca="false">IF(A333="","",Daily_Data!G332)</f>
        <v/>
      </c>
      <c r="H333" s="25" t="str">
        <f aca="false">IF(A333="","",IFERROR(INDEX(SCD_Data!$C$3:$C$502,SUMPRODUCT((SCD_Data!$A$3:$A$502=B333)*(IFERROR(DATEVALUE(SCD_Data!$H$3:$H$502&amp;""),SCD_Data!$H$3:$H$502)&lt;=IFERROR(DATEVALUE(A333&amp;""),A333))*(IFERROR(DATEVALUE(SCD_Data!$I$3:$I$502&amp;""),SCD_Data!$I$3:$I$502)&gt;=IFERROR(DATEVALUE(A333&amp;""),A333))*(ROW(SCD_Data!$A$3:$A$502)-2))),"—"))</f>
        <v/>
      </c>
      <c r="I333" s="25" t="str">
        <f aca="false">IF(A333="","",IFERROR(INDEX(SCD_Data!$D$3:$D$502,SUMPRODUCT((SCD_Data!$A$3:$A$502=B333)*(IFERROR(DATEVALUE(SCD_Data!$H$3:$H$502&amp;""),SCD_Data!$H$3:$H$502)&lt;=IFERROR(DATEVALUE(A333&amp;""),A333))*(IFERROR(DATEVALUE(SCD_Data!$I$3:$I$502&amp;""),SCD_Data!$I$3:$I$502)&gt;=IFERROR(DATEVALUE(A333&amp;""),A333))*(ROW(SCD_Data!$A$3:$A$502)-2))),"—"))</f>
        <v/>
      </c>
      <c r="J333" s="26" t="str">
        <f aca="false">IF(A333="","",IFERROR(INDEX(SCD_Data!$E$3:$E$502,SUMPRODUCT((SCD_Data!$A$3:$A$502=B333)*(IFERROR(DATEVALUE(SCD_Data!$H$3:$H$502&amp;""),SCD_Data!$H$3:$H$502)&lt;=IFERROR(DATEVALUE(A333&amp;""),A333))*(IFERROR(DATEVALUE(SCD_Data!$I$3:$I$502&amp;""),SCD_Data!$I$3:$I$502)&gt;=IFERROR(DATEVALUE(A333&amp;""),A333))*(ROW(SCD_Data!$A$3:$A$502)-2))),"—"))</f>
        <v/>
      </c>
      <c r="K333" s="25" t="str">
        <f aca="false">IF(A333="","",IFERROR(INDEX(SCD_Data!$F$3:$F$502,SUMPRODUCT((SCD_Data!$A$3:$A$502=B333)*(IFERROR(DATEVALUE(SCD_Data!$H$3:$H$502&amp;""),SCD_Data!$H$3:$H$502)&lt;=IFERROR(DATEVALUE(A333&amp;""),A333))*(IFERROR(DATEVALUE(SCD_Data!$I$3:$I$502&amp;""),SCD_Data!$I$3:$I$502)&gt;=IFERROR(DATEVALUE(A333&amp;""),A333))*(ROW(SCD_Data!$A$3:$A$502)-2))),"—"))</f>
        <v/>
      </c>
      <c r="L333" s="25" t="str">
        <f aca="false">IF(A333="","",IFERROR(INDEX(SCD_Data!$G$3:$G$502,SUMPRODUCT((SCD_Data!$A$3:$A$502=B333)*(IFERROR(DATEVALUE(SCD_Data!$H$3:$H$502&amp;""),SCD_Data!$H$3:$H$502)&lt;=IFERROR(DATEVALUE(A333&amp;""),A333))*(IFERROR(DATEVALUE(SCD_Data!$I$3:$I$502&amp;""),SCD_Data!$I$3:$I$502)&gt;=IFERROR(DATEVALUE(A333&amp;""),A333))*(ROW(SCD_Data!$A$3:$A$502)-2))),"—"))</f>
        <v/>
      </c>
      <c r="M333" s="27" t="str">
        <f aca="false">IF(A333="","",IF(H333="—","—",IF(C333&amp;""=H333&amp;"","✓","✗")))</f>
        <v/>
      </c>
      <c r="N333" s="27" t="str">
        <f aca="false">IF(A333="","",IF(H333="—","—",IF(D333&amp;""=I333&amp;"","✓","✗")))</f>
        <v/>
      </c>
      <c r="O333" s="27" t="str">
        <f aca="false">IF(A333="","",IF(H333="—","—",IF(ABS(E333-J333)&lt;0.01,"✓","✗")))</f>
        <v/>
      </c>
      <c r="P333" s="27" t="str">
        <f aca="false">IF(A333="","",IF(H333="—","—",IF(F333&amp;""=K333&amp;"","✓","✗")))</f>
        <v/>
      </c>
      <c r="Q333" s="27" t="str">
        <f aca="false">IF(A333="","",IF(H333="—","—",IF(G333&amp;""=L333&amp;"","✓","✗")))</f>
        <v/>
      </c>
      <c r="R333" s="27" t="str">
        <f aca="false">IF(A333="","",IF(COUNTIF(M333:Q333,"—")=5,"⚠ NO SCD ROW",IF(COUNTIF(M333:Q333,"✗")&gt;0,"❌ MISMATCH","✅ MATCH")))</f>
        <v/>
      </c>
    </row>
    <row r="334" customFormat="false" ht="15" hidden="false" customHeight="true" outlineLevel="0" collapsed="false">
      <c r="A334" s="22" t="str">
        <f aca="false">IF(Daily_Data!A333="","",Daily_Data!A333)</f>
        <v/>
      </c>
      <c r="B334" s="23" t="str">
        <f aca="false">IF(Daily_Data!B333="","",Daily_Data!B333)</f>
        <v/>
      </c>
      <c r="C334" s="23" t="str">
        <f aca="false">IF(A334="","",Daily_Data!C333)</f>
        <v/>
      </c>
      <c r="D334" s="23" t="str">
        <f aca="false">IF(A334="","",Daily_Data!D333)</f>
        <v/>
      </c>
      <c r="E334" s="24" t="str">
        <f aca="false">IF(A334="","",Daily_Data!E333)</f>
        <v/>
      </c>
      <c r="F334" s="23" t="str">
        <f aca="false">IF(A334="","",Daily_Data!F333)</f>
        <v/>
      </c>
      <c r="G334" s="23" t="str">
        <f aca="false">IF(A334="","",Daily_Data!G333)</f>
        <v/>
      </c>
      <c r="H334" s="25" t="str">
        <f aca="false">IF(A334="","",IFERROR(INDEX(SCD_Data!$C$3:$C$502,SUMPRODUCT((SCD_Data!$A$3:$A$502=B334)*(IFERROR(DATEVALUE(SCD_Data!$H$3:$H$502&amp;""),SCD_Data!$H$3:$H$502)&lt;=IFERROR(DATEVALUE(A334&amp;""),A334))*(IFERROR(DATEVALUE(SCD_Data!$I$3:$I$502&amp;""),SCD_Data!$I$3:$I$502)&gt;=IFERROR(DATEVALUE(A334&amp;""),A334))*(ROW(SCD_Data!$A$3:$A$502)-2))),"—"))</f>
        <v/>
      </c>
      <c r="I334" s="25" t="str">
        <f aca="false">IF(A334="","",IFERROR(INDEX(SCD_Data!$D$3:$D$502,SUMPRODUCT((SCD_Data!$A$3:$A$502=B334)*(IFERROR(DATEVALUE(SCD_Data!$H$3:$H$502&amp;""),SCD_Data!$H$3:$H$502)&lt;=IFERROR(DATEVALUE(A334&amp;""),A334))*(IFERROR(DATEVALUE(SCD_Data!$I$3:$I$502&amp;""),SCD_Data!$I$3:$I$502)&gt;=IFERROR(DATEVALUE(A334&amp;""),A334))*(ROW(SCD_Data!$A$3:$A$502)-2))),"—"))</f>
        <v/>
      </c>
      <c r="J334" s="26" t="str">
        <f aca="false">IF(A334="","",IFERROR(INDEX(SCD_Data!$E$3:$E$502,SUMPRODUCT((SCD_Data!$A$3:$A$502=B334)*(IFERROR(DATEVALUE(SCD_Data!$H$3:$H$502&amp;""),SCD_Data!$H$3:$H$502)&lt;=IFERROR(DATEVALUE(A334&amp;""),A334))*(IFERROR(DATEVALUE(SCD_Data!$I$3:$I$502&amp;""),SCD_Data!$I$3:$I$502)&gt;=IFERROR(DATEVALUE(A334&amp;""),A334))*(ROW(SCD_Data!$A$3:$A$502)-2))),"—"))</f>
        <v/>
      </c>
      <c r="K334" s="25" t="str">
        <f aca="false">IF(A334="","",IFERROR(INDEX(SCD_Data!$F$3:$F$502,SUMPRODUCT((SCD_Data!$A$3:$A$502=B334)*(IFERROR(DATEVALUE(SCD_Data!$H$3:$H$502&amp;""),SCD_Data!$H$3:$H$502)&lt;=IFERROR(DATEVALUE(A334&amp;""),A334))*(IFERROR(DATEVALUE(SCD_Data!$I$3:$I$502&amp;""),SCD_Data!$I$3:$I$502)&gt;=IFERROR(DATEVALUE(A334&amp;""),A334))*(ROW(SCD_Data!$A$3:$A$502)-2))),"—"))</f>
        <v/>
      </c>
      <c r="L334" s="25" t="str">
        <f aca="false">IF(A334="","",IFERROR(INDEX(SCD_Data!$G$3:$G$502,SUMPRODUCT((SCD_Data!$A$3:$A$502=B334)*(IFERROR(DATEVALUE(SCD_Data!$H$3:$H$502&amp;""),SCD_Data!$H$3:$H$502)&lt;=IFERROR(DATEVALUE(A334&amp;""),A334))*(IFERROR(DATEVALUE(SCD_Data!$I$3:$I$502&amp;""),SCD_Data!$I$3:$I$502)&gt;=IFERROR(DATEVALUE(A334&amp;""),A334))*(ROW(SCD_Data!$A$3:$A$502)-2))),"—"))</f>
        <v/>
      </c>
      <c r="M334" s="27" t="str">
        <f aca="false">IF(A334="","",IF(H334="—","—",IF(C334&amp;""=H334&amp;"","✓","✗")))</f>
        <v/>
      </c>
      <c r="N334" s="27" t="str">
        <f aca="false">IF(A334="","",IF(H334="—","—",IF(D334&amp;""=I334&amp;"","✓","✗")))</f>
        <v/>
      </c>
      <c r="O334" s="27" t="str">
        <f aca="false">IF(A334="","",IF(H334="—","—",IF(ABS(E334-J334)&lt;0.01,"✓","✗")))</f>
        <v/>
      </c>
      <c r="P334" s="27" t="str">
        <f aca="false">IF(A334="","",IF(H334="—","—",IF(F334&amp;""=K334&amp;"","✓","✗")))</f>
        <v/>
      </c>
      <c r="Q334" s="27" t="str">
        <f aca="false">IF(A334="","",IF(H334="—","—",IF(G334&amp;""=L334&amp;"","✓","✗")))</f>
        <v/>
      </c>
      <c r="R334" s="27" t="str">
        <f aca="false">IF(A334="","",IF(COUNTIF(M334:Q334,"—")=5,"⚠ NO SCD ROW",IF(COUNTIF(M334:Q334,"✗")&gt;0,"❌ MISMATCH","✅ MATCH")))</f>
        <v/>
      </c>
    </row>
    <row r="335" customFormat="false" ht="15" hidden="false" customHeight="true" outlineLevel="0" collapsed="false">
      <c r="A335" s="22" t="str">
        <f aca="false">IF(Daily_Data!A334="","",Daily_Data!A334)</f>
        <v/>
      </c>
      <c r="B335" s="23" t="str">
        <f aca="false">IF(Daily_Data!B334="","",Daily_Data!B334)</f>
        <v/>
      </c>
      <c r="C335" s="23" t="str">
        <f aca="false">IF(A335="","",Daily_Data!C334)</f>
        <v/>
      </c>
      <c r="D335" s="23" t="str">
        <f aca="false">IF(A335="","",Daily_Data!D334)</f>
        <v/>
      </c>
      <c r="E335" s="24" t="str">
        <f aca="false">IF(A335="","",Daily_Data!E334)</f>
        <v/>
      </c>
      <c r="F335" s="23" t="str">
        <f aca="false">IF(A335="","",Daily_Data!F334)</f>
        <v/>
      </c>
      <c r="G335" s="23" t="str">
        <f aca="false">IF(A335="","",Daily_Data!G334)</f>
        <v/>
      </c>
      <c r="H335" s="25" t="str">
        <f aca="false">IF(A335="","",IFERROR(INDEX(SCD_Data!$C$3:$C$502,SUMPRODUCT((SCD_Data!$A$3:$A$502=B335)*(IFERROR(DATEVALUE(SCD_Data!$H$3:$H$502&amp;""),SCD_Data!$H$3:$H$502)&lt;=IFERROR(DATEVALUE(A335&amp;""),A335))*(IFERROR(DATEVALUE(SCD_Data!$I$3:$I$502&amp;""),SCD_Data!$I$3:$I$502)&gt;=IFERROR(DATEVALUE(A335&amp;""),A335))*(ROW(SCD_Data!$A$3:$A$502)-2))),"—"))</f>
        <v/>
      </c>
      <c r="I335" s="25" t="str">
        <f aca="false">IF(A335="","",IFERROR(INDEX(SCD_Data!$D$3:$D$502,SUMPRODUCT((SCD_Data!$A$3:$A$502=B335)*(IFERROR(DATEVALUE(SCD_Data!$H$3:$H$502&amp;""),SCD_Data!$H$3:$H$502)&lt;=IFERROR(DATEVALUE(A335&amp;""),A335))*(IFERROR(DATEVALUE(SCD_Data!$I$3:$I$502&amp;""),SCD_Data!$I$3:$I$502)&gt;=IFERROR(DATEVALUE(A335&amp;""),A335))*(ROW(SCD_Data!$A$3:$A$502)-2))),"—"))</f>
        <v/>
      </c>
      <c r="J335" s="26" t="str">
        <f aca="false">IF(A335="","",IFERROR(INDEX(SCD_Data!$E$3:$E$502,SUMPRODUCT((SCD_Data!$A$3:$A$502=B335)*(IFERROR(DATEVALUE(SCD_Data!$H$3:$H$502&amp;""),SCD_Data!$H$3:$H$502)&lt;=IFERROR(DATEVALUE(A335&amp;""),A335))*(IFERROR(DATEVALUE(SCD_Data!$I$3:$I$502&amp;""),SCD_Data!$I$3:$I$502)&gt;=IFERROR(DATEVALUE(A335&amp;""),A335))*(ROW(SCD_Data!$A$3:$A$502)-2))),"—"))</f>
        <v/>
      </c>
      <c r="K335" s="25" t="str">
        <f aca="false">IF(A335="","",IFERROR(INDEX(SCD_Data!$F$3:$F$502,SUMPRODUCT((SCD_Data!$A$3:$A$502=B335)*(IFERROR(DATEVALUE(SCD_Data!$H$3:$H$502&amp;""),SCD_Data!$H$3:$H$502)&lt;=IFERROR(DATEVALUE(A335&amp;""),A335))*(IFERROR(DATEVALUE(SCD_Data!$I$3:$I$502&amp;""),SCD_Data!$I$3:$I$502)&gt;=IFERROR(DATEVALUE(A335&amp;""),A335))*(ROW(SCD_Data!$A$3:$A$502)-2))),"—"))</f>
        <v/>
      </c>
      <c r="L335" s="25" t="str">
        <f aca="false">IF(A335="","",IFERROR(INDEX(SCD_Data!$G$3:$G$502,SUMPRODUCT((SCD_Data!$A$3:$A$502=B335)*(IFERROR(DATEVALUE(SCD_Data!$H$3:$H$502&amp;""),SCD_Data!$H$3:$H$502)&lt;=IFERROR(DATEVALUE(A335&amp;""),A335))*(IFERROR(DATEVALUE(SCD_Data!$I$3:$I$502&amp;""),SCD_Data!$I$3:$I$502)&gt;=IFERROR(DATEVALUE(A335&amp;""),A335))*(ROW(SCD_Data!$A$3:$A$502)-2))),"—"))</f>
        <v/>
      </c>
      <c r="M335" s="27" t="str">
        <f aca="false">IF(A335="","",IF(H335="—","—",IF(C335&amp;""=H335&amp;"","✓","✗")))</f>
        <v/>
      </c>
      <c r="N335" s="27" t="str">
        <f aca="false">IF(A335="","",IF(H335="—","—",IF(D335&amp;""=I335&amp;"","✓","✗")))</f>
        <v/>
      </c>
      <c r="O335" s="27" t="str">
        <f aca="false">IF(A335="","",IF(H335="—","—",IF(ABS(E335-J335)&lt;0.01,"✓","✗")))</f>
        <v/>
      </c>
      <c r="P335" s="27" t="str">
        <f aca="false">IF(A335="","",IF(H335="—","—",IF(F335&amp;""=K335&amp;"","✓","✗")))</f>
        <v/>
      </c>
      <c r="Q335" s="27" t="str">
        <f aca="false">IF(A335="","",IF(H335="—","—",IF(G335&amp;""=L335&amp;"","✓","✗")))</f>
        <v/>
      </c>
      <c r="R335" s="27" t="str">
        <f aca="false">IF(A335="","",IF(COUNTIF(M335:Q335,"—")=5,"⚠ NO SCD ROW",IF(COUNTIF(M335:Q335,"✗")&gt;0,"❌ MISMATCH","✅ MATCH")))</f>
        <v/>
      </c>
    </row>
    <row r="336" customFormat="false" ht="15" hidden="false" customHeight="true" outlineLevel="0" collapsed="false">
      <c r="A336" s="22" t="str">
        <f aca="false">IF(Daily_Data!A335="","",Daily_Data!A335)</f>
        <v/>
      </c>
      <c r="B336" s="23" t="str">
        <f aca="false">IF(Daily_Data!B335="","",Daily_Data!B335)</f>
        <v/>
      </c>
      <c r="C336" s="23" t="str">
        <f aca="false">IF(A336="","",Daily_Data!C335)</f>
        <v/>
      </c>
      <c r="D336" s="23" t="str">
        <f aca="false">IF(A336="","",Daily_Data!D335)</f>
        <v/>
      </c>
      <c r="E336" s="24" t="str">
        <f aca="false">IF(A336="","",Daily_Data!E335)</f>
        <v/>
      </c>
      <c r="F336" s="23" t="str">
        <f aca="false">IF(A336="","",Daily_Data!F335)</f>
        <v/>
      </c>
      <c r="G336" s="23" t="str">
        <f aca="false">IF(A336="","",Daily_Data!G335)</f>
        <v/>
      </c>
      <c r="H336" s="25" t="str">
        <f aca="false">IF(A336="","",IFERROR(INDEX(SCD_Data!$C$3:$C$502,SUMPRODUCT((SCD_Data!$A$3:$A$502=B336)*(IFERROR(DATEVALUE(SCD_Data!$H$3:$H$502&amp;""),SCD_Data!$H$3:$H$502)&lt;=IFERROR(DATEVALUE(A336&amp;""),A336))*(IFERROR(DATEVALUE(SCD_Data!$I$3:$I$502&amp;""),SCD_Data!$I$3:$I$502)&gt;=IFERROR(DATEVALUE(A336&amp;""),A336))*(ROW(SCD_Data!$A$3:$A$502)-2))),"—"))</f>
        <v/>
      </c>
      <c r="I336" s="25" t="str">
        <f aca="false">IF(A336="","",IFERROR(INDEX(SCD_Data!$D$3:$D$502,SUMPRODUCT((SCD_Data!$A$3:$A$502=B336)*(IFERROR(DATEVALUE(SCD_Data!$H$3:$H$502&amp;""),SCD_Data!$H$3:$H$502)&lt;=IFERROR(DATEVALUE(A336&amp;""),A336))*(IFERROR(DATEVALUE(SCD_Data!$I$3:$I$502&amp;""),SCD_Data!$I$3:$I$502)&gt;=IFERROR(DATEVALUE(A336&amp;""),A336))*(ROW(SCD_Data!$A$3:$A$502)-2))),"—"))</f>
        <v/>
      </c>
      <c r="J336" s="26" t="str">
        <f aca="false">IF(A336="","",IFERROR(INDEX(SCD_Data!$E$3:$E$502,SUMPRODUCT((SCD_Data!$A$3:$A$502=B336)*(IFERROR(DATEVALUE(SCD_Data!$H$3:$H$502&amp;""),SCD_Data!$H$3:$H$502)&lt;=IFERROR(DATEVALUE(A336&amp;""),A336))*(IFERROR(DATEVALUE(SCD_Data!$I$3:$I$502&amp;""),SCD_Data!$I$3:$I$502)&gt;=IFERROR(DATEVALUE(A336&amp;""),A336))*(ROW(SCD_Data!$A$3:$A$502)-2))),"—"))</f>
        <v/>
      </c>
      <c r="K336" s="25" t="str">
        <f aca="false">IF(A336="","",IFERROR(INDEX(SCD_Data!$F$3:$F$502,SUMPRODUCT((SCD_Data!$A$3:$A$502=B336)*(IFERROR(DATEVALUE(SCD_Data!$H$3:$H$502&amp;""),SCD_Data!$H$3:$H$502)&lt;=IFERROR(DATEVALUE(A336&amp;""),A336))*(IFERROR(DATEVALUE(SCD_Data!$I$3:$I$502&amp;""),SCD_Data!$I$3:$I$502)&gt;=IFERROR(DATEVALUE(A336&amp;""),A336))*(ROW(SCD_Data!$A$3:$A$502)-2))),"—"))</f>
        <v/>
      </c>
      <c r="L336" s="25" t="str">
        <f aca="false">IF(A336="","",IFERROR(INDEX(SCD_Data!$G$3:$G$502,SUMPRODUCT((SCD_Data!$A$3:$A$502=B336)*(IFERROR(DATEVALUE(SCD_Data!$H$3:$H$502&amp;""),SCD_Data!$H$3:$H$502)&lt;=IFERROR(DATEVALUE(A336&amp;""),A336))*(IFERROR(DATEVALUE(SCD_Data!$I$3:$I$502&amp;""),SCD_Data!$I$3:$I$502)&gt;=IFERROR(DATEVALUE(A336&amp;""),A336))*(ROW(SCD_Data!$A$3:$A$502)-2))),"—"))</f>
        <v/>
      </c>
      <c r="M336" s="27" t="str">
        <f aca="false">IF(A336="","",IF(H336="—","—",IF(C336&amp;""=H336&amp;"","✓","✗")))</f>
        <v/>
      </c>
      <c r="N336" s="27" t="str">
        <f aca="false">IF(A336="","",IF(H336="—","—",IF(D336&amp;""=I336&amp;"","✓","✗")))</f>
        <v/>
      </c>
      <c r="O336" s="27" t="str">
        <f aca="false">IF(A336="","",IF(H336="—","—",IF(ABS(E336-J336)&lt;0.01,"✓","✗")))</f>
        <v/>
      </c>
      <c r="P336" s="27" t="str">
        <f aca="false">IF(A336="","",IF(H336="—","—",IF(F336&amp;""=K336&amp;"","✓","✗")))</f>
        <v/>
      </c>
      <c r="Q336" s="27" t="str">
        <f aca="false">IF(A336="","",IF(H336="—","—",IF(G336&amp;""=L336&amp;"","✓","✗")))</f>
        <v/>
      </c>
      <c r="R336" s="27" t="str">
        <f aca="false">IF(A336="","",IF(COUNTIF(M336:Q336,"—")=5,"⚠ NO SCD ROW",IF(COUNTIF(M336:Q336,"✗")&gt;0,"❌ MISMATCH","✅ MATCH")))</f>
        <v/>
      </c>
    </row>
    <row r="337" customFormat="false" ht="15" hidden="false" customHeight="true" outlineLevel="0" collapsed="false">
      <c r="A337" s="22" t="str">
        <f aca="false">IF(Daily_Data!A336="","",Daily_Data!A336)</f>
        <v/>
      </c>
      <c r="B337" s="23" t="str">
        <f aca="false">IF(Daily_Data!B336="","",Daily_Data!B336)</f>
        <v/>
      </c>
      <c r="C337" s="23" t="str">
        <f aca="false">IF(A337="","",Daily_Data!C336)</f>
        <v/>
      </c>
      <c r="D337" s="23" t="str">
        <f aca="false">IF(A337="","",Daily_Data!D336)</f>
        <v/>
      </c>
      <c r="E337" s="24" t="str">
        <f aca="false">IF(A337="","",Daily_Data!E336)</f>
        <v/>
      </c>
      <c r="F337" s="23" t="str">
        <f aca="false">IF(A337="","",Daily_Data!F336)</f>
        <v/>
      </c>
      <c r="G337" s="23" t="str">
        <f aca="false">IF(A337="","",Daily_Data!G336)</f>
        <v/>
      </c>
      <c r="H337" s="25" t="str">
        <f aca="false">IF(A337="","",IFERROR(INDEX(SCD_Data!$C$3:$C$502,SUMPRODUCT((SCD_Data!$A$3:$A$502=B337)*(IFERROR(DATEVALUE(SCD_Data!$H$3:$H$502&amp;""),SCD_Data!$H$3:$H$502)&lt;=IFERROR(DATEVALUE(A337&amp;""),A337))*(IFERROR(DATEVALUE(SCD_Data!$I$3:$I$502&amp;""),SCD_Data!$I$3:$I$502)&gt;=IFERROR(DATEVALUE(A337&amp;""),A337))*(ROW(SCD_Data!$A$3:$A$502)-2))),"—"))</f>
        <v/>
      </c>
      <c r="I337" s="25" t="str">
        <f aca="false">IF(A337="","",IFERROR(INDEX(SCD_Data!$D$3:$D$502,SUMPRODUCT((SCD_Data!$A$3:$A$502=B337)*(IFERROR(DATEVALUE(SCD_Data!$H$3:$H$502&amp;""),SCD_Data!$H$3:$H$502)&lt;=IFERROR(DATEVALUE(A337&amp;""),A337))*(IFERROR(DATEVALUE(SCD_Data!$I$3:$I$502&amp;""),SCD_Data!$I$3:$I$502)&gt;=IFERROR(DATEVALUE(A337&amp;""),A337))*(ROW(SCD_Data!$A$3:$A$502)-2))),"—"))</f>
        <v/>
      </c>
      <c r="J337" s="26" t="str">
        <f aca="false">IF(A337="","",IFERROR(INDEX(SCD_Data!$E$3:$E$502,SUMPRODUCT((SCD_Data!$A$3:$A$502=B337)*(IFERROR(DATEVALUE(SCD_Data!$H$3:$H$502&amp;""),SCD_Data!$H$3:$H$502)&lt;=IFERROR(DATEVALUE(A337&amp;""),A337))*(IFERROR(DATEVALUE(SCD_Data!$I$3:$I$502&amp;""),SCD_Data!$I$3:$I$502)&gt;=IFERROR(DATEVALUE(A337&amp;""),A337))*(ROW(SCD_Data!$A$3:$A$502)-2))),"—"))</f>
        <v/>
      </c>
      <c r="K337" s="25" t="str">
        <f aca="false">IF(A337="","",IFERROR(INDEX(SCD_Data!$F$3:$F$502,SUMPRODUCT((SCD_Data!$A$3:$A$502=B337)*(IFERROR(DATEVALUE(SCD_Data!$H$3:$H$502&amp;""),SCD_Data!$H$3:$H$502)&lt;=IFERROR(DATEVALUE(A337&amp;""),A337))*(IFERROR(DATEVALUE(SCD_Data!$I$3:$I$502&amp;""),SCD_Data!$I$3:$I$502)&gt;=IFERROR(DATEVALUE(A337&amp;""),A337))*(ROW(SCD_Data!$A$3:$A$502)-2))),"—"))</f>
        <v/>
      </c>
      <c r="L337" s="25" t="str">
        <f aca="false">IF(A337="","",IFERROR(INDEX(SCD_Data!$G$3:$G$502,SUMPRODUCT((SCD_Data!$A$3:$A$502=B337)*(IFERROR(DATEVALUE(SCD_Data!$H$3:$H$502&amp;""),SCD_Data!$H$3:$H$502)&lt;=IFERROR(DATEVALUE(A337&amp;""),A337))*(IFERROR(DATEVALUE(SCD_Data!$I$3:$I$502&amp;""),SCD_Data!$I$3:$I$502)&gt;=IFERROR(DATEVALUE(A337&amp;""),A337))*(ROW(SCD_Data!$A$3:$A$502)-2))),"—"))</f>
        <v/>
      </c>
      <c r="M337" s="27" t="str">
        <f aca="false">IF(A337="","",IF(H337="—","—",IF(C337&amp;""=H337&amp;"","✓","✗")))</f>
        <v/>
      </c>
      <c r="N337" s="27" t="str">
        <f aca="false">IF(A337="","",IF(H337="—","—",IF(D337&amp;""=I337&amp;"","✓","✗")))</f>
        <v/>
      </c>
      <c r="O337" s="27" t="str">
        <f aca="false">IF(A337="","",IF(H337="—","—",IF(ABS(E337-J337)&lt;0.01,"✓","✗")))</f>
        <v/>
      </c>
      <c r="P337" s="27" t="str">
        <f aca="false">IF(A337="","",IF(H337="—","—",IF(F337&amp;""=K337&amp;"","✓","✗")))</f>
        <v/>
      </c>
      <c r="Q337" s="27" t="str">
        <f aca="false">IF(A337="","",IF(H337="—","—",IF(G337&amp;""=L337&amp;"","✓","✗")))</f>
        <v/>
      </c>
      <c r="R337" s="27" t="str">
        <f aca="false">IF(A337="","",IF(COUNTIF(M337:Q337,"—")=5,"⚠ NO SCD ROW",IF(COUNTIF(M337:Q337,"✗")&gt;0,"❌ MISMATCH","✅ MATCH")))</f>
        <v/>
      </c>
    </row>
    <row r="338" customFormat="false" ht="15" hidden="false" customHeight="true" outlineLevel="0" collapsed="false">
      <c r="A338" s="22" t="str">
        <f aca="false">IF(Daily_Data!A337="","",Daily_Data!A337)</f>
        <v/>
      </c>
      <c r="B338" s="23" t="str">
        <f aca="false">IF(Daily_Data!B337="","",Daily_Data!B337)</f>
        <v/>
      </c>
      <c r="C338" s="23" t="str">
        <f aca="false">IF(A338="","",Daily_Data!C337)</f>
        <v/>
      </c>
      <c r="D338" s="23" t="str">
        <f aca="false">IF(A338="","",Daily_Data!D337)</f>
        <v/>
      </c>
      <c r="E338" s="24" t="str">
        <f aca="false">IF(A338="","",Daily_Data!E337)</f>
        <v/>
      </c>
      <c r="F338" s="23" t="str">
        <f aca="false">IF(A338="","",Daily_Data!F337)</f>
        <v/>
      </c>
      <c r="G338" s="23" t="str">
        <f aca="false">IF(A338="","",Daily_Data!G337)</f>
        <v/>
      </c>
      <c r="H338" s="25" t="str">
        <f aca="false">IF(A338="","",IFERROR(INDEX(SCD_Data!$C$3:$C$502,SUMPRODUCT((SCD_Data!$A$3:$A$502=B338)*(IFERROR(DATEVALUE(SCD_Data!$H$3:$H$502&amp;""),SCD_Data!$H$3:$H$502)&lt;=IFERROR(DATEVALUE(A338&amp;""),A338))*(IFERROR(DATEVALUE(SCD_Data!$I$3:$I$502&amp;""),SCD_Data!$I$3:$I$502)&gt;=IFERROR(DATEVALUE(A338&amp;""),A338))*(ROW(SCD_Data!$A$3:$A$502)-2))),"—"))</f>
        <v/>
      </c>
      <c r="I338" s="25" t="str">
        <f aca="false">IF(A338="","",IFERROR(INDEX(SCD_Data!$D$3:$D$502,SUMPRODUCT((SCD_Data!$A$3:$A$502=B338)*(IFERROR(DATEVALUE(SCD_Data!$H$3:$H$502&amp;""),SCD_Data!$H$3:$H$502)&lt;=IFERROR(DATEVALUE(A338&amp;""),A338))*(IFERROR(DATEVALUE(SCD_Data!$I$3:$I$502&amp;""),SCD_Data!$I$3:$I$502)&gt;=IFERROR(DATEVALUE(A338&amp;""),A338))*(ROW(SCD_Data!$A$3:$A$502)-2))),"—"))</f>
        <v/>
      </c>
      <c r="J338" s="26" t="str">
        <f aca="false">IF(A338="","",IFERROR(INDEX(SCD_Data!$E$3:$E$502,SUMPRODUCT((SCD_Data!$A$3:$A$502=B338)*(IFERROR(DATEVALUE(SCD_Data!$H$3:$H$502&amp;""),SCD_Data!$H$3:$H$502)&lt;=IFERROR(DATEVALUE(A338&amp;""),A338))*(IFERROR(DATEVALUE(SCD_Data!$I$3:$I$502&amp;""),SCD_Data!$I$3:$I$502)&gt;=IFERROR(DATEVALUE(A338&amp;""),A338))*(ROW(SCD_Data!$A$3:$A$502)-2))),"—"))</f>
        <v/>
      </c>
      <c r="K338" s="25" t="str">
        <f aca="false">IF(A338="","",IFERROR(INDEX(SCD_Data!$F$3:$F$502,SUMPRODUCT((SCD_Data!$A$3:$A$502=B338)*(IFERROR(DATEVALUE(SCD_Data!$H$3:$H$502&amp;""),SCD_Data!$H$3:$H$502)&lt;=IFERROR(DATEVALUE(A338&amp;""),A338))*(IFERROR(DATEVALUE(SCD_Data!$I$3:$I$502&amp;""),SCD_Data!$I$3:$I$502)&gt;=IFERROR(DATEVALUE(A338&amp;""),A338))*(ROW(SCD_Data!$A$3:$A$502)-2))),"—"))</f>
        <v/>
      </c>
      <c r="L338" s="25" t="str">
        <f aca="false">IF(A338="","",IFERROR(INDEX(SCD_Data!$G$3:$G$502,SUMPRODUCT((SCD_Data!$A$3:$A$502=B338)*(IFERROR(DATEVALUE(SCD_Data!$H$3:$H$502&amp;""),SCD_Data!$H$3:$H$502)&lt;=IFERROR(DATEVALUE(A338&amp;""),A338))*(IFERROR(DATEVALUE(SCD_Data!$I$3:$I$502&amp;""),SCD_Data!$I$3:$I$502)&gt;=IFERROR(DATEVALUE(A338&amp;""),A338))*(ROW(SCD_Data!$A$3:$A$502)-2))),"—"))</f>
        <v/>
      </c>
      <c r="M338" s="27" t="str">
        <f aca="false">IF(A338="","",IF(H338="—","—",IF(C338&amp;""=H338&amp;"","✓","✗")))</f>
        <v/>
      </c>
      <c r="N338" s="27" t="str">
        <f aca="false">IF(A338="","",IF(H338="—","—",IF(D338&amp;""=I338&amp;"","✓","✗")))</f>
        <v/>
      </c>
      <c r="O338" s="27" t="str">
        <f aca="false">IF(A338="","",IF(H338="—","—",IF(ABS(E338-J338)&lt;0.01,"✓","✗")))</f>
        <v/>
      </c>
      <c r="P338" s="27" t="str">
        <f aca="false">IF(A338="","",IF(H338="—","—",IF(F338&amp;""=K338&amp;"","✓","✗")))</f>
        <v/>
      </c>
      <c r="Q338" s="27" t="str">
        <f aca="false">IF(A338="","",IF(H338="—","—",IF(G338&amp;""=L338&amp;"","✓","✗")))</f>
        <v/>
      </c>
      <c r="R338" s="27" t="str">
        <f aca="false">IF(A338="","",IF(COUNTIF(M338:Q338,"—")=5,"⚠ NO SCD ROW",IF(COUNTIF(M338:Q338,"✗")&gt;0,"❌ MISMATCH","✅ MATCH")))</f>
        <v/>
      </c>
    </row>
    <row r="339" customFormat="false" ht="15" hidden="false" customHeight="true" outlineLevel="0" collapsed="false">
      <c r="A339" s="22" t="str">
        <f aca="false">IF(Daily_Data!A338="","",Daily_Data!A338)</f>
        <v/>
      </c>
      <c r="B339" s="23" t="str">
        <f aca="false">IF(Daily_Data!B338="","",Daily_Data!B338)</f>
        <v/>
      </c>
      <c r="C339" s="23" t="str">
        <f aca="false">IF(A339="","",Daily_Data!C338)</f>
        <v/>
      </c>
      <c r="D339" s="23" t="str">
        <f aca="false">IF(A339="","",Daily_Data!D338)</f>
        <v/>
      </c>
      <c r="E339" s="24" t="str">
        <f aca="false">IF(A339="","",Daily_Data!E338)</f>
        <v/>
      </c>
      <c r="F339" s="23" t="str">
        <f aca="false">IF(A339="","",Daily_Data!F338)</f>
        <v/>
      </c>
      <c r="G339" s="23" t="str">
        <f aca="false">IF(A339="","",Daily_Data!G338)</f>
        <v/>
      </c>
      <c r="H339" s="25" t="str">
        <f aca="false">IF(A339="","",IFERROR(INDEX(SCD_Data!$C$3:$C$502,SUMPRODUCT((SCD_Data!$A$3:$A$502=B339)*(IFERROR(DATEVALUE(SCD_Data!$H$3:$H$502&amp;""),SCD_Data!$H$3:$H$502)&lt;=IFERROR(DATEVALUE(A339&amp;""),A339))*(IFERROR(DATEVALUE(SCD_Data!$I$3:$I$502&amp;""),SCD_Data!$I$3:$I$502)&gt;=IFERROR(DATEVALUE(A339&amp;""),A339))*(ROW(SCD_Data!$A$3:$A$502)-2))),"—"))</f>
        <v/>
      </c>
      <c r="I339" s="25" t="str">
        <f aca="false">IF(A339="","",IFERROR(INDEX(SCD_Data!$D$3:$D$502,SUMPRODUCT((SCD_Data!$A$3:$A$502=B339)*(IFERROR(DATEVALUE(SCD_Data!$H$3:$H$502&amp;""),SCD_Data!$H$3:$H$502)&lt;=IFERROR(DATEVALUE(A339&amp;""),A339))*(IFERROR(DATEVALUE(SCD_Data!$I$3:$I$502&amp;""),SCD_Data!$I$3:$I$502)&gt;=IFERROR(DATEVALUE(A339&amp;""),A339))*(ROW(SCD_Data!$A$3:$A$502)-2))),"—"))</f>
        <v/>
      </c>
      <c r="J339" s="26" t="str">
        <f aca="false">IF(A339="","",IFERROR(INDEX(SCD_Data!$E$3:$E$502,SUMPRODUCT((SCD_Data!$A$3:$A$502=B339)*(IFERROR(DATEVALUE(SCD_Data!$H$3:$H$502&amp;""),SCD_Data!$H$3:$H$502)&lt;=IFERROR(DATEVALUE(A339&amp;""),A339))*(IFERROR(DATEVALUE(SCD_Data!$I$3:$I$502&amp;""),SCD_Data!$I$3:$I$502)&gt;=IFERROR(DATEVALUE(A339&amp;""),A339))*(ROW(SCD_Data!$A$3:$A$502)-2))),"—"))</f>
        <v/>
      </c>
      <c r="K339" s="25" t="str">
        <f aca="false">IF(A339="","",IFERROR(INDEX(SCD_Data!$F$3:$F$502,SUMPRODUCT((SCD_Data!$A$3:$A$502=B339)*(IFERROR(DATEVALUE(SCD_Data!$H$3:$H$502&amp;""),SCD_Data!$H$3:$H$502)&lt;=IFERROR(DATEVALUE(A339&amp;""),A339))*(IFERROR(DATEVALUE(SCD_Data!$I$3:$I$502&amp;""),SCD_Data!$I$3:$I$502)&gt;=IFERROR(DATEVALUE(A339&amp;""),A339))*(ROW(SCD_Data!$A$3:$A$502)-2))),"—"))</f>
        <v/>
      </c>
      <c r="L339" s="25" t="str">
        <f aca="false">IF(A339="","",IFERROR(INDEX(SCD_Data!$G$3:$G$502,SUMPRODUCT((SCD_Data!$A$3:$A$502=B339)*(IFERROR(DATEVALUE(SCD_Data!$H$3:$H$502&amp;""),SCD_Data!$H$3:$H$502)&lt;=IFERROR(DATEVALUE(A339&amp;""),A339))*(IFERROR(DATEVALUE(SCD_Data!$I$3:$I$502&amp;""),SCD_Data!$I$3:$I$502)&gt;=IFERROR(DATEVALUE(A339&amp;""),A339))*(ROW(SCD_Data!$A$3:$A$502)-2))),"—"))</f>
        <v/>
      </c>
      <c r="M339" s="27" t="str">
        <f aca="false">IF(A339="","",IF(H339="—","—",IF(C339&amp;""=H339&amp;"","✓","✗")))</f>
        <v/>
      </c>
      <c r="N339" s="27" t="str">
        <f aca="false">IF(A339="","",IF(H339="—","—",IF(D339&amp;""=I339&amp;"","✓","✗")))</f>
        <v/>
      </c>
      <c r="O339" s="27" t="str">
        <f aca="false">IF(A339="","",IF(H339="—","—",IF(ABS(E339-J339)&lt;0.01,"✓","✗")))</f>
        <v/>
      </c>
      <c r="P339" s="27" t="str">
        <f aca="false">IF(A339="","",IF(H339="—","—",IF(F339&amp;""=K339&amp;"","✓","✗")))</f>
        <v/>
      </c>
      <c r="Q339" s="27" t="str">
        <f aca="false">IF(A339="","",IF(H339="—","—",IF(G339&amp;""=L339&amp;"","✓","✗")))</f>
        <v/>
      </c>
      <c r="R339" s="27" t="str">
        <f aca="false">IF(A339="","",IF(COUNTIF(M339:Q339,"—")=5,"⚠ NO SCD ROW",IF(COUNTIF(M339:Q339,"✗")&gt;0,"❌ MISMATCH","✅ MATCH")))</f>
        <v/>
      </c>
    </row>
    <row r="340" customFormat="false" ht="15" hidden="false" customHeight="true" outlineLevel="0" collapsed="false">
      <c r="A340" s="22" t="str">
        <f aca="false">IF(Daily_Data!A339="","",Daily_Data!A339)</f>
        <v/>
      </c>
      <c r="B340" s="23" t="str">
        <f aca="false">IF(Daily_Data!B339="","",Daily_Data!B339)</f>
        <v/>
      </c>
      <c r="C340" s="23" t="str">
        <f aca="false">IF(A340="","",Daily_Data!C339)</f>
        <v/>
      </c>
      <c r="D340" s="23" t="str">
        <f aca="false">IF(A340="","",Daily_Data!D339)</f>
        <v/>
      </c>
      <c r="E340" s="24" t="str">
        <f aca="false">IF(A340="","",Daily_Data!E339)</f>
        <v/>
      </c>
      <c r="F340" s="23" t="str">
        <f aca="false">IF(A340="","",Daily_Data!F339)</f>
        <v/>
      </c>
      <c r="G340" s="23" t="str">
        <f aca="false">IF(A340="","",Daily_Data!G339)</f>
        <v/>
      </c>
      <c r="H340" s="25" t="str">
        <f aca="false">IF(A340="","",IFERROR(INDEX(SCD_Data!$C$3:$C$502,SUMPRODUCT((SCD_Data!$A$3:$A$502=B340)*(IFERROR(DATEVALUE(SCD_Data!$H$3:$H$502&amp;""),SCD_Data!$H$3:$H$502)&lt;=IFERROR(DATEVALUE(A340&amp;""),A340))*(IFERROR(DATEVALUE(SCD_Data!$I$3:$I$502&amp;""),SCD_Data!$I$3:$I$502)&gt;=IFERROR(DATEVALUE(A340&amp;""),A340))*(ROW(SCD_Data!$A$3:$A$502)-2))),"—"))</f>
        <v/>
      </c>
      <c r="I340" s="25" t="str">
        <f aca="false">IF(A340="","",IFERROR(INDEX(SCD_Data!$D$3:$D$502,SUMPRODUCT((SCD_Data!$A$3:$A$502=B340)*(IFERROR(DATEVALUE(SCD_Data!$H$3:$H$502&amp;""),SCD_Data!$H$3:$H$502)&lt;=IFERROR(DATEVALUE(A340&amp;""),A340))*(IFERROR(DATEVALUE(SCD_Data!$I$3:$I$502&amp;""),SCD_Data!$I$3:$I$502)&gt;=IFERROR(DATEVALUE(A340&amp;""),A340))*(ROW(SCD_Data!$A$3:$A$502)-2))),"—"))</f>
        <v/>
      </c>
      <c r="J340" s="26" t="str">
        <f aca="false">IF(A340="","",IFERROR(INDEX(SCD_Data!$E$3:$E$502,SUMPRODUCT((SCD_Data!$A$3:$A$502=B340)*(IFERROR(DATEVALUE(SCD_Data!$H$3:$H$502&amp;""),SCD_Data!$H$3:$H$502)&lt;=IFERROR(DATEVALUE(A340&amp;""),A340))*(IFERROR(DATEVALUE(SCD_Data!$I$3:$I$502&amp;""),SCD_Data!$I$3:$I$502)&gt;=IFERROR(DATEVALUE(A340&amp;""),A340))*(ROW(SCD_Data!$A$3:$A$502)-2))),"—"))</f>
        <v/>
      </c>
      <c r="K340" s="25" t="str">
        <f aca="false">IF(A340="","",IFERROR(INDEX(SCD_Data!$F$3:$F$502,SUMPRODUCT((SCD_Data!$A$3:$A$502=B340)*(IFERROR(DATEVALUE(SCD_Data!$H$3:$H$502&amp;""),SCD_Data!$H$3:$H$502)&lt;=IFERROR(DATEVALUE(A340&amp;""),A340))*(IFERROR(DATEVALUE(SCD_Data!$I$3:$I$502&amp;""),SCD_Data!$I$3:$I$502)&gt;=IFERROR(DATEVALUE(A340&amp;""),A340))*(ROW(SCD_Data!$A$3:$A$502)-2))),"—"))</f>
        <v/>
      </c>
      <c r="L340" s="25" t="str">
        <f aca="false">IF(A340="","",IFERROR(INDEX(SCD_Data!$G$3:$G$502,SUMPRODUCT((SCD_Data!$A$3:$A$502=B340)*(IFERROR(DATEVALUE(SCD_Data!$H$3:$H$502&amp;""),SCD_Data!$H$3:$H$502)&lt;=IFERROR(DATEVALUE(A340&amp;""),A340))*(IFERROR(DATEVALUE(SCD_Data!$I$3:$I$502&amp;""),SCD_Data!$I$3:$I$502)&gt;=IFERROR(DATEVALUE(A340&amp;""),A340))*(ROW(SCD_Data!$A$3:$A$502)-2))),"—"))</f>
        <v/>
      </c>
      <c r="M340" s="27" t="str">
        <f aca="false">IF(A340="","",IF(H340="—","—",IF(C340&amp;""=H340&amp;"","✓","✗")))</f>
        <v/>
      </c>
      <c r="N340" s="27" t="str">
        <f aca="false">IF(A340="","",IF(H340="—","—",IF(D340&amp;""=I340&amp;"","✓","✗")))</f>
        <v/>
      </c>
      <c r="O340" s="27" t="str">
        <f aca="false">IF(A340="","",IF(H340="—","—",IF(ABS(E340-J340)&lt;0.01,"✓","✗")))</f>
        <v/>
      </c>
      <c r="P340" s="27" t="str">
        <f aca="false">IF(A340="","",IF(H340="—","—",IF(F340&amp;""=K340&amp;"","✓","✗")))</f>
        <v/>
      </c>
      <c r="Q340" s="27" t="str">
        <f aca="false">IF(A340="","",IF(H340="—","—",IF(G340&amp;""=L340&amp;"","✓","✗")))</f>
        <v/>
      </c>
      <c r="R340" s="27" t="str">
        <f aca="false">IF(A340="","",IF(COUNTIF(M340:Q340,"—")=5,"⚠ NO SCD ROW",IF(COUNTIF(M340:Q340,"✗")&gt;0,"❌ MISMATCH","✅ MATCH")))</f>
        <v/>
      </c>
    </row>
    <row r="341" customFormat="false" ht="15" hidden="false" customHeight="true" outlineLevel="0" collapsed="false">
      <c r="A341" s="22" t="str">
        <f aca="false">IF(Daily_Data!A340="","",Daily_Data!A340)</f>
        <v/>
      </c>
      <c r="B341" s="23" t="str">
        <f aca="false">IF(Daily_Data!B340="","",Daily_Data!B340)</f>
        <v/>
      </c>
      <c r="C341" s="23" t="str">
        <f aca="false">IF(A341="","",Daily_Data!C340)</f>
        <v/>
      </c>
      <c r="D341" s="23" t="str">
        <f aca="false">IF(A341="","",Daily_Data!D340)</f>
        <v/>
      </c>
      <c r="E341" s="24" t="str">
        <f aca="false">IF(A341="","",Daily_Data!E340)</f>
        <v/>
      </c>
      <c r="F341" s="23" t="str">
        <f aca="false">IF(A341="","",Daily_Data!F340)</f>
        <v/>
      </c>
      <c r="G341" s="23" t="str">
        <f aca="false">IF(A341="","",Daily_Data!G340)</f>
        <v/>
      </c>
      <c r="H341" s="25" t="str">
        <f aca="false">IF(A341="","",IFERROR(INDEX(SCD_Data!$C$3:$C$502,SUMPRODUCT((SCD_Data!$A$3:$A$502=B341)*(IFERROR(DATEVALUE(SCD_Data!$H$3:$H$502&amp;""),SCD_Data!$H$3:$H$502)&lt;=IFERROR(DATEVALUE(A341&amp;""),A341))*(IFERROR(DATEVALUE(SCD_Data!$I$3:$I$502&amp;""),SCD_Data!$I$3:$I$502)&gt;=IFERROR(DATEVALUE(A341&amp;""),A341))*(ROW(SCD_Data!$A$3:$A$502)-2))),"—"))</f>
        <v/>
      </c>
      <c r="I341" s="25" t="str">
        <f aca="false">IF(A341="","",IFERROR(INDEX(SCD_Data!$D$3:$D$502,SUMPRODUCT((SCD_Data!$A$3:$A$502=B341)*(IFERROR(DATEVALUE(SCD_Data!$H$3:$H$502&amp;""),SCD_Data!$H$3:$H$502)&lt;=IFERROR(DATEVALUE(A341&amp;""),A341))*(IFERROR(DATEVALUE(SCD_Data!$I$3:$I$502&amp;""),SCD_Data!$I$3:$I$502)&gt;=IFERROR(DATEVALUE(A341&amp;""),A341))*(ROW(SCD_Data!$A$3:$A$502)-2))),"—"))</f>
        <v/>
      </c>
      <c r="J341" s="26" t="str">
        <f aca="false">IF(A341="","",IFERROR(INDEX(SCD_Data!$E$3:$E$502,SUMPRODUCT((SCD_Data!$A$3:$A$502=B341)*(IFERROR(DATEVALUE(SCD_Data!$H$3:$H$502&amp;""),SCD_Data!$H$3:$H$502)&lt;=IFERROR(DATEVALUE(A341&amp;""),A341))*(IFERROR(DATEVALUE(SCD_Data!$I$3:$I$502&amp;""),SCD_Data!$I$3:$I$502)&gt;=IFERROR(DATEVALUE(A341&amp;""),A341))*(ROW(SCD_Data!$A$3:$A$502)-2))),"—"))</f>
        <v/>
      </c>
      <c r="K341" s="25" t="str">
        <f aca="false">IF(A341="","",IFERROR(INDEX(SCD_Data!$F$3:$F$502,SUMPRODUCT((SCD_Data!$A$3:$A$502=B341)*(IFERROR(DATEVALUE(SCD_Data!$H$3:$H$502&amp;""),SCD_Data!$H$3:$H$502)&lt;=IFERROR(DATEVALUE(A341&amp;""),A341))*(IFERROR(DATEVALUE(SCD_Data!$I$3:$I$502&amp;""),SCD_Data!$I$3:$I$502)&gt;=IFERROR(DATEVALUE(A341&amp;""),A341))*(ROW(SCD_Data!$A$3:$A$502)-2))),"—"))</f>
        <v/>
      </c>
      <c r="L341" s="25" t="str">
        <f aca="false">IF(A341="","",IFERROR(INDEX(SCD_Data!$G$3:$G$502,SUMPRODUCT((SCD_Data!$A$3:$A$502=B341)*(IFERROR(DATEVALUE(SCD_Data!$H$3:$H$502&amp;""),SCD_Data!$H$3:$H$502)&lt;=IFERROR(DATEVALUE(A341&amp;""),A341))*(IFERROR(DATEVALUE(SCD_Data!$I$3:$I$502&amp;""),SCD_Data!$I$3:$I$502)&gt;=IFERROR(DATEVALUE(A341&amp;""),A341))*(ROW(SCD_Data!$A$3:$A$502)-2))),"—"))</f>
        <v/>
      </c>
      <c r="M341" s="27" t="str">
        <f aca="false">IF(A341="","",IF(H341="—","—",IF(C341&amp;""=H341&amp;"","✓","✗")))</f>
        <v/>
      </c>
      <c r="N341" s="27" t="str">
        <f aca="false">IF(A341="","",IF(H341="—","—",IF(D341&amp;""=I341&amp;"","✓","✗")))</f>
        <v/>
      </c>
      <c r="O341" s="27" t="str">
        <f aca="false">IF(A341="","",IF(H341="—","—",IF(ABS(E341-J341)&lt;0.01,"✓","✗")))</f>
        <v/>
      </c>
      <c r="P341" s="27" t="str">
        <f aca="false">IF(A341="","",IF(H341="—","—",IF(F341&amp;""=K341&amp;"","✓","✗")))</f>
        <v/>
      </c>
      <c r="Q341" s="27" t="str">
        <f aca="false">IF(A341="","",IF(H341="—","—",IF(G341&amp;""=L341&amp;"","✓","✗")))</f>
        <v/>
      </c>
      <c r="R341" s="27" t="str">
        <f aca="false">IF(A341="","",IF(COUNTIF(M341:Q341,"—")=5,"⚠ NO SCD ROW",IF(COUNTIF(M341:Q341,"✗")&gt;0,"❌ MISMATCH","✅ MATCH")))</f>
        <v/>
      </c>
    </row>
    <row r="342" customFormat="false" ht="15" hidden="false" customHeight="true" outlineLevel="0" collapsed="false">
      <c r="A342" s="22" t="str">
        <f aca="false">IF(Daily_Data!A341="","",Daily_Data!A341)</f>
        <v/>
      </c>
      <c r="B342" s="23" t="str">
        <f aca="false">IF(Daily_Data!B341="","",Daily_Data!B341)</f>
        <v/>
      </c>
      <c r="C342" s="23" t="str">
        <f aca="false">IF(A342="","",Daily_Data!C341)</f>
        <v/>
      </c>
      <c r="D342" s="23" t="str">
        <f aca="false">IF(A342="","",Daily_Data!D341)</f>
        <v/>
      </c>
      <c r="E342" s="24" t="str">
        <f aca="false">IF(A342="","",Daily_Data!E341)</f>
        <v/>
      </c>
      <c r="F342" s="23" t="str">
        <f aca="false">IF(A342="","",Daily_Data!F341)</f>
        <v/>
      </c>
      <c r="G342" s="23" t="str">
        <f aca="false">IF(A342="","",Daily_Data!G341)</f>
        <v/>
      </c>
      <c r="H342" s="25" t="str">
        <f aca="false">IF(A342="","",IFERROR(INDEX(SCD_Data!$C$3:$C$502,SUMPRODUCT((SCD_Data!$A$3:$A$502=B342)*(IFERROR(DATEVALUE(SCD_Data!$H$3:$H$502&amp;""),SCD_Data!$H$3:$H$502)&lt;=IFERROR(DATEVALUE(A342&amp;""),A342))*(IFERROR(DATEVALUE(SCD_Data!$I$3:$I$502&amp;""),SCD_Data!$I$3:$I$502)&gt;=IFERROR(DATEVALUE(A342&amp;""),A342))*(ROW(SCD_Data!$A$3:$A$502)-2))),"—"))</f>
        <v/>
      </c>
      <c r="I342" s="25" t="str">
        <f aca="false">IF(A342="","",IFERROR(INDEX(SCD_Data!$D$3:$D$502,SUMPRODUCT((SCD_Data!$A$3:$A$502=B342)*(IFERROR(DATEVALUE(SCD_Data!$H$3:$H$502&amp;""),SCD_Data!$H$3:$H$502)&lt;=IFERROR(DATEVALUE(A342&amp;""),A342))*(IFERROR(DATEVALUE(SCD_Data!$I$3:$I$502&amp;""),SCD_Data!$I$3:$I$502)&gt;=IFERROR(DATEVALUE(A342&amp;""),A342))*(ROW(SCD_Data!$A$3:$A$502)-2))),"—"))</f>
        <v/>
      </c>
      <c r="J342" s="26" t="str">
        <f aca="false">IF(A342="","",IFERROR(INDEX(SCD_Data!$E$3:$E$502,SUMPRODUCT((SCD_Data!$A$3:$A$502=B342)*(IFERROR(DATEVALUE(SCD_Data!$H$3:$H$502&amp;""),SCD_Data!$H$3:$H$502)&lt;=IFERROR(DATEVALUE(A342&amp;""),A342))*(IFERROR(DATEVALUE(SCD_Data!$I$3:$I$502&amp;""),SCD_Data!$I$3:$I$502)&gt;=IFERROR(DATEVALUE(A342&amp;""),A342))*(ROW(SCD_Data!$A$3:$A$502)-2))),"—"))</f>
        <v/>
      </c>
      <c r="K342" s="25" t="str">
        <f aca="false">IF(A342="","",IFERROR(INDEX(SCD_Data!$F$3:$F$502,SUMPRODUCT((SCD_Data!$A$3:$A$502=B342)*(IFERROR(DATEVALUE(SCD_Data!$H$3:$H$502&amp;""),SCD_Data!$H$3:$H$502)&lt;=IFERROR(DATEVALUE(A342&amp;""),A342))*(IFERROR(DATEVALUE(SCD_Data!$I$3:$I$502&amp;""),SCD_Data!$I$3:$I$502)&gt;=IFERROR(DATEVALUE(A342&amp;""),A342))*(ROW(SCD_Data!$A$3:$A$502)-2))),"—"))</f>
        <v/>
      </c>
      <c r="L342" s="25" t="str">
        <f aca="false">IF(A342="","",IFERROR(INDEX(SCD_Data!$G$3:$G$502,SUMPRODUCT((SCD_Data!$A$3:$A$502=B342)*(IFERROR(DATEVALUE(SCD_Data!$H$3:$H$502&amp;""),SCD_Data!$H$3:$H$502)&lt;=IFERROR(DATEVALUE(A342&amp;""),A342))*(IFERROR(DATEVALUE(SCD_Data!$I$3:$I$502&amp;""),SCD_Data!$I$3:$I$502)&gt;=IFERROR(DATEVALUE(A342&amp;""),A342))*(ROW(SCD_Data!$A$3:$A$502)-2))),"—"))</f>
        <v/>
      </c>
      <c r="M342" s="27" t="str">
        <f aca="false">IF(A342="","",IF(H342="—","—",IF(C342&amp;""=H342&amp;"","✓","✗")))</f>
        <v/>
      </c>
      <c r="N342" s="27" t="str">
        <f aca="false">IF(A342="","",IF(H342="—","—",IF(D342&amp;""=I342&amp;"","✓","✗")))</f>
        <v/>
      </c>
      <c r="O342" s="27" t="str">
        <f aca="false">IF(A342="","",IF(H342="—","—",IF(ABS(E342-J342)&lt;0.01,"✓","✗")))</f>
        <v/>
      </c>
      <c r="P342" s="27" t="str">
        <f aca="false">IF(A342="","",IF(H342="—","—",IF(F342&amp;""=K342&amp;"","✓","✗")))</f>
        <v/>
      </c>
      <c r="Q342" s="27" t="str">
        <f aca="false">IF(A342="","",IF(H342="—","—",IF(G342&amp;""=L342&amp;"","✓","✗")))</f>
        <v/>
      </c>
      <c r="R342" s="27" t="str">
        <f aca="false">IF(A342="","",IF(COUNTIF(M342:Q342,"—")=5,"⚠ NO SCD ROW",IF(COUNTIF(M342:Q342,"✗")&gt;0,"❌ MISMATCH","✅ MATCH")))</f>
        <v/>
      </c>
    </row>
    <row r="343" customFormat="false" ht="15" hidden="false" customHeight="true" outlineLevel="0" collapsed="false">
      <c r="A343" s="22" t="str">
        <f aca="false">IF(Daily_Data!A342="","",Daily_Data!A342)</f>
        <v/>
      </c>
      <c r="B343" s="23" t="str">
        <f aca="false">IF(Daily_Data!B342="","",Daily_Data!B342)</f>
        <v/>
      </c>
      <c r="C343" s="23" t="str">
        <f aca="false">IF(A343="","",Daily_Data!C342)</f>
        <v/>
      </c>
      <c r="D343" s="23" t="str">
        <f aca="false">IF(A343="","",Daily_Data!D342)</f>
        <v/>
      </c>
      <c r="E343" s="24" t="str">
        <f aca="false">IF(A343="","",Daily_Data!E342)</f>
        <v/>
      </c>
      <c r="F343" s="23" t="str">
        <f aca="false">IF(A343="","",Daily_Data!F342)</f>
        <v/>
      </c>
      <c r="G343" s="23" t="str">
        <f aca="false">IF(A343="","",Daily_Data!G342)</f>
        <v/>
      </c>
      <c r="H343" s="25" t="str">
        <f aca="false">IF(A343="","",IFERROR(INDEX(SCD_Data!$C$3:$C$502,SUMPRODUCT((SCD_Data!$A$3:$A$502=B343)*(IFERROR(DATEVALUE(SCD_Data!$H$3:$H$502&amp;""),SCD_Data!$H$3:$H$502)&lt;=IFERROR(DATEVALUE(A343&amp;""),A343))*(IFERROR(DATEVALUE(SCD_Data!$I$3:$I$502&amp;""),SCD_Data!$I$3:$I$502)&gt;=IFERROR(DATEVALUE(A343&amp;""),A343))*(ROW(SCD_Data!$A$3:$A$502)-2))),"—"))</f>
        <v/>
      </c>
      <c r="I343" s="25" t="str">
        <f aca="false">IF(A343="","",IFERROR(INDEX(SCD_Data!$D$3:$D$502,SUMPRODUCT((SCD_Data!$A$3:$A$502=B343)*(IFERROR(DATEVALUE(SCD_Data!$H$3:$H$502&amp;""),SCD_Data!$H$3:$H$502)&lt;=IFERROR(DATEVALUE(A343&amp;""),A343))*(IFERROR(DATEVALUE(SCD_Data!$I$3:$I$502&amp;""),SCD_Data!$I$3:$I$502)&gt;=IFERROR(DATEVALUE(A343&amp;""),A343))*(ROW(SCD_Data!$A$3:$A$502)-2))),"—"))</f>
        <v/>
      </c>
      <c r="J343" s="26" t="str">
        <f aca="false">IF(A343="","",IFERROR(INDEX(SCD_Data!$E$3:$E$502,SUMPRODUCT((SCD_Data!$A$3:$A$502=B343)*(IFERROR(DATEVALUE(SCD_Data!$H$3:$H$502&amp;""),SCD_Data!$H$3:$H$502)&lt;=IFERROR(DATEVALUE(A343&amp;""),A343))*(IFERROR(DATEVALUE(SCD_Data!$I$3:$I$502&amp;""),SCD_Data!$I$3:$I$502)&gt;=IFERROR(DATEVALUE(A343&amp;""),A343))*(ROW(SCD_Data!$A$3:$A$502)-2))),"—"))</f>
        <v/>
      </c>
      <c r="K343" s="25" t="str">
        <f aca="false">IF(A343="","",IFERROR(INDEX(SCD_Data!$F$3:$F$502,SUMPRODUCT((SCD_Data!$A$3:$A$502=B343)*(IFERROR(DATEVALUE(SCD_Data!$H$3:$H$502&amp;""),SCD_Data!$H$3:$H$502)&lt;=IFERROR(DATEVALUE(A343&amp;""),A343))*(IFERROR(DATEVALUE(SCD_Data!$I$3:$I$502&amp;""),SCD_Data!$I$3:$I$502)&gt;=IFERROR(DATEVALUE(A343&amp;""),A343))*(ROW(SCD_Data!$A$3:$A$502)-2))),"—"))</f>
        <v/>
      </c>
      <c r="L343" s="25" t="str">
        <f aca="false">IF(A343="","",IFERROR(INDEX(SCD_Data!$G$3:$G$502,SUMPRODUCT((SCD_Data!$A$3:$A$502=B343)*(IFERROR(DATEVALUE(SCD_Data!$H$3:$H$502&amp;""),SCD_Data!$H$3:$H$502)&lt;=IFERROR(DATEVALUE(A343&amp;""),A343))*(IFERROR(DATEVALUE(SCD_Data!$I$3:$I$502&amp;""),SCD_Data!$I$3:$I$502)&gt;=IFERROR(DATEVALUE(A343&amp;""),A343))*(ROW(SCD_Data!$A$3:$A$502)-2))),"—"))</f>
        <v/>
      </c>
      <c r="M343" s="27" t="str">
        <f aca="false">IF(A343="","",IF(H343="—","—",IF(C343&amp;""=H343&amp;"","✓","✗")))</f>
        <v/>
      </c>
      <c r="N343" s="27" t="str">
        <f aca="false">IF(A343="","",IF(H343="—","—",IF(D343&amp;""=I343&amp;"","✓","✗")))</f>
        <v/>
      </c>
      <c r="O343" s="27" t="str">
        <f aca="false">IF(A343="","",IF(H343="—","—",IF(ABS(E343-J343)&lt;0.01,"✓","✗")))</f>
        <v/>
      </c>
      <c r="P343" s="27" t="str">
        <f aca="false">IF(A343="","",IF(H343="—","—",IF(F343&amp;""=K343&amp;"","✓","✗")))</f>
        <v/>
      </c>
      <c r="Q343" s="27" t="str">
        <f aca="false">IF(A343="","",IF(H343="—","—",IF(G343&amp;""=L343&amp;"","✓","✗")))</f>
        <v/>
      </c>
      <c r="R343" s="27" t="str">
        <f aca="false">IF(A343="","",IF(COUNTIF(M343:Q343,"—")=5,"⚠ NO SCD ROW",IF(COUNTIF(M343:Q343,"✗")&gt;0,"❌ MISMATCH","✅ MATCH")))</f>
        <v/>
      </c>
    </row>
    <row r="344" customFormat="false" ht="15" hidden="false" customHeight="true" outlineLevel="0" collapsed="false">
      <c r="A344" s="22" t="str">
        <f aca="false">IF(Daily_Data!A343="","",Daily_Data!A343)</f>
        <v/>
      </c>
      <c r="B344" s="23" t="str">
        <f aca="false">IF(Daily_Data!B343="","",Daily_Data!B343)</f>
        <v/>
      </c>
      <c r="C344" s="23" t="str">
        <f aca="false">IF(A344="","",Daily_Data!C343)</f>
        <v/>
      </c>
      <c r="D344" s="23" t="str">
        <f aca="false">IF(A344="","",Daily_Data!D343)</f>
        <v/>
      </c>
      <c r="E344" s="24" t="str">
        <f aca="false">IF(A344="","",Daily_Data!E343)</f>
        <v/>
      </c>
      <c r="F344" s="23" t="str">
        <f aca="false">IF(A344="","",Daily_Data!F343)</f>
        <v/>
      </c>
      <c r="G344" s="23" t="str">
        <f aca="false">IF(A344="","",Daily_Data!G343)</f>
        <v/>
      </c>
      <c r="H344" s="25" t="str">
        <f aca="false">IF(A344="","",IFERROR(INDEX(SCD_Data!$C$3:$C$502,SUMPRODUCT((SCD_Data!$A$3:$A$502=B344)*(IFERROR(DATEVALUE(SCD_Data!$H$3:$H$502&amp;""),SCD_Data!$H$3:$H$502)&lt;=IFERROR(DATEVALUE(A344&amp;""),A344))*(IFERROR(DATEVALUE(SCD_Data!$I$3:$I$502&amp;""),SCD_Data!$I$3:$I$502)&gt;=IFERROR(DATEVALUE(A344&amp;""),A344))*(ROW(SCD_Data!$A$3:$A$502)-2))),"—"))</f>
        <v/>
      </c>
      <c r="I344" s="25" t="str">
        <f aca="false">IF(A344="","",IFERROR(INDEX(SCD_Data!$D$3:$D$502,SUMPRODUCT((SCD_Data!$A$3:$A$502=B344)*(IFERROR(DATEVALUE(SCD_Data!$H$3:$H$502&amp;""),SCD_Data!$H$3:$H$502)&lt;=IFERROR(DATEVALUE(A344&amp;""),A344))*(IFERROR(DATEVALUE(SCD_Data!$I$3:$I$502&amp;""),SCD_Data!$I$3:$I$502)&gt;=IFERROR(DATEVALUE(A344&amp;""),A344))*(ROW(SCD_Data!$A$3:$A$502)-2))),"—"))</f>
        <v/>
      </c>
      <c r="J344" s="26" t="str">
        <f aca="false">IF(A344="","",IFERROR(INDEX(SCD_Data!$E$3:$E$502,SUMPRODUCT((SCD_Data!$A$3:$A$502=B344)*(IFERROR(DATEVALUE(SCD_Data!$H$3:$H$502&amp;""),SCD_Data!$H$3:$H$502)&lt;=IFERROR(DATEVALUE(A344&amp;""),A344))*(IFERROR(DATEVALUE(SCD_Data!$I$3:$I$502&amp;""),SCD_Data!$I$3:$I$502)&gt;=IFERROR(DATEVALUE(A344&amp;""),A344))*(ROW(SCD_Data!$A$3:$A$502)-2))),"—"))</f>
        <v/>
      </c>
      <c r="K344" s="25" t="str">
        <f aca="false">IF(A344="","",IFERROR(INDEX(SCD_Data!$F$3:$F$502,SUMPRODUCT((SCD_Data!$A$3:$A$502=B344)*(IFERROR(DATEVALUE(SCD_Data!$H$3:$H$502&amp;""),SCD_Data!$H$3:$H$502)&lt;=IFERROR(DATEVALUE(A344&amp;""),A344))*(IFERROR(DATEVALUE(SCD_Data!$I$3:$I$502&amp;""),SCD_Data!$I$3:$I$502)&gt;=IFERROR(DATEVALUE(A344&amp;""),A344))*(ROW(SCD_Data!$A$3:$A$502)-2))),"—"))</f>
        <v/>
      </c>
      <c r="L344" s="25" t="str">
        <f aca="false">IF(A344="","",IFERROR(INDEX(SCD_Data!$G$3:$G$502,SUMPRODUCT((SCD_Data!$A$3:$A$502=B344)*(IFERROR(DATEVALUE(SCD_Data!$H$3:$H$502&amp;""),SCD_Data!$H$3:$H$502)&lt;=IFERROR(DATEVALUE(A344&amp;""),A344))*(IFERROR(DATEVALUE(SCD_Data!$I$3:$I$502&amp;""),SCD_Data!$I$3:$I$502)&gt;=IFERROR(DATEVALUE(A344&amp;""),A344))*(ROW(SCD_Data!$A$3:$A$502)-2))),"—"))</f>
        <v/>
      </c>
      <c r="M344" s="27" t="str">
        <f aca="false">IF(A344="","",IF(H344="—","—",IF(C344&amp;""=H344&amp;"","✓","✗")))</f>
        <v/>
      </c>
      <c r="N344" s="27" t="str">
        <f aca="false">IF(A344="","",IF(H344="—","—",IF(D344&amp;""=I344&amp;"","✓","✗")))</f>
        <v/>
      </c>
      <c r="O344" s="27" t="str">
        <f aca="false">IF(A344="","",IF(H344="—","—",IF(ABS(E344-J344)&lt;0.01,"✓","✗")))</f>
        <v/>
      </c>
      <c r="P344" s="27" t="str">
        <f aca="false">IF(A344="","",IF(H344="—","—",IF(F344&amp;""=K344&amp;"","✓","✗")))</f>
        <v/>
      </c>
      <c r="Q344" s="27" t="str">
        <f aca="false">IF(A344="","",IF(H344="—","—",IF(G344&amp;""=L344&amp;"","✓","✗")))</f>
        <v/>
      </c>
      <c r="R344" s="27" t="str">
        <f aca="false">IF(A344="","",IF(COUNTIF(M344:Q344,"—")=5,"⚠ NO SCD ROW",IF(COUNTIF(M344:Q344,"✗")&gt;0,"❌ MISMATCH","✅ MATCH")))</f>
        <v/>
      </c>
    </row>
    <row r="345" customFormat="false" ht="15" hidden="false" customHeight="true" outlineLevel="0" collapsed="false">
      <c r="A345" s="22" t="str">
        <f aca="false">IF(Daily_Data!A344="","",Daily_Data!A344)</f>
        <v/>
      </c>
      <c r="B345" s="23" t="str">
        <f aca="false">IF(Daily_Data!B344="","",Daily_Data!B344)</f>
        <v/>
      </c>
      <c r="C345" s="23" t="str">
        <f aca="false">IF(A345="","",Daily_Data!C344)</f>
        <v/>
      </c>
      <c r="D345" s="23" t="str">
        <f aca="false">IF(A345="","",Daily_Data!D344)</f>
        <v/>
      </c>
      <c r="E345" s="24" t="str">
        <f aca="false">IF(A345="","",Daily_Data!E344)</f>
        <v/>
      </c>
      <c r="F345" s="23" t="str">
        <f aca="false">IF(A345="","",Daily_Data!F344)</f>
        <v/>
      </c>
      <c r="G345" s="23" t="str">
        <f aca="false">IF(A345="","",Daily_Data!G344)</f>
        <v/>
      </c>
      <c r="H345" s="25" t="str">
        <f aca="false">IF(A345="","",IFERROR(INDEX(SCD_Data!$C$3:$C$502,SUMPRODUCT((SCD_Data!$A$3:$A$502=B345)*(IFERROR(DATEVALUE(SCD_Data!$H$3:$H$502&amp;""),SCD_Data!$H$3:$H$502)&lt;=IFERROR(DATEVALUE(A345&amp;""),A345))*(IFERROR(DATEVALUE(SCD_Data!$I$3:$I$502&amp;""),SCD_Data!$I$3:$I$502)&gt;=IFERROR(DATEVALUE(A345&amp;""),A345))*(ROW(SCD_Data!$A$3:$A$502)-2))),"—"))</f>
        <v/>
      </c>
      <c r="I345" s="25" t="str">
        <f aca="false">IF(A345="","",IFERROR(INDEX(SCD_Data!$D$3:$D$502,SUMPRODUCT((SCD_Data!$A$3:$A$502=B345)*(IFERROR(DATEVALUE(SCD_Data!$H$3:$H$502&amp;""),SCD_Data!$H$3:$H$502)&lt;=IFERROR(DATEVALUE(A345&amp;""),A345))*(IFERROR(DATEVALUE(SCD_Data!$I$3:$I$502&amp;""),SCD_Data!$I$3:$I$502)&gt;=IFERROR(DATEVALUE(A345&amp;""),A345))*(ROW(SCD_Data!$A$3:$A$502)-2))),"—"))</f>
        <v/>
      </c>
      <c r="J345" s="26" t="str">
        <f aca="false">IF(A345="","",IFERROR(INDEX(SCD_Data!$E$3:$E$502,SUMPRODUCT((SCD_Data!$A$3:$A$502=B345)*(IFERROR(DATEVALUE(SCD_Data!$H$3:$H$502&amp;""),SCD_Data!$H$3:$H$502)&lt;=IFERROR(DATEVALUE(A345&amp;""),A345))*(IFERROR(DATEVALUE(SCD_Data!$I$3:$I$502&amp;""),SCD_Data!$I$3:$I$502)&gt;=IFERROR(DATEVALUE(A345&amp;""),A345))*(ROW(SCD_Data!$A$3:$A$502)-2))),"—"))</f>
        <v/>
      </c>
      <c r="K345" s="25" t="str">
        <f aca="false">IF(A345="","",IFERROR(INDEX(SCD_Data!$F$3:$F$502,SUMPRODUCT((SCD_Data!$A$3:$A$502=B345)*(IFERROR(DATEVALUE(SCD_Data!$H$3:$H$502&amp;""),SCD_Data!$H$3:$H$502)&lt;=IFERROR(DATEVALUE(A345&amp;""),A345))*(IFERROR(DATEVALUE(SCD_Data!$I$3:$I$502&amp;""),SCD_Data!$I$3:$I$502)&gt;=IFERROR(DATEVALUE(A345&amp;""),A345))*(ROW(SCD_Data!$A$3:$A$502)-2))),"—"))</f>
        <v/>
      </c>
      <c r="L345" s="25" t="str">
        <f aca="false">IF(A345="","",IFERROR(INDEX(SCD_Data!$G$3:$G$502,SUMPRODUCT((SCD_Data!$A$3:$A$502=B345)*(IFERROR(DATEVALUE(SCD_Data!$H$3:$H$502&amp;""),SCD_Data!$H$3:$H$502)&lt;=IFERROR(DATEVALUE(A345&amp;""),A345))*(IFERROR(DATEVALUE(SCD_Data!$I$3:$I$502&amp;""),SCD_Data!$I$3:$I$502)&gt;=IFERROR(DATEVALUE(A345&amp;""),A345))*(ROW(SCD_Data!$A$3:$A$502)-2))),"—"))</f>
        <v/>
      </c>
      <c r="M345" s="27" t="str">
        <f aca="false">IF(A345="","",IF(H345="—","—",IF(C345&amp;""=H345&amp;"","✓","✗")))</f>
        <v/>
      </c>
      <c r="N345" s="27" t="str">
        <f aca="false">IF(A345="","",IF(H345="—","—",IF(D345&amp;""=I345&amp;"","✓","✗")))</f>
        <v/>
      </c>
      <c r="O345" s="27" t="str">
        <f aca="false">IF(A345="","",IF(H345="—","—",IF(ABS(E345-J345)&lt;0.01,"✓","✗")))</f>
        <v/>
      </c>
      <c r="P345" s="27" t="str">
        <f aca="false">IF(A345="","",IF(H345="—","—",IF(F345&amp;""=K345&amp;"","✓","✗")))</f>
        <v/>
      </c>
      <c r="Q345" s="27" t="str">
        <f aca="false">IF(A345="","",IF(H345="—","—",IF(G345&amp;""=L345&amp;"","✓","✗")))</f>
        <v/>
      </c>
      <c r="R345" s="27" t="str">
        <f aca="false">IF(A345="","",IF(COUNTIF(M345:Q345,"—")=5,"⚠ NO SCD ROW",IF(COUNTIF(M345:Q345,"✗")&gt;0,"❌ MISMATCH","✅ MATCH")))</f>
        <v/>
      </c>
    </row>
    <row r="346" customFormat="false" ht="15" hidden="false" customHeight="true" outlineLevel="0" collapsed="false">
      <c r="A346" s="22" t="str">
        <f aca="false">IF(Daily_Data!A345="","",Daily_Data!A345)</f>
        <v/>
      </c>
      <c r="B346" s="23" t="str">
        <f aca="false">IF(Daily_Data!B345="","",Daily_Data!B345)</f>
        <v/>
      </c>
      <c r="C346" s="23" t="str">
        <f aca="false">IF(A346="","",Daily_Data!C345)</f>
        <v/>
      </c>
      <c r="D346" s="23" t="str">
        <f aca="false">IF(A346="","",Daily_Data!D345)</f>
        <v/>
      </c>
      <c r="E346" s="24" t="str">
        <f aca="false">IF(A346="","",Daily_Data!E345)</f>
        <v/>
      </c>
      <c r="F346" s="23" t="str">
        <f aca="false">IF(A346="","",Daily_Data!F345)</f>
        <v/>
      </c>
      <c r="G346" s="23" t="str">
        <f aca="false">IF(A346="","",Daily_Data!G345)</f>
        <v/>
      </c>
      <c r="H346" s="25" t="str">
        <f aca="false">IF(A346="","",IFERROR(INDEX(SCD_Data!$C$3:$C$502,SUMPRODUCT((SCD_Data!$A$3:$A$502=B346)*(IFERROR(DATEVALUE(SCD_Data!$H$3:$H$502&amp;""),SCD_Data!$H$3:$H$502)&lt;=IFERROR(DATEVALUE(A346&amp;""),A346))*(IFERROR(DATEVALUE(SCD_Data!$I$3:$I$502&amp;""),SCD_Data!$I$3:$I$502)&gt;=IFERROR(DATEVALUE(A346&amp;""),A346))*(ROW(SCD_Data!$A$3:$A$502)-2))),"—"))</f>
        <v/>
      </c>
      <c r="I346" s="25" t="str">
        <f aca="false">IF(A346="","",IFERROR(INDEX(SCD_Data!$D$3:$D$502,SUMPRODUCT((SCD_Data!$A$3:$A$502=B346)*(IFERROR(DATEVALUE(SCD_Data!$H$3:$H$502&amp;""),SCD_Data!$H$3:$H$502)&lt;=IFERROR(DATEVALUE(A346&amp;""),A346))*(IFERROR(DATEVALUE(SCD_Data!$I$3:$I$502&amp;""),SCD_Data!$I$3:$I$502)&gt;=IFERROR(DATEVALUE(A346&amp;""),A346))*(ROW(SCD_Data!$A$3:$A$502)-2))),"—"))</f>
        <v/>
      </c>
      <c r="J346" s="26" t="str">
        <f aca="false">IF(A346="","",IFERROR(INDEX(SCD_Data!$E$3:$E$502,SUMPRODUCT((SCD_Data!$A$3:$A$502=B346)*(IFERROR(DATEVALUE(SCD_Data!$H$3:$H$502&amp;""),SCD_Data!$H$3:$H$502)&lt;=IFERROR(DATEVALUE(A346&amp;""),A346))*(IFERROR(DATEVALUE(SCD_Data!$I$3:$I$502&amp;""),SCD_Data!$I$3:$I$502)&gt;=IFERROR(DATEVALUE(A346&amp;""),A346))*(ROW(SCD_Data!$A$3:$A$502)-2))),"—"))</f>
        <v/>
      </c>
      <c r="K346" s="25" t="str">
        <f aca="false">IF(A346="","",IFERROR(INDEX(SCD_Data!$F$3:$F$502,SUMPRODUCT((SCD_Data!$A$3:$A$502=B346)*(IFERROR(DATEVALUE(SCD_Data!$H$3:$H$502&amp;""),SCD_Data!$H$3:$H$502)&lt;=IFERROR(DATEVALUE(A346&amp;""),A346))*(IFERROR(DATEVALUE(SCD_Data!$I$3:$I$502&amp;""),SCD_Data!$I$3:$I$502)&gt;=IFERROR(DATEVALUE(A346&amp;""),A346))*(ROW(SCD_Data!$A$3:$A$502)-2))),"—"))</f>
        <v/>
      </c>
      <c r="L346" s="25" t="str">
        <f aca="false">IF(A346="","",IFERROR(INDEX(SCD_Data!$G$3:$G$502,SUMPRODUCT((SCD_Data!$A$3:$A$502=B346)*(IFERROR(DATEVALUE(SCD_Data!$H$3:$H$502&amp;""),SCD_Data!$H$3:$H$502)&lt;=IFERROR(DATEVALUE(A346&amp;""),A346))*(IFERROR(DATEVALUE(SCD_Data!$I$3:$I$502&amp;""),SCD_Data!$I$3:$I$502)&gt;=IFERROR(DATEVALUE(A346&amp;""),A346))*(ROW(SCD_Data!$A$3:$A$502)-2))),"—"))</f>
        <v/>
      </c>
      <c r="M346" s="27" t="str">
        <f aca="false">IF(A346="","",IF(H346="—","—",IF(C346&amp;""=H346&amp;"","✓","✗")))</f>
        <v/>
      </c>
      <c r="N346" s="27" t="str">
        <f aca="false">IF(A346="","",IF(H346="—","—",IF(D346&amp;""=I346&amp;"","✓","✗")))</f>
        <v/>
      </c>
      <c r="O346" s="27" t="str">
        <f aca="false">IF(A346="","",IF(H346="—","—",IF(ABS(E346-J346)&lt;0.01,"✓","✗")))</f>
        <v/>
      </c>
      <c r="P346" s="27" t="str">
        <f aca="false">IF(A346="","",IF(H346="—","—",IF(F346&amp;""=K346&amp;"","✓","✗")))</f>
        <v/>
      </c>
      <c r="Q346" s="27" t="str">
        <f aca="false">IF(A346="","",IF(H346="—","—",IF(G346&amp;""=L346&amp;"","✓","✗")))</f>
        <v/>
      </c>
      <c r="R346" s="27" t="str">
        <f aca="false">IF(A346="","",IF(COUNTIF(M346:Q346,"—")=5,"⚠ NO SCD ROW",IF(COUNTIF(M346:Q346,"✗")&gt;0,"❌ MISMATCH","✅ MATCH")))</f>
        <v/>
      </c>
    </row>
    <row r="347" customFormat="false" ht="15" hidden="false" customHeight="true" outlineLevel="0" collapsed="false">
      <c r="A347" s="22" t="str">
        <f aca="false">IF(Daily_Data!A346="","",Daily_Data!A346)</f>
        <v/>
      </c>
      <c r="B347" s="23" t="str">
        <f aca="false">IF(Daily_Data!B346="","",Daily_Data!B346)</f>
        <v/>
      </c>
      <c r="C347" s="23" t="str">
        <f aca="false">IF(A347="","",Daily_Data!C346)</f>
        <v/>
      </c>
      <c r="D347" s="23" t="str">
        <f aca="false">IF(A347="","",Daily_Data!D346)</f>
        <v/>
      </c>
      <c r="E347" s="24" t="str">
        <f aca="false">IF(A347="","",Daily_Data!E346)</f>
        <v/>
      </c>
      <c r="F347" s="23" t="str">
        <f aca="false">IF(A347="","",Daily_Data!F346)</f>
        <v/>
      </c>
      <c r="G347" s="23" t="str">
        <f aca="false">IF(A347="","",Daily_Data!G346)</f>
        <v/>
      </c>
      <c r="H347" s="25" t="str">
        <f aca="false">IF(A347="","",IFERROR(INDEX(SCD_Data!$C$3:$C$502,SUMPRODUCT((SCD_Data!$A$3:$A$502=B347)*(IFERROR(DATEVALUE(SCD_Data!$H$3:$H$502&amp;""),SCD_Data!$H$3:$H$502)&lt;=IFERROR(DATEVALUE(A347&amp;""),A347))*(IFERROR(DATEVALUE(SCD_Data!$I$3:$I$502&amp;""),SCD_Data!$I$3:$I$502)&gt;=IFERROR(DATEVALUE(A347&amp;""),A347))*(ROW(SCD_Data!$A$3:$A$502)-2))),"—"))</f>
        <v/>
      </c>
      <c r="I347" s="25" t="str">
        <f aca="false">IF(A347="","",IFERROR(INDEX(SCD_Data!$D$3:$D$502,SUMPRODUCT((SCD_Data!$A$3:$A$502=B347)*(IFERROR(DATEVALUE(SCD_Data!$H$3:$H$502&amp;""),SCD_Data!$H$3:$H$502)&lt;=IFERROR(DATEVALUE(A347&amp;""),A347))*(IFERROR(DATEVALUE(SCD_Data!$I$3:$I$502&amp;""),SCD_Data!$I$3:$I$502)&gt;=IFERROR(DATEVALUE(A347&amp;""),A347))*(ROW(SCD_Data!$A$3:$A$502)-2))),"—"))</f>
        <v/>
      </c>
      <c r="J347" s="26" t="str">
        <f aca="false">IF(A347="","",IFERROR(INDEX(SCD_Data!$E$3:$E$502,SUMPRODUCT((SCD_Data!$A$3:$A$502=B347)*(IFERROR(DATEVALUE(SCD_Data!$H$3:$H$502&amp;""),SCD_Data!$H$3:$H$502)&lt;=IFERROR(DATEVALUE(A347&amp;""),A347))*(IFERROR(DATEVALUE(SCD_Data!$I$3:$I$502&amp;""),SCD_Data!$I$3:$I$502)&gt;=IFERROR(DATEVALUE(A347&amp;""),A347))*(ROW(SCD_Data!$A$3:$A$502)-2))),"—"))</f>
        <v/>
      </c>
      <c r="K347" s="25" t="str">
        <f aca="false">IF(A347="","",IFERROR(INDEX(SCD_Data!$F$3:$F$502,SUMPRODUCT((SCD_Data!$A$3:$A$502=B347)*(IFERROR(DATEVALUE(SCD_Data!$H$3:$H$502&amp;""),SCD_Data!$H$3:$H$502)&lt;=IFERROR(DATEVALUE(A347&amp;""),A347))*(IFERROR(DATEVALUE(SCD_Data!$I$3:$I$502&amp;""),SCD_Data!$I$3:$I$502)&gt;=IFERROR(DATEVALUE(A347&amp;""),A347))*(ROW(SCD_Data!$A$3:$A$502)-2))),"—"))</f>
        <v/>
      </c>
      <c r="L347" s="25" t="str">
        <f aca="false">IF(A347="","",IFERROR(INDEX(SCD_Data!$G$3:$G$502,SUMPRODUCT((SCD_Data!$A$3:$A$502=B347)*(IFERROR(DATEVALUE(SCD_Data!$H$3:$H$502&amp;""),SCD_Data!$H$3:$H$502)&lt;=IFERROR(DATEVALUE(A347&amp;""),A347))*(IFERROR(DATEVALUE(SCD_Data!$I$3:$I$502&amp;""),SCD_Data!$I$3:$I$502)&gt;=IFERROR(DATEVALUE(A347&amp;""),A347))*(ROW(SCD_Data!$A$3:$A$502)-2))),"—"))</f>
        <v/>
      </c>
      <c r="M347" s="27" t="str">
        <f aca="false">IF(A347="","",IF(H347="—","—",IF(C347&amp;""=H347&amp;"","✓","✗")))</f>
        <v/>
      </c>
      <c r="N347" s="27" t="str">
        <f aca="false">IF(A347="","",IF(H347="—","—",IF(D347&amp;""=I347&amp;"","✓","✗")))</f>
        <v/>
      </c>
      <c r="O347" s="27" t="str">
        <f aca="false">IF(A347="","",IF(H347="—","—",IF(ABS(E347-J347)&lt;0.01,"✓","✗")))</f>
        <v/>
      </c>
      <c r="P347" s="27" t="str">
        <f aca="false">IF(A347="","",IF(H347="—","—",IF(F347&amp;""=K347&amp;"","✓","✗")))</f>
        <v/>
      </c>
      <c r="Q347" s="27" t="str">
        <f aca="false">IF(A347="","",IF(H347="—","—",IF(G347&amp;""=L347&amp;"","✓","✗")))</f>
        <v/>
      </c>
      <c r="R347" s="27" t="str">
        <f aca="false">IF(A347="","",IF(COUNTIF(M347:Q347,"—")=5,"⚠ NO SCD ROW",IF(COUNTIF(M347:Q347,"✗")&gt;0,"❌ MISMATCH","✅ MATCH")))</f>
        <v/>
      </c>
    </row>
    <row r="348" customFormat="false" ht="15" hidden="false" customHeight="true" outlineLevel="0" collapsed="false">
      <c r="A348" s="22" t="str">
        <f aca="false">IF(Daily_Data!A347="","",Daily_Data!A347)</f>
        <v/>
      </c>
      <c r="B348" s="23" t="str">
        <f aca="false">IF(Daily_Data!B347="","",Daily_Data!B347)</f>
        <v/>
      </c>
      <c r="C348" s="23" t="str">
        <f aca="false">IF(A348="","",Daily_Data!C347)</f>
        <v/>
      </c>
      <c r="D348" s="23" t="str">
        <f aca="false">IF(A348="","",Daily_Data!D347)</f>
        <v/>
      </c>
      <c r="E348" s="24" t="str">
        <f aca="false">IF(A348="","",Daily_Data!E347)</f>
        <v/>
      </c>
      <c r="F348" s="23" t="str">
        <f aca="false">IF(A348="","",Daily_Data!F347)</f>
        <v/>
      </c>
      <c r="G348" s="23" t="str">
        <f aca="false">IF(A348="","",Daily_Data!G347)</f>
        <v/>
      </c>
      <c r="H348" s="25" t="str">
        <f aca="false">IF(A348="","",IFERROR(INDEX(SCD_Data!$C$3:$C$502,SUMPRODUCT((SCD_Data!$A$3:$A$502=B348)*(IFERROR(DATEVALUE(SCD_Data!$H$3:$H$502&amp;""),SCD_Data!$H$3:$H$502)&lt;=IFERROR(DATEVALUE(A348&amp;""),A348))*(IFERROR(DATEVALUE(SCD_Data!$I$3:$I$502&amp;""),SCD_Data!$I$3:$I$502)&gt;=IFERROR(DATEVALUE(A348&amp;""),A348))*(ROW(SCD_Data!$A$3:$A$502)-2))),"—"))</f>
        <v/>
      </c>
      <c r="I348" s="25" t="str">
        <f aca="false">IF(A348="","",IFERROR(INDEX(SCD_Data!$D$3:$D$502,SUMPRODUCT((SCD_Data!$A$3:$A$502=B348)*(IFERROR(DATEVALUE(SCD_Data!$H$3:$H$502&amp;""),SCD_Data!$H$3:$H$502)&lt;=IFERROR(DATEVALUE(A348&amp;""),A348))*(IFERROR(DATEVALUE(SCD_Data!$I$3:$I$502&amp;""),SCD_Data!$I$3:$I$502)&gt;=IFERROR(DATEVALUE(A348&amp;""),A348))*(ROW(SCD_Data!$A$3:$A$502)-2))),"—"))</f>
        <v/>
      </c>
      <c r="J348" s="26" t="str">
        <f aca="false">IF(A348="","",IFERROR(INDEX(SCD_Data!$E$3:$E$502,SUMPRODUCT((SCD_Data!$A$3:$A$502=B348)*(IFERROR(DATEVALUE(SCD_Data!$H$3:$H$502&amp;""),SCD_Data!$H$3:$H$502)&lt;=IFERROR(DATEVALUE(A348&amp;""),A348))*(IFERROR(DATEVALUE(SCD_Data!$I$3:$I$502&amp;""),SCD_Data!$I$3:$I$502)&gt;=IFERROR(DATEVALUE(A348&amp;""),A348))*(ROW(SCD_Data!$A$3:$A$502)-2))),"—"))</f>
        <v/>
      </c>
      <c r="K348" s="25" t="str">
        <f aca="false">IF(A348="","",IFERROR(INDEX(SCD_Data!$F$3:$F$502,SUMPRODUCT((SCD_Data!$A$3:$A$502=B348)*(IFERROR(DATEVALUE(SCD_Data!$H$3:$H$502&amp;""),SCD_Data!$H$3:$H$502)&lt;=IFERROR(DATEVALUE(A348&amp;""),A348))*(IFERROR(DATEVALUE(SCD_Data!$I$3:$I$502&amp;""),SCD_Data!$I$3:$I$502)&gt;=IFERROR(DATEVALUE(A348&amp;""),A348))*(ROW(SCD_Data!$A$3:$A$502)-2))),"—"))</f>
        <v/>
      </c>
      <c r="L348" s="25" t="str">
        <f aca="false">IF(A348="","",IFERROR(INDEX(SCD_Data!$G$3:$G$502,SUMPRODUCT((SCD_Data!$A$3:$A$502=B348)*(IFERROR(DATEVALUE(SCD_Data!$H$3:$H$502&amp;""),SCD_Data!$H$3:$H$502)&lt;=IFERROR(DATEVALUE(A348&amp;""),A348))*(IFERROR(DATEVALUE(SCD_Data!$I$3:$I$502&amp;""),SCD_Data!$I$3:$I$502)&gt;=IFERROR(DATEVALUE(A348&amp;""),A348))*(ROW(SCD_Data!$A$3:$A$502)-2))),"—"))</f>
        <v/>
      </c>
      <c r="M348" s="27" t="str">
        <f aca="false">IF(A348="","",IF(H348="—","—",IF(C348&amp;""=H348&amp;"","✓","✗")))</f>
        <v/>
      </c>
      <c r="N348" s="27" t="str">
        <f aca="false">IF(A348="","",IF(H348="—","—",IF(D348&amp;""=I348&amp;"","✓","✗")))</f>
        <v/>
      </c>
      <c r="O348" s="27" t="str">
        <f aca="false">IF(A348="","",IF(H348="—","—",IF(ABS(E348-J348)&lt;0.01,"✓","✗")))</f>
        <v/>
      </c>
      <c r="P348" s="27" t="str">
        <f aca="false">IF(A348="","",IF(H348="—","—",IF(F348&amp;""=K348&amp;"","✓","✗")))</f>
        <v/>
      </c>
      <c r="Q348" s="27" t="str">
        <f aca="false">IF(A348="","",IF(H348="—","—",IF(G348&amp;""=L348&amp;"","✓","✗")))</f>
        <v/>
      </c>
      <c r="R348" s="27" t="str">
        <f aca="false">IF(A348="","",IF(COUNTIF(M348:Q348,"—")=5,"⚠ NO SCD ROW",IF(COUNTIF(M348:Q348,"✗")&gt;0,"❌ MISMATCH","✅ MATCH")))</f>
        <v/>
      </c>
    </row>
    <row r="349" customFormat="false" ht="15" hidden="false" customHeight="true" outlineLevel="0" collapsed="false">
      <c r="A349" s="22" t="str">
        <f aca="false">IF(Daily_Data!A348="","",Daily_Data!A348)</f>
        <v/>
      </c>
      <c r="B349" s="23" t="str">
        <f aca="false">IF(Daily_Data!B348="","",Daily_Data!B348)</f>
        <v/>
      </c>
      <c r="C349" s="23" t="str">
        <f aca="false">IF(A349="","",Daily_Data!C348)</f>
        <v/>
      </c>
      <c r="D349" s="23" t="str">
        <f aca="false">IF(A349="","",Daily_Data!D348)</f>
        <v/>
      </c>
      <c r="E349" s="24" t="str">
        <f aca="false">IF(A349="","",Daily_Data!E348)</f>
        <v/>
      </c>
      <c r="F349" s="23" t="str">
        <f aca="false">IF(A349="","",Daily_Data!F348)</f>
        <v/>
      </c>
      <c r="G349" s="23" t="str">
        <f aca="false">IF(A349="","",Daily_Data!G348)</f>
        <v/>
      </c>
      <c r="H349" s="25" t="str">
        <f aca="false">IF(A349="","",IFERROR(INDEX(SCD_Data!$C$3:$C$502,SUMPRODUCT((SCD_Data!$A$3:$A$502=B349)*(IFERROR(DATEVALUE(SCD_Data!$H$3:$H$502&amp;""),SCD_Data!$H$3:$H$502)&lt;=IFERROR(DATEVALUE(A349&amp;""),A349))*(IFERROR(DATEVALUE(SCD_Data!$I$3:$I$502&amp;""),SCD_Data!$I$3:$I$502)&gt;=IFERROR(DATEVALUE(A349&amp;""),A349))*(ROW(SCD_Data!$A$3:$A$502)-2))),"—"))</f>
        <v/>
      </c>
      <c r="I349" s="25" t="str">
        <f aca="false">IF(A349="","",IFERROR(INDEX(SCD_Data!$D$3:$D$502,SUMPRODUCT((SCD_Data!$A$3:$A$502=B349)*(IFERROR(DATEVALUE(SCD_Data!$H$3:$H$502&amp;""),SCD_Data!$H$3:$H$502)&lt;=IFERROR(DATEVALUE(A349&amp;""),A349))*(IFERROR(DATEVALUE(SCD_Data!$I$3:$I$502&amp;""),SCD_Data!$I$3:$I$502)&gt;=IFERROR(DATEVALUE(A349&amp;""),A349))*(ROW(SCD_Data!$A$3:$A$502)-2))),"—"))</f>
        <v/>
      </c>
      <c r="J349" s="26" t="str">
        <f aca="false">IF(A349="","",IFERROR(INDEX(SCD_Data!$E$3:$E$502,SUMPRODUCT((SCD_Data!$A$3:$A$502=B349)*(IFERROR(DATEVALUE(SCD_Data!$H$3:$H$502&amp;""),SCD_Data!$H$3:$H$502)&lt;=IFERROR(DATEVALUE(A349&amp;""),A349))*(IFERROR(DATEVALUE(SCD_Data!$I$3:$I$502&amp;""),SCD_Data!$I$3:$I$502)&gt;=IFERROR(DATEVALUE(A349&amp;""),A349))*(ROW(SCD_Data!$A$3:$A$502)-2))),"—"))</f>
        <v/>
      </c>
      <c r="K349" s="25" t="str">
        <f aca="false">IF(A349="","",IFERROR(INDEX(SCD_Data!$F$3:$F$502,SUMPRODUCT((SCD_Data!$A$3:$A$502=B349)*(IFERROR(DATEVALUE(SCD_Data!$H$3:$H$502&amp;""),SCD_Data!$H$3:$H$502)&lt;=IFERROR(DATEVALUE(A349&amp;""),A349))*(IFERROR(DATEVALUE(SCD_Data!$I$3:$I$502&amp;""),SCD_Data!$I$3:$I$502)&gt;=IFERROR(DATEVALUE(A349&amp;""),A349))*(ROW(SCD_Data!$A$3:$A$502)-2))),"—"))</f>
        <v/>
      </c>
      <c r="L349" s="25" t="str">
        <f aca="false">IF(A349="","",IFERROR(INDEX(SCD_Data!$G$3:$G$502,SUMPRODUCT((SCD_Data!$A$3:$A$502=B349)*(IFERROR(DATEVALUE(SCD_Data!$H$3:$H$502&amp;""),SCD_Data!$H$3:$H$502)&lt;=IFERROR(DATEVALUE(A349&amp;""),A349))*(IFERROR(DATEVALUE(SCD_Data!$I$3:$I$502&amp;""),SCD_Data!$I$3:$I$502)&gt;=IFERROR(DATEVALUE(A349&amp;""),A349))*(ROW(SCD_Data!$A$3:$A$502)-2))),"—"))</f>
        <v/>
      </c>
      <c r="M349" s="27" t="str">
        <f aca="false">IF(A349="","",IF(H349="—","—",IF(C349&amp;""=H349&amp;"","✓","✗")))</f>
        <v/>
      </c>
      <c r="N349" s="27" t="str">
        <f aca="false">IF(A349="","",IF(H349="—","—",IF(D349&amp;""=I349&amp;"","✓","✗")))</f>
        <v/>
      </c>
      <c r="O349" s="27" t="str">
        <f aca="false">IF(A349="","",IF(H349="—","—",IF(ABS(E349-J349)&lt;0.01,"✓","✗")))</f>
        <v/>
      </c>
      <c r="P349" s="27" t="str">
        <f aca="false">IF(A349="","",IF(H349="—","—",IF(F349&amp;""=K349&amp;"","✓","✗")))</f>
        <v/>
      </c>
      <c r="Q349" s="27" t="str">
        <f aca="false">IF(A349="","",IF(H349="—","—",IF(G349&amp;""=L349&amp;"","✓","✗")))</f>
        <v/>
      </c>
      <c r="R349" s="27" t="str">
        <f aca="false">IF(A349="","",IF(COUNTIF(M349:Q349,"—")=5,"⚠ NO SCD ROW",IF(COUNTIF(M349:Q349,"✗")&gt;0,"❌ MISMATCH","✅ MATCH")))</f>
        <v/>
      </c>
    </row>
    <row r="350" customFormat="false" ht="15" hidden="false" customHeight="true" outlineLevel="0" collapsed="false">
      <c r="A350" s="22" t="str">
        <f aca="false">IF(Daily_Data!A349="","",Daily_Data!A349)</f>
        <v/>
      </c>
      <c r="B350" s="23" t="str">
        <f aca="false">IF(Daily_Data!B349="","",Daily_Data!B349)</f>
        <v/>
      </c>
      <c r="C350" s="23" t="str">
        <f aca="false">IF(A350="","",Daily_Data!C349)</f>
        <v/>
      </c>
      <c r="D350" s="23" t="str">
        <f aca="false">IF(A350="","",Daily_Data!D349)</f>
        <v/>
      </c>
      <c r="E350" s="24" t="str">
        <f aca="false">IF(A350="","",Daily_Data!E349)</f>
        <v/>
      </c>
      <c r="F350" s="23" t="str">
        <f aca="false">IF(A350="","",Daily_Data!F349)</f>
        <v/>
      </c>
      <c r="G350" s="23" t="str">
        <f aca="false">IF(A350="","",Daily_Data!G349)</f>
        <v/>
      </c>
      <c r="H350" s="25" t="str">
        <f aca="false">IF(A350="","",IFERROR(INDEX(SCD_Data!$C$3:$C$502,SUMPRODUCT((SCD_Data!$A$3:$A$502=B350)*(IFERROR(DATEVALUE(SCD_Data!$H$3:$H$502&amp;""),SCD_Data!$H$3:$H$502)&lt;=IFERROR(DATEVALUE(A350&amp;""),A350))*(IFERROR(DATEVALUE(SCD_Data!$I$3:$I$502&amp;""),SCD_Data!$I$3:$I$502)&gt;=IFERROR(DATEVALUE(A350&amp;""),A350))*(ROW(SCD_Data!$A$3:$A$502)-2))),"—"))</f>
        <v/>
      </c>
      <c r="I350" s="25" t="str">
        <f aca="false">IF(A350="","",IFERROR(INDEX(SCD_Data!$D$3:$D$502,SUMPRODUCT((SCD_Data!$A$3:$A$502=B350)*(IFERROR(DATEVALUE(SCD_Data!$H$3:$H$502&amp;""),SCD_Data!$H$3:$H$502)&lt;=IFERROR(DATEVALUE(A350&amp;""),A350))*(IFERROR(DATEVALUE(SCD_Data!$I$3:$I$502&amp;""),SCD_Data!$I$3:$I$502)&gt;=IFERROR(DATEVALUE(A350&amp;""),A350))*(ROW(SCD_Data!$A$3:$A$502)-2))),"—"))</f>
        <v/>
      </c>
      <c r="J350" s="26" t="str">
        <f aca="false">IF(A350="","",IFERROR(INDEX(SCD_Data!$E$3:$E$502,SUMPRODUCT((SCD_Data!$A$3:$A$502=B350)*(IFERROR(DATEVALUE(SCD_Data!$H$3:$H$502&amp;""),SCD_Data!$H$3:$H$502)&lt;=IFERROR(DATEVALUE(A350&amp;""),A350))*(IFERROR(DATEVALUE(SCD_Data!$I$3:$I$502&amp;""),SCD_Data!$I$3:$I$502)&gt;=IFERROR(DATEVALUE(A350&amp;""),A350))*(ROW(SCD_Data!$A$3:$A$502)-2))),"—"))</f>
        <v/>
      </c>
      <c r="K350" s="25" t="str">
        <f aca="false">IF(A350="","",IFERROR(INDEX(SCD_Data!$F$3:$F$502,SUMPRODUCT((SCD_Data!$A$3:$A$502=B350)*(IFERROR(DATEVALUE(SCD_Data!$H$3:$H$502&amp;""),SCD_Data!$H$3:$H$502)&lt;=IFERROR(DATEVALUE(A350&amp;""),A350))*(IFERROR(DATEVALUE(SCD_Data!$I$3:$I$502&amp;""),SCD_Data!$I$3:$I$502)&gt;=IFERROR(DATEVALUE(A350&amp;""),A350))*(ROW(SCD_Data!$A$3:$A$502)-2))),"—"))</f>
        <v/>
      </c>
      <c r="L350" s="25" t="str">
        <f aca="false">IF(A350="","",IFERROR(INDEX(SCD_Data!$G$3:$G$502,SUMPRODUCT((SCD_Data!$A$3:$A$502=B350)*(IFERROR(DATEVALUE(SCD_Data!$H$3:$H$502&amp;""),SCD_Data!$H$3:$H$502)&lt;=IFERROR(DATEVALUE(A350&amp;""),A350))*(IFERROR(DATEVALUE(SCD_Data!$I$3:$I$502&amp;""),SCD_Data!$I$3:$I$502)&gt;=IFERROR(DATEVALUE(A350&amp;""),A350))*(ROW(SCD_Data!$A$3:$A$502)-2))),"—"))</f>
        <v/>
      </c>
      <c r="M350" s="27" t="str">
        <f aca="false">IF(A350="","",IF(H350="—","—",IF(C350&amp;""=H350&amp;"","✓","✗")))</f>
        <v/>
      </c>
      <c r="N350" s="27" t="str">
        <f aca="false">IF(A350="","",IF(H350="—","—",IF(D350&amp;""=I350&amp;"","✓","✗")))</f>
        <v/>
      </c>
      <c r="O350" s="27" t="str">
        <f aca="false">IF(A350="","",IF(H350="—","—",IF(ABS(E350-J350)&lt;0.01,"✓","✗")))</f>
        <v/>
      </c>
      <c r="P350" s="27" t="str">
        <f aca="false">IF(A350="","",IF(H350="—","—",IF(F350&amp;""=K350&amp;"","✓","✗")))</f>
        <v/>
      </c>
      <c r="Q350" s="27" t="str">
        <f aca="false">IF(A350="","",IF(H350="—","—",IF(G350&amp;""=L350&amp;"","✓","✗")))</f>
        <v/>
      </c>
      <c r="R350" s="27" t="str">
        <f aca="false">IF(A350="","",IF(COUNTIF(M350:Q350,"—")=5,"⚠ NO SCD ROW",IF(COUNTIF(M350:Q350,"✗")&gt;0,"❌ MISMATCH","✅ MATCH")))</f>
        <v/>
      </c>
    </row>
    <row r="351" customFormat="false" ht="15" hidden="false" customHeight="true" outlineLevel="0" collapsed="false">
      <c r="A351" s="22" t="str">
        <f aca="false">IF(Daily_Data!A350="","",Daily_Data!A350)</f>
        <v/>
      </c>
      <c r="B351" s="23" t="str">
        <f aca="false">IF(Daily_Data!B350="","",Daily_Data!B350)</f>
        <v/>
      </c>
      <c r="C351" s="23" t="str">
        <f aca="false">IF(A351="","",Daily_Data!C350)</f>
        <v/>
      </c>
      <c r="D351" s="23" t="str">
        <f aca="false">IF(A351="","",Daily_Data!D350)</f>
        <v/>
      </c>
      <c r="E351" s="24" t="str">
        <f aca="false">IF(A351="","",Daily_Data!E350)</f>
        <v/>
      </c>
      <c r="F351" s="23" t="str">
        <f aca="false">IF(A351="","",Daily_Data!F350)</f>
        <v/>
      </c>
      <c r="G351" s="23" t="str">
        <f aca="false">IF(A351="","",Daily_Data!G350)</f>
        <v/>
      </c>
      <c r="H351" s="25" t="str">
        <f aca="false">IF(A351="","",IFERROR(INDEX(SCD_Data!$C$3:$C$502,SUMPRODUCT((SCD_Data!$A$3:$A$502=B351)*(IFERROR(DATEVALUE(SCD_Data!$H$3:$H$502&amp;""),SCD_Data!$H$3:$H$502)&lt;=IFERROR(DATEVALUE(A351&amp;""),A351))*(IFERROR(DATEVALUE(SCD_Data!$I$3:$I$502&amp;""),SCD_Data!$I$3:$I$502)&gt;=IFERROR(DATEVALUE(A351&amp;""),A351))*(ROW(SCD_Data!$A$3:$A$502)-2))),"—"))</f>
        <v/>
      </c>
      <c r="I351" s="25" t="str">
        <f aca="false">IF(A351="","",IFERROR(INDEX(SCD_Data!$D$3:$D$502,SUMPRODUCT((SCD_Data!$A$3:$A$502=B351)*(IFERROR(DATEVALUE(SCD_Data!$H$3:$H$502&amp;""),SCD_Data!$H$3:$H$502)&lt;=IFERROR(DATEVALUE(A351&amp;""),A351))*(IFERROR(DATEVALUE(SCD_Data!$I$3:$I$502&amp;""),SCD_Data!$I$3:$I$502)&gt;=IFERROR(DATEVALUE(A351&amp;""),A351))*(ROW(SCD_Data!$A$3:$A$502)-2))),"—"))</f>
        <v/>
      </c>
      <c r="J351" s="26" t="str">
        <f aca="false">IF(A351="","",IFERROR(INDEX(SCD_Data!$E$3:$E$502,SUMPRODUCT((SCD_Data!$A$3:$A$502=B351)*(IFERROR(DATEVALUE(SCD_Data!$H$3:$H$502&amp;""),SCD_Data!$H$3:$H$502)&lt;=IFERROR(DATEVALUE(A351&amp;""),A351))*(IFERROR(DATEVALUE(SCD_Data!$I$3:$I$502&amp;""),SCD_Data!$I$3:$I$502)&gt;=IFERROR(DATEVALUE(A351&amp;""),A351))*(ROW(SCD_Data!$A$3:$A$502)-2))),"—"))</f>
        <v/>
      </c>
      <c r="K351" s="25" t="str">
        <f aca="false">IF(A351="","",IFERROR(INDEX(SCD_Data!$F$3:$F$502,SUMPRODUCT((SCD_Data!$A$3:$A$502=B351)*(IFERROR(DATEVALUE(SCD_Data!$H$3:$H$502&amp;""),SCD_Data!$H$3:$H$502)&lt;=IFERROR(DATEVALUE(A351&amp;""),A351))*(IFERROR(DATEVALUE(SCD_Data!$I$3:$I$502&amp;""),SCD_Data!$I$3:$I$502)&gt;=IFERROR(DATEVALUE(A351&amp;""),A351))*(ROW(SCD_Data!$A$3:$A$502)-2))),"—"))</f>
        <v/>
      </c>
      <c r="L351" s="25" t="str">
        <f aca="false">IF(A351="","",IFERROR(INDEX(SCD_Data!$G$3:$G$502,SUMPRODUCT((SCD_Data!$A$3:$A$502=B351)*(IFERROR(DATEVALUE(SCD_Data!$H$3:$H$502&amp;""),SCD_Data!$H$3:$H$502)&lt;=IFERROR(DATEVALUE(A351&amp;""),A351))*(IFERROR(DATEVALUE(SCD_Data!$I$3:$I$502&amp;""),SCD_Data!$I$3:$I$502)&gt;=IFERROR(DATEVALUE(A351&amp;""),A351))*(ROW(SCD_Data!$A$3:$A$502)-2))),"—"))</f>
        <v/>
      </c>
      <c r="M351" s="27" t="str">
        <f aca="false">IF(A351="","",IF(H351="—","—",IF(C351&amp;""=H351&amp;"","✓","✗")))</f>
        <v/>
      </c>
      <c r="N351" s="27" t="str">
        <f aca="false">IF(A351="","",IF(H351="—","—",IF(D351&amp;""=I351&amp;"","✓","✗")))</f>
        <v/>
      </c>
      <c r="O351" s="27" t="str">
        <f aca="false">IF(A351="","",IF(H351="—","—",IF(ABS(E351-J351)&lt;0.01,"✓","✗")))</f>
        <v/>
      </c>
      <c r="P351" s="27" t="str">
        <f aca="false">IF(A351="","",IF(H351="—","—",IF(F351&amp;""=K351&amp;"","✓","✗")))</f>
        <v/>
      </c>
      <c r="Q351" s="27" t="str">
        <f aca="false">IF(A351="","",IF(H351="—","—",IF(G351&amp;""=L351&amp;"","✓","✗")))</f>
        <v/>
      </c>
      <c r="R351" s="27" t="str">
        <f aca="false">IF(A351="","",IF(COUNTIF(M351:Q351,"—")=5,"⚠ NO SCD ROW",IF(COUNTIF(M351:Q351,"✗")&gt;0,"❌ MISMATCH","✅ MATCH")))</f>
        <v/>
      </c>
    </row>
    <row r="352" customFormat="false" ht="15" hidden="false" customHeight="true" outlineLevel="0" collapsed="false">
      <c r="A352" s="22" t="str">
        <f aca="false">IF(Daily_Data!A351="","",Daily_Data!A351)</f>
        <v/>
      </c>
      <c r="B352" s="23" t="str">
        <f aca="false">IF(Daily_Data!B351="","",Daily_Data!B351)</f>
        <v/>
      </c>
      <c r="C352" s="23" t="str">
        <f aca="false">IF(A352="","",Daily_Data!C351)</f>
        <v/>
      </c>
      <c r="D352" s="23" t="str">
        <f aca="false">IF(A352="","",Daily_Data!D351)</f>
        <v/>
      </c>
      <c r="E352" s="24" t="str">
        <f aca="false">IF(A352="","",Daily_Data!E351)</f>
        <v/>
      </c>
      <c r="F352" s="23" t="str">
        <f aca="false">IF(A352="","",Daily_Data!F351)</f>
        <v/>
      </c>
      <c r="G352" s="23" t="str">
        <f aca="false">IF(A352="","",Daily_Data!G351)</f>
        <v/>
      </c>
      <c r="H352" s="25" t="str">
        <f aca="false">IF(A352="","",IFERROR(INDEX(SCD_Data!$C$3:$C$502,SUMPRODUCT((SCD_Data!$A$3:$A$502=B352)*(IFERROR(DATEVALUE(SCD_Data!$H$3:$H$502&amp;""),SCD_Data!$H$3:$H$502)&lt;=IFERROR(DATEVALUE(A352&amp;""),A352))*(IFERROR(DATEVALUE(SCD_Data!$I$3:$I$502&amp;""),SCD_Data!$I$3:$I$502)&gt;=IFERROR(DATEVALUE(A352&amp;""),A352))*(ROW(SCD_Data!$A$3:$A$502)-2))),"—"))</f>
        <v/>
      </c>
      <c r="I352" s="25" t="str">
        <f aca="false">IF(A352="","",IFERROR(INDEX(SCD_Data!$D$3:$D$502,SUMPRODUCT((SCD_Data!$A$3:$A$502=B352)*(IFERROR(DATEVALUE(SCD_Data!$H$3:$H$502&amp;""),SCD_Data!$H$3:$H$502)&lt;=IFERROR(DATEVALUE(A352&amp;""),A352))*(IFERROR(DATEVALUE(SCD_Data!$I$3:$I$502&amp;""),SCD_Data!$I$3:$I$502)&gt;=IFERROR(DATEVALUE(A352&amp;""),A352))*(ROW(SCD_Data!$A$3:$A$502)-2))),"—"))</f>
        <v/>
      </c>
      <c r="J352" s="26" t="str">
        <f aca="false">IF(A352="","",IFERROR(INDEX(SCD_Data!$E$3:$E$502,SUMPRODUCT((SCD_Data!$A$3:$A$502=B352)*(IFERROR(DATEVALUE(SCD_Data!$H$3:$H$502&amp;""),SCD_Data!$H$3:$H$502)&lt;=IFERROR(DATEVALUE(A352&amp;""),A352))*(IFERROR(DATEVALUE(SCD_Data!$I$3:$I$502&amp;""),SCD_Data!$I$3:$I$502)&gt;=IFERROR(DATEVALUE(A352&amp;""),A352))*(ROW(SCD_Data!$A$3:$A$502)-2))),"—"))</f>
        <v/>
      </c>
      <c r="K352" s="25" t="str">
        <f aca="false">IF(A352="","",IFERROR(INDEX(SCD_Data!$F$3:$F$502,SUMPRODUCT((SCD_Data!$A$3:$A$502=B352)*(IFERROR(DATEVALUE(SCD_Data!$H$3:$H$502&amp;""),SCD_Data!$H$3:$H$502)&lt;=IFERROR(DATEVALUE(A352&amp;""),A352))*(IFERROR(DATEVALUE(SCD_Data!$I$3:$I$502&amp;""),SCD_Data!$I$3:$I$502)&gt;=IFERROR(DATEVALUE(A352&amp;""),A352))*(ROW(SCD_Data!$A$3:$A$502)-2))),"—"))</f>
        <v/>
      </c>
      <c r="L352" s="25" t="str">
        <f aca="false">IF(A352="","",IFERROR(INDEX(SCD_Data!$G$3:$G$502,SUMPRODUCT((SCD_Data!$A$3:$A$502=B352)*(IFERROR(DATEVALUE(SCD_Data!$H$3:$H$502&amp;""),SCD_Data!$H$3:$H$502)&lt;=IFERROR(DATEVALUE(A352&amp;""),A352))*(IFERROR(DATEVALUE(SCD_Data!$I$3:$I$502&amp;""),SCD_Data!$I$3:$I$502)&gt;=IFERROR(DATEVALUE(A352&amp;""),A352))*(ROW(SCD_Data!$A$3:$A$502)-2))),"—"))</f>
        <v/>
      </c>
      <c r="M352" s="27" t="str">
        <f aca="false">IF(A352="","",IF(H352="—","—",IF(C352&amp;""=H352&amp;"","✓","✗")))</f>
        <v/>
      </c>
      <c r="N352" s="27" t="str">
        <f aca="false">IF(A352="","",IF(H352="—","—",IF(D352&amp;""=I352&amp;"","✓","✗")))</f>
        <v/>
      </c>
      <c r="O352" s="27" t="str">
        <f aca="false">IF(A352="","",IF(H352="—","—",IF(ABS(E352-J352)&lt;0.01,"✓","✗")))</f>
        <v/>
      </c>
      <c r="P352" s="27" t="str">
        <f aca="false">IF(A352="","",IF(H352="—","—",IF(F352&amp;""=K352&amp;"","✓","✗")))</f>
        <v/>
      </c>
      <c r="Q352" s="27" t="str">
        <f aca="false">IF(A352="","",IF(H352="—","—",IF(G352&amp;""=L352&amp;"","✓","✗")))</f>
        <v/>
      </c>
      <c r="R352" s="27" t="str">
        <f aca="false">IF(A352="","",IF(COUNTIF(M352:Q352,"—")=5,"⚠ NO SCD ROW",IF(COUNTIF(M352:Q352,"✗")&gt;0,"❌ MISMATCH","✅ MATCH")))</f>
        <v/>
      </c>
    </row>
    <row r="353" customFormat="false" ht="15" hidden="false" customHeight="true" outlineLevel="0" collapsed="false">
      <c r="A353" s="22" t="str">
        <f aca="false">IF(Daily_Data!A352="","",Daily_Data!A352)</f>
        <v/>
      </c>
      <c r="B353" s="23" t="str">
        <f aca="false">IF(Daily_Data!B352="","",Daily_Data!B352)</f>
        <v/>
      </c>
      <c r="C353" s="23" t="str">
        <f aca="false">IF(A353="","",Daily_Data!C352)</f>
        <v/>
      </c>
      <c r="D353" s="23" t="str">
        <f aca="false">IF(A353="","",Daily_Data!D352)</f>
        <v/>
      </c>
      <c r="E353" s="24" t="str">
        <f aca="false">IF(A353="","",Daily_Data!E352)</f>
        <v/>
      </c>
      <c r="F353" s="23" t="str">
        <f aca="false">IF(A353="","",Daily_Data!F352)</f>
        <v/>
      </c>
      <c r="G353" s="23" t="str">
        <f aca="false">IF(A353="","",Daily_Data!G352)</f>
        <v/>
      </c>
      <c r="H353" s="25" t="str">
        <f aca="false">IF(A353="","",IFERROR(INDEX(SCD_Data!$C$3:$C$502,SUMPRODUCT((SCD_Data!$A$3:$A$502=B353)*(IFERROR(DATEVALUE(SCD_Data!$H$3:$H$502&amp;""),SCD_Data!$H$3:$H$502)&lt;=IFERROR(DATEVALUE(A353&amp;""),A353))*(IFERROR(DATEVALUE(SCD_Data!$I$3:$I$502&amp;""),SCD_Data!$I$3:$I$502)&gt;=IFERROR(DATEVALUE(A353&amp;""),A353))*(ROW(SCD_Data!$A$3:$A$502)-2))),"—"))</f>
        <v/>
      </c>
      <c r="I353" s="25" t="str">
        <f aca="false">IF(A353="","",IFERROR(INDEX(SCD_Data!$D$3:$D$502,SUMPRODUCT((SCD_Data!$A$3:$A$502=B353)*(IFERROR(DATEVALUE(SCD_Data!$H$3:$H$502&amp;""),SCD_Data!$H$3:$H$502)&lt;=IFERROR(DATEVALUE(A353&amp;""),A353))*(IFERROR(DATEVALUE(SCD_Data!$I$3:$I$502&amp;""),SCD_Data!$I$3:$I$502)&gt;=IFERROR(DATEVALUE(A353&amp;""),A353))*(ROW(SCD_Data!$A$3:$A$502)-2))),"—"))</f>
        <v/>
      </c>
      <c r="J353" s="26" t="str">
        <f aca="false">IF(A353="","",IFERROR(INDEX(SCD_Data!$E$3:$E$502,SUMPRODUCT((SCD_Data!$A$3:$A$502=B353)*(IFERROR(DATEVALUE(SCD_Data!$H$3:$H$502&amp;""),SCD_Data!$H$3:$H$502)&lt;=IFERROR(DATEVALUE(A353&amp;""),A353))*(IFERROR(DATEVALUE(SCD_Data!$I$3:$I$502&amp;""),SCD_Data!$I$3:$I$502)&gt;=IFERROR(DATEVALUE(A353&amp;""),A353))*(ROW(SCD_Data!$A$3:$A$502)-2))),"—"))</f>
        <v/>
      </c>
      <c r="K353" s="25" t="str">
        <f aca="false">IF(A353="","",IFERROR(INDEX(SCD_Data!$F$3:$F$502,SUMPRODUCT((SCD_Data!$A$3:$A$502=B353)*(IFERROR(DATEVALUE(SCD_Data!$H$3:$H$502&amp;""),SCD_Data!$H$3:$H$502)&lt;=IFERROR(DATEVALUE(A353&amp;""),A353))*(IFERROR(DATEVALUE(SCD_Data!$I$3:$I$502&amp;""),SCD_Data!$I$3:$I$502)&gt;=IFERROR(DATEVALUE(A353&amp;""),A353))*(ROW(SCD_Data!$A$3:$A$502)-2))),"—"))</f>
        <v/>
      </c>
      <c r="L353" s="25" t="str">
        <f aca="false">IF(A353="","",IFERROR(INDEX(SCD_Data!$G$3:$G$502,SUMPRODUCT((SCD_Data!$A$3:$A$502=B353)*(IFERROR(DATEVALUE(SCD_Data!$H$3:$H$502&amp;""),SCD_Data!$H$3:$H$502)&lt;=IFERROR(DATEVALUE(A353&amp;""),A353))*(IFERROR(DATEVALUE(SCD_Data!$I$3:$I$502&amp;""),SCD_Data!$I$3:$I$502)&gt;=IFERROR(DATEVALUE(A353&amp;""),A353))*(ROW(SCD_Data!$A$3:$A$502)-2))),"—"))</f>
        <v/>
      </c>
      <c r="M353" s="27" t="str">
        <f aca="false">IF(A353="","",IF(H353="—","—",IF(C353&amp;""=H353&amp;"","✓","✗")))</f>
        <v/>
      </c>
      <c r="N353" s="27" t="str">
        <f aca="false">IF(A353="","",IF(H353="—","—",IF(D353&amp;""=I353&amp;"","✓","✗")))</f>
        <v/>
      </c>
      <c r="O353" s="27" t="str">
        <f aca="false">IF(A353="","",IF(H353="—","—",IF(ABS(E353-J353)&lt;0.01,"✓","✗")))</f>
        <v/>
      </c>
      <c r="P353" s="27" t="str">
        <f aca="false">IF(A353="","",IF(H353="—","—",IF(F353&amp;""=K353&amp;"","✓","✗")))</f>
        <v/>
      </c>
      <c r="Q353" s="27" t="str">
        <f aca="false">IF(A353="","",IF(H353="—","—",IF(G353&amp;""=L353&amp;"","✓","✗")))</f>
        <v/>
      </c>
      <c r="R353" s="27" t="str">
        <f aca="false">IF(A353="","",IF(COUNTIF(M353:Q353,"—")=5,"⚠ NO SCD ROW",IF(COUNTIF(M353:Q353,"✗")&gt;0,"❌ MISMATCH","✅ MATCH")))</f>
        <v/>
      </c>
    </row>
    <row r="354" customFormat="false" ht="15" hidden="false" customHeight="true" outlineLevel="0" collapsed="false">
      <c r="A354" s="22" t="str">
        <f aca="false">IF(Daily_Data!A353="","",Daily_Data!A353)</f>
        <v/>
      </c>
      <c r="B354" s="23" t="str">
        <f aca="false">IF(Daily_Data!B353="","",Daily_Data!B353)</f>
        <v/>
      </c>
      <c r="C354" s="23" t="str">
        <f aca="false">IF(A354="","",Daily_Data!C353)</f>
        <v/>
      </c>
      <c r="D354" s="23" t="str">
        <f aca="false">IF(A354="","",Daily_Data!D353)</f>
        <v/>
      </c>
      <c r="E354" s="24" t="str">
        <f aca="false">IF(A354="","",Daily_Data!E353)</f>
        <v/>
      </c>
      <c r="F354" s="23" t="str">
        <f aca="false">IF(A354="","",Daily_Data!F353)</f>
        <v/>
      </c>
      <c r="G354" s="23" t="str">
        <f aca="false">IF(A354="","",Daily_Data!G353)</f>
        <v/>
      </c>
      <c r="H354" s="25" t="str">
        <f aca="false">IF(A354="","",IFERROR(INDEX(SCD_Data!$C$3:$C$502,SUMPRODUCT((SCD_Data!$A$3:$A$502=B354)*(IFERROR(DATEVALUE(SCD_Data!$H$3:$H$502&amp;""),SCD_Data!$H$3:$H$502)&lt;=IFERROR(DATEVALUE(A354&amp;""),A354))*(IFERROR(DATEVALUE(SCD_Data!$I$3:$I$502&amp;""),SCD_Data!$I$3:$I$502)&gt;=IFERROR(DATEVALUE(A354&amp;""),A354))*(ROW(SCD_Data!$A$3:$A$502)-2))),"—"))</f>
        <v/>
      </c>
      <c r="I354" s="25" t="str">
        <f aca="false">IF(A354="","",IFERROR(INDEX(SCD_Data!$D$3:$D$502,SUMPRODUCT((SCD_Data!$A$3:$A$502=B354)*(IFERROR(DATEVALUE(SCD_Data!$H$3:$H$502&amp;""),SCD_Data!$H$3:$H$502)&lt;=IFERROR(DATEVALUE(A354&amp;""),A354))*(IFERROR(DATEVALUE(SCD_Data!$I$3:$I$502&amp;""),SCD_Data!$I$3:$I$502)&gt;=IFERROR(DATEVALUE(A354&amp;""),A354))*(ROW(SCD_Data!$A$3:$A$502)-2))),"—"))</f>
        <v/>
      </c>
      <c r="J354" s="26" t="str">
        <f aca="false">IF(A354="","",IFERROR(INDEX(SCD_Data!$E$3:$E$502,SUMPRODUCT((SCD_Data!$A$3:$A$502=B354)*(IFERROR(DATEVALUE(SCD_Data!$H$3:$H$502&amp;""),SCD_Data!$H$3:$H$502)&lt;=IFERROR(DATEVALUE(A354&amp;""),A354))*(IFERROR(DATEVALUE(SCD_Data!$I$3:$I$502&amp;""),SCD_Data!$I$3:$I$502)&gt;=IFERROR(DATEVALUE(A354&amp;""),A354))*(ROW(SCD_Data!$A$3:$A$502)-2))),"—"))</f>
        <v/>
      </c>
      <c r="K354" s="25" t="str">
        <f aca="false">IF(A354="","",IFERROR(INDEX(SCD_Data!$F$3:$F$502,SUMPRODUCT((SCD_Data!$A$3:$A$502=B354)*(IFERROR(DATEVALUE(SCD_Data!$H$3:$H$502&amp;""),SCD_Data!$H$3:$H$502)&lt;=IFERROR(DATEVALUE(A354&amp;""),A354))*(IFERROR(DATEVALUE(SCD_Data!$I$3:$I$502&amp;""),SCD_Data!$I$3:$I$502)&gt;=IFERROR(DATEVALUE(A354&amp;""),A354))*(ROW(SCD_Data!$A$3:$A$502)-2))),"—"))</f>
        <v/>
      </c>
      <c r="L354" s="25" t="str">
        <f aca="false">IF(A354="","",IFERROR(INDEX(SCD_Data!$G$3:$G$502,SUMPRODUCT((SCD_Data!$A$3:$A$502=B354)*(IFERROR(DATEVALUE(SCD_Data!$H$3:$H$502&amp;""),SCD_Data!$H$3:$H$502)&lt;=IFERROR(DATEVALUE(A354&amp;""),A354))*(IFERROR(DATEVALUE(SCD_Data!$I$3:$I$502&amp;""),SCD_Data!$I$3:$I$502)&gt;=IFERROR(DATEVALUE(A354&amp;""),A354))*(ROW(SCD_Data!$A$3:$A$502)-2))),"—"))</f>
        <v/>
      </c>
      <c r="M354" s="27" t="str">
        <f aca="false">IF(A354="","",IF(H354="—","—",IF(C354&amp;""=H354&amp;"","✓","✗")))</f>
        <v/>
      </c>
      <c r="N354" s="27" t="str">
        <f aca="false">IF(A354="","",IF(H354="—","—",IF(D354&amp;""=I354&amp;"","✓","✗")))</f>
        <v/>
      </c>
      <c r="O354" s="27" t="str">
        <f aca="false">IF(A354="","",IF(H354="—","—",IF(ABS(E354-J354)&lt;0.01,"✓","✗")))</f>
        <v/>
      </c>
      <c r="P354" s="27" t="str">
        <f aca="false">IF(A354="","",IF(H354="—","—",IF(F354&amp;""=K354&amp;"","✓","✗")))</f>
        <v/>
      </c>
      <c r="Q354" s="27" t="str">
        <f aca="false">IF(A354="","",IF(H354="—","—",IF(G354&amp;""=L354&amp;"","✓","✗")))</f>
        <v/>
      </c>
      <c r="R354" s="27" t="str">
        <f aca="false">IF(A354="","",IF(COUNTIF(M354:Q354,"—")=5,"⚠ NO SCD ROW",IF(COUNTIF(M354:Q354,"✗")&gt;0,"❌ MISMATCH","✅ MATCH")))</f>
        <v/>
      </c>
    </row>
    <row r="355" customFormat="false" ht="15" hidden="false" customHeight="true" outlineLevel="0" collapsed="false">
      <c r="A355" s="22" t="str">
        <f aca="false">IF(Daily_Data!A354="","",Daily_Data!A354)</f>
        <v/>
      </c>
      <c r="B355" s="23" t="str">
        <f aca="false">IF(Daily_Data!B354="","",Daily_Data!B354)</f>
        <v/>
      </c>
      <c r="C355" s="23" t="str">
        <f aca="false">IF(A355="","",Daily_Data!C354)</f>
        <v/>
      </c>
      <c r="D355" s="23" t="str">
        <f aca="false">IF(A355="","",Daily_Data!D354)</f>
        <v/>
      </c>
      <c r="E355" s="24" t="str">
        <f aca="false">IF(A355="","",Daily_Data!E354)</f>
        <v/>
      </c>
      <c r="F355" s="23" t="str">
        <f aca="false">IF(A355="","",Daily_Data!F354)</f>
        <v/>
      </c>
      <c r="G355" s="23" t="str">
        <f aca="false">IF(A355="","",Daily_Data!G354)</f>
        <v/>
      </c>
      <c r="H355" s="25" t="str">
        <f aca="false">IF(A355="","",IFERROR(INDEX(SCD_Data!$C$3:$C$502,SUMPRODUCT((SCD_Data!$A$3:$A$502=B355)*(IFERROR(DATEVALUE(SCD_Data!$H$3:$H$502&amp;""),SCD_Data!$H$3:$H$502)&lt;=IFERROR(DATEVALUE(A355&amp;""),A355))*(IFERROR(DATEVALUE(SCD_Data!$I$3:$I$502&amp;""),SCD_Data!$I$3:$I$502)&gt;=IFERROR(DATEVALUE(A355&amp;""),A355))*(ROW(SCD_Data!$A$3:$A$502)-2))),"—"))</f>
        <v/>
      </c>
      <c r="I355" s="25" t="str">
        <f aca="false">IF(A355="","",IFERROR(INDEX(SCD_Data!$D$3:$D$502,SUMPRODUCT((SCD_Data!$A$3:$A$502=B355)*(IFERROR(DATEVALUE(SCD_Data!$H$3:$H$502&amp;""),SCD_Data!$H$3:$H$502)&lt;=IFERROR(DATEVALUE(A355&amp;""),A355))*(IFERROR(DATEVALUE(SCD_Data!$I$3:$I$502&amp;""),SCD_Data!$I$3:$I$502)&gt;=IFERROR(DATEVALUE(A355&amp;""),A355))*(ROW(SCD_Data!$A$3:$A$502)-2))),"—"))</f>
        <v/>
      </c>
      <c r="J355" s="26" t="str">
        <f aca="false">IF(A355="","",IFERROR(INDEX(SCD_Data!$E$3:$E$502,SUMPRODUCT((SCD_Data!$A$3:$A$502=B355)*(IFERROR(DATEVALUE(SCD_Data!$H$3:$H$502&amp;""),SCD_Data!$H$3:$H$502)&lt;=IFERROR(DATEVALUE(A355&amp;""),A355))*(IFERROR(DATEVALUE(SCD_Data!$I$3:$I$502&amp;""),SCD_Data!$I$3:$I$502)&gt;=IFERROR(DATEVALUE(A355&amp;""),A355))*(ROW(SCD_Data!$A$3:$A$502)-2))),"—"))</f>
        <v/>
      </c>
      <c r="K355" s="25" t="str">
        <f aca="false">IF(A355="","",IFERROR(INDEX(SCD_Data!$F$3:$F$502,SUMPRODUCT((SCD_Data!$A$3:$A$502=B355)*(IFERROR(DATEVALUE(SCD_Data!$H$3:$H$502&amp;""),SCD_Data!$H$3:$H$502)&lt;=IFERROR(DATEVALUE(A355&amp;""),A355))*(IFERROR(DATEVALUE(SCD_Data!$I$3:$I$502&amp;""),SCD_Data!$I$3:$I$502)&gt;=IFERROR(DATEVALUE(A355&amp;""),A355))*(ROW(SCD_Data!$A$3:$A$502)-2))),"—"))</f>
        <v/>
      </c>
      <c r="L355" s="25" t="str">
        <f aca="false">IF(A355="","",IFERROR(INDEX(SCD_Data!$G$3:$G$502,SUMPRODUCT((SCD_Data!$A$3:$A$502=B355)*(IFERROR(DATEVALUE(SCD_Data!$H$3:$H$502&amp;""),SCD_Data!$H$3:$H$502)&lt;=IFERROR(DATEVALUE(A355&amp;""),A355))*(IFERROR(DATEVALUE(SCD_Data!$I$3:$I$502&amp;""),SCD_Data!$I$3:$I$502)&gt;=IFERROR(DATEVALUE(A355&amp;""),A355))*(ROW(SCD_Data!$A$3:$A$502)-2))),"—"))</f>
        <v/>
      </c>
      <c r="M355" s="27" t="str">
        <f aca="false">IF(A355="","",IF(H355="—","—",IF(C355&amp;""=H355&amp;"","✓","✗")))</f>
        <v/>
      </c>
      <c r="N355" s="27" t="str">
        <f aca="false">IF(A355="","",IF(H355="—","—",IF(D355&amp;""=I355&amp;"","✓","✗")))</f>
        <v/>
      </c>
      <c r="O355" s="27" t="str">
        <f aca="false">IF(A355="","",IF(H355="—","—",IF(ABS(E355-J355)&lt;0.01,"✓","✗")))</f>
        <v/>
      </c>
      <c r="P355" s="27" t="str">
        <f aca="false">IF(A355="","",IF(H355="—","—",IF(F355&amp;""=K355&amp;"","✓","✗")))</f>
        <v/>
      </c>
      <c r="Q355" s="27" t="str">
        <f aca="false">IF(A355="","",IF(H355="—","—",IF(G355&amp;""=L355&amp;"","✓","✗")))</f>
        <v/>
      </c>
      <c r="R355" s="27" t="str">
        <f aca="false">IF(A355="","",IF(COUNTIF(M355:Q355,"—")=5,"⚠ NO SCD ROW",IF(COUNTIF(M355:Q355,"✗")&gt;0,"❌ MISMATCH","✅ MATCH")))</f>
        <v/>
      </c>
    </row>
    <row r="356" customFormat="false" ht="15" hidden="false" customHeight="true" outlineLevel="0" collapsed="false">
      <c r="A356" s="22" t="str">
        <f aca="false">IF(Daily_Data!A355="","",Daily_Data!A355)</f>
        <v/>
      </c>
      <c r="B356" s="23" t="str">
        <f aca="false">IF(Daily_Data!B355="","",Daily_Data!B355)</f>
        <v/>
      </c>
      <c r="C356" s="23" t="str">
        <f aca="false">IF(A356="","",Daily_Data!C355)</f>
        <v/>
      </c>
      <c r="D356" s="23" t="str">
        <f aca="false">IF(A356="","",Daily_Data!D355)</f>
        <v/>
      </c>
      <c r="E356" s="24" t="str">
        <f aca="false">IF(A356="","",Daily_Data!E355)</f>
        <v/>
      </c>
      <c r="F356" s="23" t="str">
        <f aca="false">IF(A356="","",Daily_Data!F355)</f>
        <v/>
      </c>
      <c r="G356" s="23" t="str">
        <f aca="false">IF(A356="","",Daily_Data!G355)</f>
        <v/>
      </c>
      <c r="H356" s="25" t="str">
        <f aca="false">IF(A356="","",IFERROR(INDEX(SCD_Data!$C$3:$C$502,SUMPRODUCT((SCD_Data!$A$3:$A$502=B356)*(IFERROR(DATEVALUE(SCD_Data!$H$3:$H$502&amp;""),SCD_Data!$H$3:$H$502)&lt;=IFERROR(DATEVALUE(A356&amp;""),A356))*(IFERROR(DATEVALUE(SCD_Data!$I$3:$I$502&amp;""),SCD_Data!$I$3:$I$502)&gt;=IFERROR(DATEVALUE(A356&amp;""),A356))*(ROW(SCD_Data!$A$3:$A$502)-2))),"—"))</f>
        <v/>
      </c>
      <c r="I356" s="25" t="str">
        <f aca="false">IF(A356="","",IFERROR(INDEX(SCD_Data!$D$3:$D$502,SUMPRODUCT((SCD_Data!$A$3:$A$502=B356)*(IFERROR(DATEVALUE(SCD_Data!$H$3:$H$502&amp;""),SCD_Data!$H$3:$H$502)&lt;=IFERROR(DATEVALUE(A356&amp;""),A356))*(IFERROR(DATEVALUE(SCD_Data!$I$3:$I$502&amp;""),SCD_Data!$I$3:$I$502)&gt;=IFERROR(DATEVALUE(A356&amp;""),A356))*(ROW(SCD_Data!$A$3:$A$502)-2))),"—"))</f>
        <v/>
      </c>
      <c r="J356" s="26" t="str">
        <f aca="false">IF(A356="","",IFERROR(INDEX(SCD_Data!$E$3:$E$502,SUMPRODUCT((SCD_Data!$A$3:$A$502=B356)*(IFERROR(DATEVALUE(SCD_Data!$H$3:$H$502&amp;""),SCD_Data!$H$3:$H$502)&lt;=IFERROR(DATEVALUE(A356&amp;""),A356))*(IFERROR(DATEVALUE(SCD_Data!$I$3:$I$502&amp;""),SCD_Data!$I$3:$I$502)&gt;=IFERROR(DATEVALUE(A356&amp;""),A356))*(ROW(SCD_Data!$A$3:$A$502)-2))),"—"))</f>
        <v/>
      </c>
      <c r="K356" s="25" t="str">
        <f aca="false">IF(A356="","",IFERROR(INDEX(SCD_Data!$F$3:$F$502,SUMPRODUCT((SCD_Data!$A$3:$A$502=B356)*(IFERROR(DATEVALUE(SCD_Data!$H$3:$H$502&amp;""),SCD_Data!$H$3:$H$502)&lt;=IFERROR(DATEVALUE(A356&amp;""),A356))*(IFERROR(DATEVALUE(SCD_Data!$I$3:$I$502&amp;""),SCD_Data!$I$3:$I$502)&gt;=IFERROR(DATEVALUE(A356&amp;""),A356))*(ROW(SCD_Data!$A$3:$A$502)-2))),"—"))</f>
        <v/>
      </c>
      <c r="L356" s="25" t="str">
        <f aca="false">IF(A356="","",IFERROR(INDEX(SCD_Data!$G$3:$G$502,SUMPRODUCT((SCD_Data!$A$3:$A$502=B356)*(IFERROR(DATEVALUE(SCD_Data!$H$3:$H$502&amp;""),SCD_Data!$H$3:$H$502)&lt;=IFERROR(DATEVALUE(A356&amp;""),A356))*(IFERROR(DATEVALUE(SCD_Data!$I$3:$I$502&amp;""),SCD_Data!$I$3:$I$502)&gt;=IFERROR(DATEVALUE(A356&amp;""),A356))*(ROW(SCD_Data!$A$3:$A$502)-2))),"—"))</f>
        <v/>
      </c>
      <c r="M356" s="27" t="str">
        <f aca="false">IF(A356="","",IF(H356="—","—",IF(C356&amp;""=H356&amp;"","✓","✗")))</f>
        <v/>
      </c>
      <c r="N356" s="27" t="str">
        <f aca="false">IF(A356="","",IF(H356="—","—",IF(D356&amp;""=I356&amp;"","✓","✗")))</f>
        <v/>
      </c>
      <c r="O356" s="27" t="str">
        <f aca="false">IF(A356="","",IF(H356="—","—",IF(ABS(E356-J356)&lt;0.01,"✓","✗")))</f>
        <v/>
      </c>
      <c r="P356" s="27" t="str">
        <f aca="false">IF(A356="","",IF(H356="—","—",IF(F356&amp;""=K356&amp;"","✓","✗")))</f>
        <v/>
      </c>
      <c r="Q356" s="27" t="str">
        <f aca="false">IF(A356="","",IF(H356="—","—",IF(G356&amp;""=L356&amp;"","✓","✗")))</f>
        <v/>
      </c>
      <c r="R356" s="27" t="str">
        <f aca="false">IF(A356="","",IF(COUNTIF(M356:Q356,"—")=5,"⚠ NO SCD ROW",IF(COUNTIF(M356:Q356,"✗")&gt;0,"❌ MISMATCH","✅ MATCH")))</f>
        <v/>
      </c>
    </row>
    <row r="357" customFormat="false" ht="15" hidden="false" customHeight="true" outlineLevel="0" collapsed="false">
      <c r="A357" s="22" t="str">
        <f aca="false">IF(Daily_Data!A356="","",Daily_Data!A356)</f>
        <v/>
      </c>
      <c r="B357" s="23" t="str">
        <f aca="false">IF(Daily_Data!B356="","",Daily_Data!B356)</f>
        <v/>
      </c>
      <c r="C357" s="23" t="str">
        <f aca="false">IF(A357="","",Daily_Data!C356)</f>
        <v/>
      </c>
      <c r="D357" s="23" t="str">
        <f aca="false">IF(A357="","",Daily_Data!D356)</f>
        <v/>
      </c>
      <c r="E357" s="24" t="str">
        <f aca="false">IF(A357="","",Daily_Data!E356)</f>
        <v/>
      </c>
      <c r="F357" s="23" t="str">
        <f aca="false">IF(A357="","",Daily_Data!F356)</f>
        <v/>
      </c>
      <c r="G357" s="23" t="str">
        <f aca="false">IF(A357="","",Daily_Data!G356)</f>
        <v/>
      </c>
      <c r="H357" s="25" t="str">
        <f aca="false">IF(A357="","",IFERROR(INDEX(SCD_Data!$C$3:$C$502,SUMPRODUCT((SCD_Data!$A$3:$A$502=B357)*(IFERROR(DATEVALUE(SCD_Data!$H$3:$H$502&amp;""),SCD_Data!$H$3:$H$502)&lt;=IFERROR(DATEVALUE(A357&amp;""),A357))*(IFERROR(DATEVALUE(SCD_Data!$I$3:$I$502&amp;""),SCD_Data!$I$3:$I$502)&gt;=IFERROR(DATEVALUE(A357&amp;""),A357))*(ROW(SCD_Data!$A$3:$A$502)-2))),"—"))</f>
        <v/>
      </c>
      <c r="I357" s="25" t="str">
        <f aca="false">IF(A357="","",IFERROR(INDEX(SCD_Data!$D$3:$D$502,SUMPRODUCT((SCD_Data!$A$3:$A$502=B357)*(IFERROR(DATEVALUE(SCD_Data!$H$3:$H$502&amp;""),SCD_Data!$H$3:$H$502)&lt;=IFERROR(DATEVALUE(A357&amp;""),A357))*(IFERROR(DATEVALUE(SCD_Data!$I$3:$I$502&amp;""),SCD_Data!$I$3:$I$502)&gt;=IFERROR(DATEVALUE(A357&amp;""),A357))*(ROW(SCD_Data!$A$3:$A$502)-2))),"—"))</f>
        <v/>
      </c>
      <c r="J357" s="26" t="str">
        <f aca="false">IF(A357="","",IFERROR(INDEX(SCD_Data!$E$3:$E$502,SUMPRODUCT((SCD_Data!$A$3:$A$502=B357)*(IFERROR(DATEVALUE(SCD_Data!$H$3:$H$502&amp;""),SCD_Data!$H$3:$H$502)&lt;=IFERROR(DATEVALUE(A357&amp;""),A357))*(IFERROR(DATEVALUE(SCD_Data!$I$3:$I$502&amp;""),SCD_Data!$I$3:$I$502)&gt;=IFERROR(DATEVALUE(A357&amp;""),A357))*(ROW(SCD_Data!$A$3:$A$502)-2))),"—"))</f>
        <v/>
      </c>
      <c r="K357" s="25" t="str">
        <f aca="false">IF(A357="","",IFERROR(INDEX(SCD_Data!$F$3:$F$502,SUMPRODUCT((SCD_Data!$A$3:$A$502=B357)*(IFERROR(DATEVALUE(SCD_Data!$H$3:$H$502&amp;""),SCD_Data!$H$3:$H$502)&lt;=IFERROR(DATEVALUE(A357&amp;""),A357))*(IFERROR(DATEVALUE(SCD_Data!$I$3:$I$502&amp;""),SCD_Data!$I$3:$I$502)&gt;=IFERROR(DATEVALUE(A357&amp;""),A357))*(ROW(SCD_Data!$A$3:$A$502)-2))),"—"))</f>
        <v/>
      </c>
      <c r="L357" s="25" t="str">
        <f aca="false">IF(A357="","",IFERROR(INDEX(SCD_Data!$G$3:$G$502,SUMPRODUCT((SCD_Data!$A$3:$A$502=B357)*(IFERROR(DATEVALUE(SCD_Data!$H$3:$H$502&amp;""),SCD_Data!$H$3:$H$502)&lt;=IFERROR(DATEVALUE(A357&amp;""),A357))*(IFERROR(DATEVALUE(SCD_Data!$I$3:$I$502&amp;""),SCD_Data!$I$3:$I$502)&gt;=IFERROR(DATEVALUE(A357&amp;""),A357))*(ROW(SCD_Data!$A$3:$A$502)-2))),"—"))</f>
        <v/>
      </c>
      <c r="M357" s="27" t="str">
        <f aca="false">IF(A357="","",IF(H357="—","—",IF(C357&amp;""=H357&amp;"","✓","✗")))</f>
        <v/>
      </c>
      <c r="N357" s="27" t="str">
        <f aca="false">IF(A357="","",IF(H357="—","—",IF(D357&amp;""=I357&amp;"","✓","✗")))</f>
        <v/>
      </c>
      <c r="O357" s="27" t="str">
        <f aca="false">IF(A357="","",IF(H357="—","—",IF(ABS(E357-J357)&lt;0.01,"✓","✗")))</f>
        <v/>
      </c>
      <c r="P357" s="27" t="str">
        <f aca="false">IF(A357="","",IF(H357="—","—",IF(F357&amp;""=K357&amp;"","✓","✗")))</f>
        <v/>
      </c>
      <c r="Q357" s="27" t="str">
        <f aca="false">IF(A357="","",IF(H357="—","—",IF(G357&amp;""=L357&amp;"","✓","✗")))</f>
        <v/>
      </c>
      <c r="R357" s="27" t="str">
        <f aca="false">IF(A357="","",IF(COUNTIF(M357:Q357,"—")=5,"⚠ NO SCD ROW",IF(COUNTIF(M357:Q357,"✗")&gt;0,"❌ MISMATCH","✅ MATCH")))</f>
        <v/>
      </c>
    </row>
    <row r="358" customFormat="false" ht="15" hidden="false" customHeight="true" outlineLevel="0" collapsed="false">
      <c r="A358" s="22" t="str">
        <f aca="false">IF(Daily_Data!A357="","",Daily_Data!A357)</f>
        <v/>
      </c>
      <c r="B358" s="23" t="str">
        <f aca="false">IF(Daily_Data!B357="","",Daily_Data!B357)</f>
        <v/>
      </c>
      <c r="C358" s="23" t="str">
        <f aca="false">IF(A358="","",Daily_Data!C357)</f>
        <v/>
      </c>
      <c r="D358" s="23" t="str">
        <f aca="false">IF(A358="","",Daily_Data!D357)</f>
        <v/>
      </c>
      <c r="E358" s="24" t="str">
        <f aca="false">IF(A358="","",Daily_Data!E357)</f>
        <v/>
      </c>
      <c r="F358" s="23" t="str">
        <f aca="false">IF(A358="","",Daily_Data!F357)</f>
        <v/>
      </c>
      <c r="G358" s="23" t="str">
        <f aca="false">IF(A358="","",Daily_Data!G357)</f>
        <v/>
      </c>
      <c r="H358" s="25" t="str">
        <f aca="false">IF(A358="","",IFERROR(INDEX(SCD_Data!$C$3:$C$502,SUMPRODUCT((SCD_Data!$A$3:$A$502=B358)*(IFERROR(DATEVALUE(SCD_Data!$H$3:$H$502&amp;""),SCD_Data!$H$3:$H$502)&lt;=IFERROR(DATEVALUE(A358&amp;""),A358))*(IFERROR(DATEVALUE(SCD_Data!$I$3:$I$502&amp;""),SCD_Data!$I$3:$I$502)&gt;=IFERROR(DATEVALUE(A358&amp;""),A358))*(ROW(SCD_Data!$A$3:$A$502)-2))),"—"))</f>
        <v/>
      </c>
      <c r="I358" s="25" t="str">
        <f aca="false">IF(A358="","",IFERROR(INDEX(SCD_Data!$D$3:$D$502,SUMPRODUCT((SCD_Data!$A$3:$A$502=B358)*(IFERROR(DATEVALUE(SCD_Data!$H$3:$H$502&amp;""),SCD_Data!$H$3:$H$502)&lt;=IFERROR(DATEVALUE(A358&amp;""),A358))*(IFERROR(DATEVALUE(SCD_Data!$I$3:$I$502&amp;""),SCD_Data!$I$3:$I$502)&gt;=IFERROR(DATEVALUE(A358&amp;""),A358))*(ROW(SCD_Data!$A$3:$A$502)-2))),"—"))</f>
        <v/>
      </c>
      <c r="J358" s="26" t="str">
        <f aca="false">IF(A358="","",IFERROR(INDEX(SCD_Data!$E$3:$E$502,SUMPRODUCT((SCD_Data!$A$3:$A$502=B358)*(IFERROR(DATEVALUE(SCD_Data!$H$3:$H$502&amp;""),SCD_Data!$H$3:$H$502)&lt;=IFERROR(DATEVALUE(A358&amp;""),A358))*(IFERROR(DATEVALUE(SCD_Data!$I$3:$I$502&amp;""),SCD_Data!$I$3:$I$502)&gt;=IFERROR(DATEVALUE(A358&amp;""),A358))*(ROW(SCD_Data!$A$3:$A$502)-2))),"—"))</f>
        <v/>
      </c>
      <c r="K358" s="25" t="str">
        <f aca="false">IF(A358="","",IFERROR(INDEX(SCD_Data!$F$3:$F$502,SUMPRODUCT((SCD_Data!$A$3:$A$502=B358)*(IFERROR(DATEVALUE(SCD_Data!$H$3:$H$502&amp;""),SCD_Data!$H$3:$H$502)&lt;=IFERROR(DATEVALUE(A358&amp;""),A358))*(IFERROR(DATEVALUE(SCD_Data!$I$3:$I$502&amp;""),SCD_Data!$I$3:$I$502)&gt;=IFERROR(DATEVALUE(A358&amp;""),A358))*(ROW(SCD_Data!$A$3:$A$502)-2))),"—"))</f>
        <v/>
      </c>
      <c r="L358" s="25" t="str">
        <f aca="false">IF(A358="","",IFERROR(INDEX(SCD_Data!$G$3:$G$502,SUMPRODUCT((SCD_Data!$A$3:$A$502=B358)*(IFERROR(DATEVALUE(SCD_Data!$H$3:$H$502&amp;""),SCD_Data!$H$3:$H$502)&lt;=IFERROR(DATEVALUE(A358&amp;""),A358))*(IFERROR(DATEVALUE(SCD_Data!$I$3:$I$502&amp;""),SCD_Data!$I$3:$I$502)&gt;=IFERROR(DATEVALUE(A358&amp;""),A358))*(ROW(SCD_Data!$A$3:$A$502)-2))),"—"))</f>
        <v/>
      </c>
      <c r="M358" s="27" t="str">
        <f aca="false">IF(A358="","",IF(H358="—","—",IF(C358&amp;""=H358&amp;"","✓","✗")))</f>
        <v/>
      </c>
      <c r="N358" s="27" t="str">
        <f aca="false">IF(A358="","",IF(H358="—","—",IF(D358&amp;""=I358&amp;"","✓","✗")))</f>
        <v/>
      </c>
      <c r="O358" s="27" t="str">
        <f aca="false">IF(A358="","",IF(H358="—","—",IF(ABS(E358-J358)&lt;0.01,"✓","✗")))</f>
        <v/>
      </c>
      <c r="P358" s="27" t="str">
        <f aca="false">IF(A358="","",IF(H358="—","—",IF(F358&amp;""=K358&amp;"","✓","✗")))</f>
        <v/>
      </c>
      <c r="Q358" s="27" t="str">
        <f aca="false">IF(A358="","",IF(H358="—","—",IF(G358&amp;""=L358&amp;"","✓","✗")))</f>
        <v/>
      </c>
      <c r="R358" s="27" t="str">
        <f aca="false">IF(A358="","",IF(COUNTIF(M358:Q358,"—")=5,"⚠ NO SCD ROW",IF(COUNTIF(M358:Q358,"✗")&gt;0,"❌ MISMATCH","✅ MATCH")))</f>
        <v/>
      </c>
    </row>
    <row r="359" customFormat="false" ht="15" hidden="false" customHeight="true" outlineLevel="0" collapsed="false">
      <c r="A359" s="22" t="str">
        <f aca="false">IF(Daily_Data!A358="","",Daily_Data!A358)</f>
        <v/>
      </c>
      <c r="B359" s="23" t="str">
        <f aca="false">IF(Daily_Data!B358="","",Daily_Data!B358)</f>
        <v/>
      </c>
      <c r="C359" s="23" t="str">
        <f aca="false">IF(A359="","",Daily_Data!C358)</f>
        <v/>
      </c>
      <c r="D359" s="23" t="str">
        <f aca="false">IF(A359="","",Daily_Data!D358)</f>
        <v/>
      </c>
      <c r="E359" s="24" t="str">
        <f aca="false">IF(A359="","",Daily_Data!E358)</f>
        <v/>
      </c>
      <c r="F359" s="23" t="str">
        <f aca="false">IF(A359="","",Daily_Data!F358)</f>
        <v/>
      </c>
      <c r="G359" s="23" t="str">
        <f aca="false">IF(A359="","",Daily_Data!G358)</f>
        <v/>
      </c>
      <c r="H359" s="25" t="str">
        <f aca="false">IF(A359="","",IFERROR(INDEX(SCD_Data!$C$3:$C$502,SUMPRODUCT((SCD_Data!$A$3:$A$502=B359)*(IFERROR(DATEVALUE(SCD_Data!$H$3:$H$502&amp;""),SCD_Data!$H$3:$H$502)&lt;=IFERROR(DATEVALUE(A359&amp;""),A359))*(IFERROR(DATEVALUE(SCD_Data!$I$3:$I$502&amp;""),SCD_Data!$I$3:$I$502)&gt;=IFERROR(DATEVALUE(A359&amp;""),A359))*(ROW(SCD_Data!$A$3:$A$502)-2))),"—"))</f>
        <v/>
      </c>
      <c r="I359" s="25" t="str">
        <f aca="false">IF(A359="","",IFERROR(INDEX(SCD_Data!$D$3:$D$502,SUMPRODUCT((SCD_Data!$A$3:$A$502=B359)*(IFERROR(DATEVALUE(SCD_Data!$H$3:$H$502&amp;""),SCD_Data!$H$3:$H$502)&lt;=IFERROR(DATEVALUE(A359&amp;""),A359))*(IFERROR(DATEVALUE(SCD_Data!$I$3:$I$502&amp;""),SCD_Data!$I$3:$I$502)&gt;=IFERROR(DATEVALUE(A359&amp;""),A359))*(ROW(SCD_Data!$A$3:$A$502)-2))),"—"))</f>
        <v/>
      </c>
      <c r="J359" s="26" t="str">
        <f aca="false">IF(A359="","",IFERROR(INDEX(SCD_Data!$E$3:$E$502,SUMPRODUCT((SCD_Data!$A$3:$A$502=B359)*(IFERROR(DATEVALUE(SCD_Data!$H$3:$H$502&amp;""),SCD_Data!$H$3:$H$502)&lt;=IFERROR(DATEVALUE(A359&amp;""),A359))*(IFERROR(DATEVALUE(SCD_Data!$I$3:$I$502&amp;""),SCD_Data!$I$3:$I$502)&gt;=IFERROR(DATEVALUE(A359&amp;""),A359))*(ROW(SCD_Data!$A$3:$A$502)-2))),"—"))</f>
        <v/>
      </c>
      <c r="K359" s="25" t="str">
        <f aca="false">IF(A359="","",IFERROR(INDEX(SCD_Data!$F$3:$F$502,SUMPRODUCT((SCD_Data!$A$3:$A$502=B359)*(IFERROR(DATEVALUE(SCD_Data!$H$3:$H$502&amp;""),SCD_Data!$H$3:$H$502)&lt;=IFERROR(DATEVALUE(A359&amp;""),A359))*(IFERROR(DATEVALUE(SCD_Data!$I$3:$I$502&amp;""),SCD_Data!$I$3:$I$502)&gt;=IFERROR(DATEVALUE(A359&amp;""),A359))*(ROW(SCD_Data!$A$3:$A$502)-2))),"—"))</f>
        <v/>
      </c>
      <c r="L359" s="25" t="str">
        <f aca="false">IF(A359="","",IFERROR(INDEX(SCD_Data!$G$3:$G$502,SUMPRODUCT((SCD_Data!$A$3:$A$502=B359)*(IFERROR(DATEVALUE(SCD_Data!$H$3:$H$502&amp;""),SCD_Data!$H$3:$H$502)&lt;=IFERROR(DATEVALUE(A359&amp;""),A359))*(IFERROR(DATEVALUE(SCD_Data!$I$3:$I$502&amp;""),SCD_Data!$I$3:$I$502)&gt;=IFERROR(DATEVALUE(A359&amp;""),A359))*(ROW(SCD_Data!$A$3:$A$502)-2))),"—"))</f>
        <v/>
      </c>
      <c r="M359" s="27" t="str">
        <f aca="false">IF(A359="","",IF(H359="—","—",IF(C359&amp;""=H359&amp;"","✓","✗")))</f>
        <v/>
      </c>
      <c r="N359" s="27" t="str">
        <f aca="false">IF(A359="","",IF(H359="—","—",IF(D359&amp;""=I359&amp;"","✓","✗")))</f>
        <v/>
      </c>
      <c r="O359" s="27" t="str">
        <f aca="false">IF(A359="","",IF(H359="—","—",IF(ABS(E359-J359)&lt;0.01,"✓","✗")))</f>
        <v/>
      </c>
      <c r="P359" s="27" t="str">
        <f aca="false">IF(A359="","",IF(H359="—","—",IF(F359&amp;""=K359&amp;"","✓","✗")))</f>
        <v/>
      </c>
      <c r="Q359" s="27" t="str">
        <f aca="false">IF(A359="","",IF(H359="—","—",IF(G359&amp;""=L359&amp;"","✓","✗")))</f>
        <v/>
      </c>
      <c r="R359" s="27" t="str">
        <f aca="false">IF(A359="","",IF(COUNTIF(M359:Q359,"—")=5,"⚠ NO SCD ROW",IF(COUNTIF(M359:Q359,"✗")&gt;0,"❌ MISMATCH","✅ MATCH")))</f>
        <v/>
      </c>
    </row>
    <row r="360" customFormat="false" ht="15" hidden="false" customHeight="true" outlineLevel="0" collapsed="false">
      <c r="A360" s="22" t="str">
        <f aca="false">IF(Daily_Data!A359="","",Daily_Data!A359)</f>
        <v/>
      </c>
      <c r="B360" s="23" t="str">
        <f aca="false">IF(Daily_Data!B359="","",Daily_Data!B359)</f>
        <v/>
      </c>
      <c r="C360" s="23" t="str">
        <f aca="false">IF(A360="","",Daily_Data!C359)</f>
        <v/>
      </c>
      <c r="D360" s="23" t="str">
        <f aca="false">IF(A360="","",Daily_Data!D359)</f>
        <v/>
      </c>
      <c r="E360" s="24" t="str">
        <f aca="false">IF(A360="","",Daily_Data!E359)</f>
        <v/>
      </c>
      <c r="F360" s="23" t="str">
        <f aca="false">IF(A360="","",Daily_Data!F359)</f>
        <v/>
      </c>
      <c r="G360" s="23" t="str">
        <f aca="false">IF(A360="","",Daily_Data!G359)</f>
        <v/>
      </c>
      <c r="H360" s="25" t="str">
        <f aca="false">IF(A360="","",IFERROR(INDEX(SCD_Data!$C$3:$C$502,SUMPRODUCT((SCD_Data!$A$3:$A$502=B360)*(IFERROR(DATEVALUE(SCD_Data!$H$3:$H$502&amp;""),SCD_Data!$H$3:$H$502)&lt;=IFERROR(DATEVALUE(A360&amp;""),A360))*(IFERROR(DATEVALUE(SCD_Data!$I$3:$I$502&amp;""),SCD_Data!$I$3:$I$502)&gt;=IFERROR(DATEVALUE(A360&amp;""),A360))*(ROW(SCD_Data!$A$3:$A$502)-2))),"—"))</f>
        <v/>
      </c>
      <c r="I360" s="25" t="str">
        <f aca="false">IF(A360="","",IFERROR(INDEX(SCD_Data!$D$3:$D$502,SUMPRODUCT((SCD_Data!$A$3:$A$502=B360)*(IFERROR(DATEVALUE(SCD_Data!$H$3:$H$502&amp;""),SCD_Data!$H$3:$H$502)&lt;=IFERROR(DATEVALUE(A360&amp;""),A360))*(IFERROR(DATEVALUE(SCD_Data!$I$3:$I$502&amp;""),SCD_Data!$I$3:$I$502)&gt;=IFERROR(DATEVALUE(A360&amp;""),A360))*(ROW(SCD_Data!$A$3:$A$502)-2))),"—"))</f>
        <v/>
      </c>
      <c r="J360" s="26" t="str">
        <f aca="false">IF(A360="","",IFERROR(INDEX(SCD_Data!$E$3:$E$502,SUMPRODUCT((SCD_Data!$A$3:$A$502=B360)*(IFERROR(DATEVALUE(SCD_Data!$H$3:$H$502&amp;""),SCD_Data!$H$3:$H$502)&lt;=IFERROR(DATEVALUE(A360&amp;""),A360))*(IFERROR(DATEVALUE(SCD_Data!$I$3:$I$502&amp;""),SCD_Data!$I$3:$I$502)&gt;=IFERROR(DATEVALUE(A360&amp;""),A360))*(ROW(SCD_Data!$A$3:$A$502)-2))),"—"))</f>
        <v/>
      </c>
      <c r="K360" s="25" t="str">
        <f aca="false">IF(A360="","",IFERROR(INDEX(SCD_Data!$F$3:$F$502,SUMPRODUCT((SCD_Data!$A$3:$A$502=B360)*(IFERROR(DATEVALUE(SCD_Data!$H$3:$H$502&amp;""),SCD_Data!$H$3:$H$502)&lt;=IFERROR(DATEVALUE(A360&amp;""),A360))*(IFERROR(DATEVALUE(SCD_Data!$I$3:$I$502&amp;""),SCD_Data!$I$3:$I$502)&gt;=IFERROR(DATEVALUE(A360&amp;""),A360))*(ROW(SCD_Data!$A$3:$A$502)-2))),"—"))</f>
        <v/>
      </c>
      <c r="L360" s="25" t="str">
        <f aca="false">IF(A360="","",IFERROR(INDEX(SCD_Data!$G$3:$G$502,SUMPRODUCT((SCD_Data!$A$3:$A$502=B360)*(IFERROR(DATEVALUE(SCD_Data!$H$3:$H$502&amp;""),SCD_Data!$H$3:$H$502)&lt;=IFERROR(DATEVALUE(A360&amp;""),A360))*(IFERROR(DATEVALUE(SCD_Data!$I$3:$I$502&amp;""),SCD_Data!$I$3:$I$502)&gt;=IFERROR(DATEVALUE(A360&amp;""),A360))*(ROW(SCD_Data!$A$3:$A$502)-2))),"—"))</f>
        <v/>
      </c>
      <c r="M360" s="27" t="str">
        <f aca="false">IF(A360="","",IF(H360="—","—",IF(C360&amp;""=H360&amp;"","✓","✗")))</f>
        <v/>
      </c>
      <c r="N360" s="27" t="str">
        <f aca="false">IF(A360="","",IF(H360="—","—",IF(D360&amp;""=I360&amp;"","✓","✗")))</f>
        <v/>
      </c>
      <c r="O360" s="27" t="str">
        <f aca="false">IF(A360="","",IF(H360="—","—",IF(ABS(E360-J360)&lt;0.01,"✓","✗")))</f>
        <v/>
      </c>
      <c r="P360" s="27" t="str">
        <f aca="false">IF(A360="","",IF(H360="—","—",IF(F360&amp;""=K360&amp;"","✓","✗")))</f>
        <v/>
      </c>
      <c r="Q360" s="27" t="str">
        <f aca="false">IF(A360="","",IF(H360="—","—",IF(G360&amp;""=L360&amp;"","✓","✗")))</f>
        <v/>
      </c>
      <c r="R360" s="27" t="str">
        <f aca="false">IF(A360="","",IF(COUNTIF(M360:Q360,"—")=5,"⚠ NO SCD ROW",IF(COUNTIF(M360:Q360,"✗")&gt;0,"❌ MISMATCH","✅ MATCH")))</f>
        <v/>
      </c>
    </row>
    <row r="361" customFormat="false" ht="15" hidden="false" customHeight="true" outlineLevel="0" collapsed="false">
      <c r="A361" s="22" t="str">
        <f aca="false">IF(Daily_Data!A360="","",Daily_Data!A360)</f>
        <v/>
      </c>
      <c r="B361" s="23" t="str">
        <f aca="false">IF(Daily_Data!B360="","",Daily_Data!B360)</f>
        <v/>
      </c>
      <c r="C361" s="23" t="str">
        <f aca="false">IF(A361="","",Daily_Data!C360)</f>
        <v/>
      </c>
      <c r="D361" s="23" t="str">
        <f aca="false">IF(A361="","",Daily_Data!D360)</f>
        <v/>
      </c>
      <c r="E361" s="24" t="str">
        <f aca="false">IF(A361="","",Daily_Data!E360)</f>
        <v/>
      </c>
      <c r="F361" s="23" t="str">
        <f aca="false">IF(A361="","",Daily_Data!F360)</f>
        <v/>
      </c>
      <c r="G361" s="23" t="str">
        <f aca="false">IF(A361="","",Daily_Data!G360)</f>
        <v/>
      </c>
      <c r="H361" s="25" t="str">
        <f aca="false">IF(A361="","",IFERROR(INDEX(SCD_Data!$C$3:$C$502,SUMPRODUCT((SCD_Data!$A$3:$A$502=B361)*(IFERROR(DATEVALUE(SCD_Data!$H$3:$H$502&amp;""),SCD_Data!$H$3:$H$502)&lt;=IFERROR(DATEVALUE(A361&amp;""),A361))*(IFERROR(DATEVALUE(SCD_Data!$I$3:$I$502&amp;""),SCD_Data!$I$3:$I$502)&gt;=IFERROR(DATEVALUE(A361&amp;""),A361))*(ROW(SCD_Data!$A$3:$A$502)-2))),"—"))</f>
        <v/>
      </c>
      <c r="I361" s="25" t="str">
        <f aca="false">IF(A361="","",IFERROR(INDEX(SCD_Data!$D$3:$D$502,SUMPRODUCT((SCD_Data!$A$3:$A$502=B361)*(IFERROR(DATEVALUE(SCD_Data!$H$3:$H$502&amp;""),SCD_Data!$H$3:$H$502)&lt;=IFERROR(DATEVALUE(A361&amp;""),A361))*(IFERROR(DATEVALUE(SCD_Data!$I$3:$I$502&amp;""),SCD_Data!$I$3:$I$502)&gt;=IFERROR(DATEVALUE(A361&amp;""),A361))*(ROW(SCD_Data!$A$3:$A$502)-2))),"—"))</f>
        <v/>
      </c>
      <c r="J361" s="26" t="str">
        <f aca="false">IF(A361="","",IFERROR(INDEX(SCD_Data!$E$3:$E$502,SUMPRODUCT((SCD_Data!$A$3:$A$502=B361)*(IFERROR(DATEVALUE(SCD_Data!$H$3:$H$502&amp;""),SCD_Data!$H$3:$H$502)&lt;=IFERROR(DATEVALUE(A361&amp;""),A361))*(IFERROR(DATEVALUE(SCD_Data!$I$3:$I$502&amp;""),SCD_Data!$I$3:$I$502)&gt;=IFERROR(DATEVALUE(A361&amp;""),A361))*(ROW(SCD_Data!$A$3:$A$502)-2))),"—"))</f>
        <v/>
      </c>
      <c r="K361" s="25" t="str">
        <f aca="false">IF(A361="","",IFERROR(INDEX(SCD_Data!$F$3:$F$502,SUMPRODUCT((SCD_Data!$A$3:$A$502=B361)*(IFERROR(DATEVALUE(SCD_Data!$H$3:$H$502&amp;""),SCD_Data!$H$3:$H$502)&lt;=IFERROR(DATEVALUE(A361&amp;""),A361))*(IFERROR(DATEVALUE(SCD_Data!$I$3:$I$502&amp;""),SCD_Data!$I$3:$I$502)&gt;=IFERROR(DATEVALUE(A361&amp;""),A361))*(ROW(SCD_Data!$A$3:$A$502)-2))),"—"))</f>
        <v/>
      </c>
      <c r="L361" s="25" t="str">
        <f aca="false">IF(A361="","",IFERROR(INDEX(SCD_Data!$G$3:$G$502,SUMPRODUCT((SCD_Data!$A$3:$A$502=B361)*(IFERROR(DATEVALUE(SCD_Data!$H$3:$H$502&amp;""),SCD_Data!$H$3:$H$502)&lt;=IFERROR(DATEVALUE(A361&amp;""),A361))*(IFERROR(DATEVALUE(SCD_Data!$I$3:$I$502&amp;""),SCD_Data!$I$3:$I$502)&gt;=IFERROR(DATEVALUE(A361&amp;""),A361))*(ROW(SCD_Data!$A$3:$A$502)-2))),"—"))</f>
        <v/>
      </c>
      <c r="M361" s="27" t="str">
        <f aca="false">IF(A361="","",IF(H361="—","—",IF(C361&amp;""=H361&amp;"","✓","✗")))</f>
        <v/>
      </c>
      <c r="N361" s="27" t="str">
        <f aca="false">IF(A361="","",IF(H361="—","—",IF(D361&amp;""=I361&amp;"","✓","✗")))</f>
        <v/>
      </c>
      <c r="O361" s="27" t="str">
        <f aca="false">IF(A361="","",IF(H361="—","—",IF(ABS(E361-J361)&lt;0.01,"✓","✗")))</f>
        <v/>
      </c>
      <c r="P361" s="27" t="str">
        <f aca="false">IF(A361="","",IF(H361="—","—",IF(F361&amp;""=K361&amp;"","✓","✗")))</f>
        <v/>
      </c>
      <c r="Q361" s="27" t="str">
        <f aca="false">IF(A361="","",IF(H361="—","—",IF(G361&amp;""=L361&amp;"","✓","✗")))</f>
        <v/>
      </c>
      <c r="R361" s="27" t="str">
        <f aca="false">IF(A361="","",IF(COUNTIF(M361:Q361,"—")=5,"⚠ NO SCD ROW",IF(COUNTIF(M361:Q361,"✗")&gt;0,"❌ MISMATCH","✅ MATCH")))</f>
        <v/>
      </c>
    </row>
    <row r="362" customFormat="false" ht="15" hidden="false" customHeight="true" outlineLevel="0" collapsed="false">
      <c r="A362" s="22" t="str">
        <f aca="false">IF(Daily_Data!A361="","",Daily_Data!A361)</f>
        <v/>
      </c>
      <c r="B362" s="23" t="str">
        <f aca="false">IF(Daily_Data!B361="","",Daily_Data!B361)</f>
        <v/>
      </c>
      <c r="C362" s="23" t="str">
        <f aca="false">IF(A362="","",Daily_Data!C361)</f>
        <v/>
      </c>
      <c r="D362" s="23" t="str">
        <f aca="false">IF(A362="","",Daily_Data!D361)</f>
        <v/>
      </c>
      <c r="E362" s="24" t="str">
        <f aca="false">IF(A362="","",Daily_Data!E361)</f>
        <v/>
      </c>
      <c r="F362" s="23" t="str">
        <f aca="false">IF(A362="","",Daily_Data!F361)</f>
        <v/>
      </c>
      <c r="G362" s="23" t="str">
        <f aca="false">IF(A362="","",Daily_Data!G361)</f>
        <v/>
      </c>
      <c r="H362" s="25" t="str">
        <f aca="false">IF(A362="","",IFERROR(INDEX(SCD_Data!$C$3:$C$502,SUMPRODUCT((SCD_Data!$A$3:$A$502=B362)*(IFERROR(DATEVALUE(SCD_Data!$H$3:$H$502&amp;""),SCD_Data!$H$3:$H$502)&lt;=IFERROR(DATEVALUE(A362&amp;""),A362))*(IFERROR(DATEVALUE(SCD_Data!$I$3:$I$502&amp;""),SCD_Data!$I$3:$I$502)&gt;=IFERROR(DATEVALUE(A362&amp;""),A362))*(ROW(SCD_Data!$A$3:$A$502)-2))),"—"))</f>
        <v/>
      </c>
      <c r="I362" s="25" t="str">
        <f aca="false">IF(A362="","",IFERROR(INDEX(SCD_Data!$D$3:$D$502,SUMPRODUCT((SCD_Data!$A$3:$A$502=B362)*(IFERROR(DATEVALUE(SCD_Data!$H$3:$H$502&amp;""),SCD_Data!$H$3:$H$502)&lt;=IFERROR(DATEVALUE(A362&amp;""),A362))*(IFERROR(DATEVALUE(SCD_Data!$I$3:$I$502&amp;""),SCD_Data!$I$3:$I$502)&gt;=IFERROR(DATEVALUE(A362&amp;""),A362))*(ROW(SCD_Data!$A$3:$A$502)-2))),"—"))</f>
        <v/>
      </c>
      <c r="J362" s="26" t="str">
        <f aca="false">IF(A362="","",IFERROR(INDEX(SCD_Data!$E$3:$E$502,SUMPRODUCT((SCD_Data!$A$3:$A$502=B362)*(IFERROR(DATEVALUE(SCD_Data!$H$3:$H$502&amp;""),SCD_Data!$H$3:$H$502)&lt;=IFERROR(DATEVALUE(A362&amp;""),A362))*(IFERROR(DATEVALUE(SCD_Data!$I$3:$I$502&amp;""),SCD_Data!$I$3:$I$502)&gt;=IFERROR(DATEVALUE(A362&amp;""),A362))*(ROW(SCD_Data!$A$3:$A$502)-2))),"—"))</f>
        <v/>
      </c>
      <c r="K362" s="25" t="str">
        <f aca="false">IF(A362="","",IFERROR(INDEX(SCD_Data!$F$3:$F$502,SUMPRODUCT((SCD_Data!$A$3:$A$502=B362)*(IFERROR(DATEVALUE(SCD_Data!$H$3:$H$502&amp;""),SCD_Data!$H$3:$H$502)&lt;=IFERROR(DATEVALUE(A362&amp;""),A362))*(IFERROR(DATEVALUE(SCD_Data!$I$3:$I$502&amp;""),SCD_Data!$I$3:$I$502)&gt;=IFERROR(DATEVALUE(A362&amp;""),A362))*(ROW(SCD_Data!$A$3:$A$502)-2))),"—"))</f>
        <v/>
      </c>
      <c r="L362" s="25" t="str">
        <f aca="false">IF(A362="","",IFERROR(INDEX(SCD_Data!$G$3:$G$502,SUMPRODUCT((SCD_Data!$A$3:$A$502=B362)*(IFERROR(DATEVALUE(SCD_Data!$H$3:$H$502&amp;""),SCD_Data!$H$3:$H$502)&lt;=IFERROR(DATEVALUE(A362&amp;""),A362))*(IFERROR(DATEVALUE(SCD_Data!$I$3:$I$502&amp;""),SCD_Data!$I$3:$I$502)&gt;=IFERROR(DATEVALUE(A362&amp;""),A362))*(ROW(SCD_Data!$A$3:$A$502)-2))),"—"))</f>
        <v/>
      </c>
      <c r="M362" s="27" t="str">
        <f aca="false">IF(A362="","",IF(H362="—","—",IF(C362&amp;""=H362&amp;"","✓","✗")))</f>
        <v/>
      </c>
      <c r="N362" s="27" t="str">
        <f aca="false">IF(A362="","",IF(H362="—","—",IF(D362&amp;""=I362&amp;"","✓","✗")))</f>
        <v/>
      </c>
      <c r="O362" s="27" t="str">
        <f aca="false">IF(A362="","",IF(H362="—","—",IF(ABS(E362-J362)&lt;0.01,"✓","✗")))</f>
        <v/>
      </c>
      <c r="P362" s="27" t="str">
        <f aca="false">IF(A362="","",IF(H362="—","—",IF(F362&amp;""=K362&amp;"","✓","✗")))</f>
        <v/>
      </c>
      <c r="Q362" s="27" t="str">
        <f aca="false">IF(A362="","",IF(H362="—","—",IF(G362&amp;""=L362&amp;"","✓","✗")))</f>
        <v/>
      </c>
      <c r="R362" s="27" t="str">
        <f aca="false">IF(A362="","",IF(COUNTIF(M362:Q362,"—")=5,"⚠ NO SCD ROW",IF(COUNTIF(M362:Q362,"✗")&gt;0,"❌ MISMATCH","✅ MATCH")))</f>
        <v/>
      </c>
    </row>
    <row r="363" customFormat="false" ht="15" hidden="false" customHeight="true" outlineLevel="0" collapsed="false">
      <c r="A363" s="22" t="str">
        <f aca="false">IF(Daily_Data!A362="","",Daily_Data!A362)</f>
        <v/>
      </c>
      <c r="B363" s="23" t="str">
        <f aca="false">IF(Daily_Data!B362="","",Daily_Data!B362)</f>
        <v/>
      </c>
      <c r="C363" s="23" t="str">
        <f aca="false">IF(A363="","",Daily_Data!C362)</f>
        <v/>
      </c>
      <c r="D363" s="23" t="str">
        <f aca="false">IF(A363="","",Daily_Data!D362)</f>
        <v/>
      </c>
      <c r="E363" s="24" t="str">
        <f aca="false">IF(A363="","",Daily_Data!E362)</f>
        <v/>
      </c>
      <c r="F363" s="23" t="str">
        <f aca="false">IF(A363="","",Daily_Data!F362)</f>
        <v/>
      </c>
      <c r="G363" s="23" t="str">
        <f aca="false">IF(A363="","",Daily_Data!G362)</f>
        <v/>
      </c>
      <c r="H363" s="25" t="str">
        <f aca="false">IF(A363="","",IFERROR(INDEX(SCD_Data!$C$3:$C$502,SUMPRODUCT((SCD_Data!$A$3:$A$502=B363)*(IFERROR(DATEVALUE(SCD_Data!$H$3:$H$502&amp;""),SCD_Data!$H$3:$H$502)&lt;=IFERROR(DATEVALUE(A363&amp;""),A363))*(IFERROR(DATEVALUE(SCD_Data!$I$3:$I$502&amp;""),SCD_Data!$I$3:$I$502)&gt;=IFERROR(DATEVALUE(A363&amp;""),A363))*(ROW(SCD_Data!$A$3:$A$502)-2))),"—"))</f>
        <v/>
      </c>
      <c r="I363" s="25" t="str">
        <f aca="false">IF(A363="","",IFERROR(INDEX(SCD_Data!$D$3:$D$502,SUMPRODUCT((SCD_Data!$A$3:$A$502=B363)*(IFERROR(DATEVALUE(SCD_Data!$H$3:$H$502&amp;""),SCD_Data!$H$3:$H$502)&lt;=IFERROR(DATEVALUE(A363&amp;""),A363))*(IFERROR(DATEVALUE(SCD_Data!$I$3:$I$502&amp;""),SCD_Data!$I$3:$I$502)&gt;=IFERROR(DATEVALUE(A363&amp;""),A363))*(ROW(SCD_Data!$A$3:$A$502)-2))),"—"))</f>
        <v/>
      </c>
      <c r="J363" s="26" t="str">
        <f aca="false">IF(A363="","",IFERROR(INDEX(SCD_Data!$E$3:$E$502,SUMPRODUCT((SCD_Data!$A$3:$A$502=B363)*(IFERROR(DATEVALUE(SCD_Data!$H$3:$H$502&amp;""),SCD_Data!$H$3:$H$502)&lt;=IFERROR(DATEVALUE(A363&amp;""),A363))*(IFERROR(DATEVALUE(SCD_Data!$I$3:$I$502&amp;""),SCD_Data!$I$3:$I$502)&gt;=IFERROR(DATEVALUE(A363&amp;""),A363))*(ROW(SCD_Data!$A$3:$A$502)-2))),"—"))</f>
        <v/>
      </c>
      <c r="K363" s="25" t="str">
        <f aca="false">IF(A363="","",IFERROR(INDEX(SCD_Data!$F$3:$F$502,SUMPRODUCT((SCD_Data!$A$3:$A$502=B363)*(IFERROR(DATEVALUE(SCD_Data!$H$3:$H$502&amp;""),SCD_Data!$H$3:$H$502)&lt;=IFERROR(DATEVALUE(A363&amp;""),A363))*(IFERROR(DATEVALUE(SCD_Data!$I$3:$I$502&amp;""),SCD_Data!$I$3:$I$502)&gt;=IFERROR(DATEVALUE(A363&amp;""),A363))*(ROW(SCD_Data!$A$3:$A$502)-2))),"—"))</f>
        <v/>
      </c>
      <c r="L363" s="25" t="str">
        <f aca="false">IF(A363="","",IFERROR(INDEX(SCD_Data!$G$3:$G$502,SUMPRODUCT((SCD_Data!$A$3:$A$502=B363)*(IFERROR(DATEVALUE(SCD_Data!$H$3:$H$502&amp;""),SCD_Data!$H$3:$H$502)&lt;=IFERROR(DATEVALUE(A363&amp;""),A363))*(IFERROR(DATEVALUE(SCD_Data!$I$3:$I$502&amp;""),SCD_Data!$I$3:$I$502)&gt;=IFERROR(DATEVALUE(A363&amp;""),A363))*(ROW(SCD_Data!$A$3:$A$502)-2))),"—"))</f>
        <v/>
      </c>
      <c r="M363" s="27" t="str">
        <f aca="false">IF(A363="","",IF(H363="—","—",IF(C363&amp;""=H363&amp;"","✓","✗")))</f>
        <v/>
      </c>
      <c r="N363" s="27" t="str">
        <f aca="false">IF(A363="","",IF(H363="—","—",IF(D363&amp;""=I363&amp;"","✓","✗")))</f>
        <v/>
      </c>
      <c r="O363" s="27" t="str">
        <f aca="false">IF(A363="","",IF(H363="—","—",IF(ABS(E363-J363)&lt;0.01,"✓","✗")))</f>
        <v/>
      </c>
      <c r="P363" s="27" t="str">
        <f aca="false">IF(A363="","",IF(H363="—","—",IF(F363&amp;""=K363&amp;"","✓","✗")))</f>
        <v/>
      </c>
      <c r="Q363" s="27" t="str">
        <f aca="false">IF(A363="","",IF(H363="—","—",IF(G363&amp;""=L363&amp;"","✓","✗")))</f>
        <v/>
      </c>
      <c r="R363" s="27" t="str">
        <f aca="false">IF(A363="","",IF(COUNTIF(M363:Q363,"—")=5,"⚠ NO SCD ROW",IF(COUNTIF(M363:Q363,"✗")&gt;0,"❌ MISMATCH","✅ MATCH")))</f>
        <v/>
      </c>
    </row>
    <row r="364" customFormat="false" ht="15" hidden="false" customHeight="true" outlineLevel="0" collapsed="false">
      <c r="A364" s="22" t="str">
        <f aca="false">IF(Daily_Data!A363="","",Daily_Data!A363)</f>
        <v/>
      </c>
      <c r="B364" s="23" t="str">
        <f aca="false">IF(Daily_Data!B363="","",Daily_Data!B363)</f>
        <v/>
      </c>
      <c r="C364" s="23" t="str">
        <f aca="false">IF(A364="","",Daily_Data!C363)</f>
        <v/>
      </c>
      <c r="D364" s="23" t="str">
        <f aca="false">IF(A364="","",Daily_Data!D363)</f>
        <v/>
      </c>
      <c r="E364" s="24" t="str">
        <f aca="false">IF(A364="","",Daily_Data!E363)</f>
        <v/>
      </c>
      <c r="F364" s="23" t="str">
        <f aca="false">IF(A364="","",Daily_Data!F363)</f>
        <v/>
      </c>
      <c r="G364" s="23" t="str">
        <f aca="false">IF(A364="","",Daily_Data!G363)</f>
        <v/>
      </c>
      <c r="H364" s="25" t="str">
        <f aca="false">IF(A364="","",IFERROR(INDEX(SCD_Data!$C$3:$C$502,SUMPRODUCT((SCD_Data!$A$3:$A$502=B364)*(IFERROR(DATEVALUE(SCD_Data!$H$3:$H$502&amp;""),SCD_Data!$H$3:$H$502)&lt;=IFERROR(DATEVALUE(A364&amp;""),A364))*(IFERROR(DATEVALUE(SCD_Data!$I$3:$I$502&amp;""),SCD_Data!$I$3:$I$502)&gt;=IFERROR(DATEVALUE(A364&amp;""),A364))*(ROW(SCD_Data!$A$3:$A$502)-2))),"—"))</f>
        <v/>
      </c>
      <c r="I364" s="25" t="str">
        <f aca="false">IF(A364="","",IFERROR(INDEX(SCD_Data!$D$3:$D$502,SUMPRODUCT((SCD_Data!$A$3:$A$502=B364)*(IFERROR(DATEVALUE(SCD_Data!$H$3:$H$502&amp;""),SCD_Data!$H$3:$H$502)&lt;=IFERROR(DATEVALUE(A364&amp;""),A364))*(IFERROR(DATEVALUE(SCD_Data!$I$3:$I$502&amp;""),SCD_Data!$I$3:$I$502)&gt;=IFERROR(DATEVALUE(A364&amp;""),A364))*(ROW(SCD_Data!$A$3:$A$502)-2))),"—"))</f>
        <v/>
      </c>
      <c r="J364" s="26" t="str">
        <f aca="false">IF(A364="","",IFERROR(INDEX(SCD_Data!$E$3:$E$502,SUMPRODUCT((SCD_Data!$A$3:$A$502=B364)*(IFERROR(DATEVALUE(SCD_Data!$H$3:$H$502&amp;""),SCD_Data!$H$3:$H$502)&lt;=IFERROR(DATEVALUE(A364&amp;""),A364))*(IFERROR(DATEVALUE(SCD_Data!$I$3:$I$502&amp;""),SCD_Data!$I$3:$I$502)&gt;=IFERROR(DATEVALUE(A364&amp;""),A364))*(ROW(SCD_Data!$A$3:$A$502)-2))),"—"))</f>
        <v/>
      </c>
      <c r="K364" s="25" t="str">
        <f aca="false">IF(A364="","",IFERROR(INDEX(SCD_Data!$F$3:$F$502,SUMPRODUCT((SCD_Data!$A$3:$A$502=B364)*(IFERROR(DATEVALUE(SCD_Data!$H$3:$H$502&amp;""),SCD_Data!$H$3:$H$502)&lt;=IFERROR(DATEVALUE(A364&amp;""),A364))*(IFERROR(DATEVALUE(SCD_Data!$I$3:$I$502&amp;""),SCD_Data!$I$3:$I$502)&gt;=IFERROR(DATEVALUE(A364&amp;""),A364))*(ROW(SCD_Data!$A$3:$A$502)-2))),"—"))</f>
        <v/>
      </c>
      <c r="L364" s="25" t="str">
        <f aca="false">IF(A364="","",IFERROR(INDEX(SCD_Data!$G$3:$G$502,SUMPRODUCT((SCD_Data!$A$3:$A$502=B364)*(IFERROR(DATEVALUE(SCD_Data!$H$3:$H$502&amp;""),SCD_Data!$H$3:$H$502)&lt;=IFERROR(DATEVALUE(A364&amp;""),A364))*(IFERROR(DATEVALUE(SCD_Data!$I$3:$I$502&amp;""),SCD_Data!$I$3:$I$502)&gt;=IFERROR(DATEVALUE(A364&amp;""),A364))*(ROW(SCD_Data!$A$3:$A$502)-2))),"—"))</f>
        <v/>
      </c>
      <c r="M364" s="27" t="str">
        <f aca="false">IF(A364="","",IF(H364="—","—",IF(C364&amp;""=H364&amp;"","✓","✗")))</f>
        <v/>
      </c>
      <c r="N364" s="27" t="str">
        <f aca="false">IF(A364="","",IF(H364="—","—",IF(D364&amp;""=I364&amp;"","✓","✗")))</f>
        <v/>
      </c>
      <c r="O364" s="27" t="str">
        <f aca="false">IF(A364="","",IF(H364="—","—",IF(ABS(E364-J364)&lt;0.01,"✓","✗")))</f>
        <v/>
      </c>
      <c r="P364" s="27" t="str">
        <f aca="false">IF(A364="","",IF(H364="—","—",IF(F364&amp;""=K364&amp;"","✓","✗")))</f>
        <v/>
      </c>
      <c r="Q364" s="27" t="str">
        <f aca="false">IF(A364="","",IF(H364="—","—",IF(G364&amp;""=L364&amp;"","✓","✗")))</f>
        <v/>
      </c>
      <c r="R364" s="27" t="str">
        <f aca="false">IF(A364="","",IF(COUNTIF(M364:Q364,"—")=5,"⚠ NO SCD ROW",IF(COUNTIF(M364:Q364,"✗")&gt;0,"❌ MISMATCH","✅ MATCH")))</f>
        <v/>
      </c>
    </row>
    <row r="365" customFormat="false" ht="15" hidden="false" customHeight="true" outlineLevel="0" collapsed="false">
      <c r="A365" s="22" t="str">
        <f aca="false">IF(Daily_Data!A364="","",Daily_Data!A364)</f>
        <v/>
      </c>
      <c r="B365" s="23" t="str">
        <f aca="false">IF(Daily_Data!B364="","",Daily_Data!B364)</f>
        <v/>
      </c>
      <c r="C365" s="23" t="str">
        <f aca="false">IF(A365="","",Daily_Data!C364)</f>
        <v/>
      </c>
      <c r="D365" s="23" t="str">
        <f aca="false">IF(A365="","",Daily_Data!D364)</f>
        <v/>
      </c>
      <c r="E365" s="24" t="str">
        <f aca="false">IF(A365="","",Daily_Data!E364)</f>
        <v/>
      </c>
      <c r="F365" s="23" t="str">
        <f aca="false">IF(A365="","",Daily_Data!F364)</f>
        <v/>
      </c>
      <c r="G365" s="23" t="str">
        <f aca="false">IF(A365="","",Daily_Data!G364)</f>
        <v/>
      </c>
      <c r="H365" s="25" t="str">
        <f aca="false">IF(A365="","",IFERROR(INDEX(SCD_Data!$C$3:$C$502,SUMPRODUCT((SCD_Data!$A$3:$A$502=B365)*(IFERROR(DATEVALUE(SCD_Data!$H$3:$H$502&amp;""),SCD_Data!$H$3:$H$502)&lt;=IFERROR(DATEVALUE(A365&amp;""),A365))*(IFERROR(DATEVALUE(SCD_Data!$I$3:$I$502&amp;""),SCD_Data!$I$3:$I$502)&gt;=IFERROR(DATEVALUE(A365&amp;""),A365))*(ROW(SCD_Data!$A$3:$A$502)-2))),"—"))</f>
        <v/>
      </c>
      <c r="I365" s="25" t="str">
        <f aca="false">IF(A365="","",IFERROR(INDEX(SCD_Data!$D$3:$D$502,SUMPRODUCT((SCD_Data!$A$3:$A$502=B365)*(IFERROR(DATEVALUE(SCD_Data!$H$3:$H$502&amp;""),SCD_Data!$H$3:$H$502)&lt;=IFERROR(DATEVALUE(A365&amp;""),A365))*(IFERROR(DATEVALUE(SCD_Data!$I$3:$I$502&amp;""),SCD_Data!$I$3:$I$502)&gt;=IFERROR(DATEVALUE(A365&amp;""),A365))*(ROW(SCD_Data!$A$3:$A$502)-2))),"—"))</f>
        <v/>
      </c>
      <c r="J365" s="26" t="str">
        <f aca="false">IF(A365="","",IFERROR(INDEX(SCD_Data!$E$3:$E$502,SUMPRODUCT((SCD_Data!$A$3:$A$502=B365)*(IFERROR(DATEVALUE(SCD_Data!$H$3:$H$502&amp;""),SCD_Data!$H$3:$H$502)&lt;=IFERROR(DATEVALUE(A365&amp;""),A365))*(IFERROR(DATEVALUE(SCD_Data!$I$3:$I$502&amp;""),SCD_Data!$I$3:$I$502)&gt;=IFERROR(DATEVALUE(A365&amp;""),A365))*(ROW(SCD_Data!$A$3:$A$502)-2))),"—"))</f>
        <v/>
      </c>
      <c r="K365" s="25" t="str">
        <f aca="false">IF(A365="","",IFERROR(INDEX(SCD_Data!$F$3:$F$502,SUMPRODUCT((SCD_Data!$A$3:$A$502=B365)*(IFERROR(DATEVALUE(SCD_Data!$H$3:$H$502&amp;""),SCD_Data!$H$3:$H$502)&lt;=IFERROR(DATEVALUE(A365&amp;""),A365))*(IFERROR(DATEVALUE(SCD_Data!$I$3:$I$502&amp;""),SCD_Data!$I$3:$I$502)&gt;=IFERROR(DATEVALUE(A365&amp;""),A365))*(ROW(SCD_Data!$A$3:$A$502)-2))),"—"))</f>
        <v/>
      </c>
      <c r="L365" s="25" t="str">
        <f aca="false">IF(A365="","",IFERROR(INDEX(SCD_Data!$G$3:$G$502,SUMPRODUCT((SCD_Data!$A$3:$A$502=B365)*(IFERROR(DATEVALUE(SCD_Data!$H$3:$H$502&amp;""),SCD_Data!$H$3:$H$502)&lt;=IFERROR(DATEVALUE(A365&amp;""),A365))*(IFERROR(DATEVALUE(SCD_Data!$I$3:$I$502&amp;""),SCD_Data!$I$3:$I$502)&gt;=IFERROR(DATEVALUE(A365&amp;""),A365))*(ROW(SCD_Data!$A$3:$A$502)-2))),"—"))</f>
        <v/>
      </c>
      <c r="M365" s="27" t="str">
        <f aca="false">IF(A365="","",IF(H365="—","—",IF(C365&amp;""=H365&amp;"","✓","✗")))</f>
        <v/>
      </c>
      <c r="N365" s="27" t="str">
        <f aca="false">IF(A365="","",IF(H365="—","—",IF(D365&amp;""=I365&amp;"","✓","✗")))</f>
        <v/>
      </c>
      <c r="O365" s="27" t="str">
        <f aca="false">IF(A365="","",IF(H365="—","—",IF(ABS(E365-J365)&lt;0.01,"✓","✗")))</f>
        <v/>
      </c>
      <c r="P365" s="27" t="str">
        <f aca="false">IF(A365="","",IF(H365="—","—",IF(F365&amp;""=K365&amp;"","✓","✗")))</f>
        <v/>
      </c>
      <c r="Q365" s="27" t="str">
        <f aca="false">IF(A365="","",IF(H365="—","—",IF(G365&amp;""=L365&amp;"","✓","✗")))</f>
        <v/>
      </c>
      <c r="R365" s="27" t="str">
        <f aca="false">IF(A365="","",IF(COUNTIF(M365:Q365,"—")=5,"⚠ NO SCD ROW",IF(COUNTIF(M365:Q365,"✗")&gt;0,"❌ MISMATCH","✅ MATCH")))</f>
        <v/>
      </c>
    </row>
    <row r="366" customFormat="false" ht="15" hidden="false" customHeight="true" outlineLevel="0" collapsed="false">
      <c r="A366" s="22" t="str">
        <f aca="false">IF(Daily_Data!A365="","",Daily_Data!A365)</f>
        <v/>
      </c>
      <c r="B366" s="23" t="str">
        <f aca="false">IF(Daily_Data!B365="","",Daily_Data!B365)</f>
        <v/>
      </c>
      <c r="C366" s="23" t="str">
        <f aca="false">IF(A366="","",Daily_Data!C365)</f>
        <v/>
      </c>
      <c r="D366" s="23" t="str">
        <f aca="false">IF(A366="","",Daily_Data!D365)</f>
        <v/>
      </c>
      <c r="E366" s="24" t="str">
        <f aca="false">IF(A366="","",Daily_Data!E365)</f>
        <v/>
      </c>
      <c r="F366" s="23" t="str">
        <f aca="false">IF(A366="","",Daily_Data!F365)</f>
        <v/>
      </c>
      <c r="G366" s="23" t="str">
        <f aca="false">IF(A366="","",Daily_Data!G365)</f>
        <v/>
      </c>
      <c r="H366" s="25" t="str">
        <f aca="false">IF(A366="","",IFERROR(INDEX(SCD_Data!$C$3:$C$502,SUMPRODUCT((SCD_Data!$A$3:$A$502=B366)*(IFERROR(DATEVALUE(SCD_Data!$H$3:$H$502&amp;""),SCD_Data!$H$3:$H$502)&lt;=IFERROR(DATEVALUE(A366&amp;""),A366))*(IFERROR(DATEVALUE(SCD_Data!$I$3:$I$502&amp;""),SCD_Data!$I$3:$I$502)&gt;=IFERROR(DATEVALUE(A366&amp;""),A366))*(ROW(SCD_Data!$A$3:$A$502)-2))),"—"))</f>
        <v/>
      </c>
      <c r="I366" s="25" t="str">
        <f aca="false">IF(A366="","",IFERROR(INDEX(SCD_Data!$D$3:$D$502,SUMPRODUCT((SCD_Data!$A$3:$A$502=B366)*(IFERROR(DATEVALUE(SCD_Data!$H$3:$H$502&amp;""),SCD_Data!$H$3:$H$502)&lt;=IFERROR(DATEVALUE(A366&amp;""),A366))*(IFERROR(DATEVALUE(SCD_Data!$I$3:$I$502&amp;""),SCD_Data!$I$3:$I$502)&gt;=IFERROR(DATEVALUE(A366&amp;""),A366))*(ROW(SCD_Data!$A$3:$A$502)-2))),"—"))</f>
        <v/>
      </c>
      <c r="J366" s="26" t="str">
        <f aca="false">IF(A366="","",IFERROR(INDEX(SCD_Data!$E$3:$E$502,SUMPRODUCT((SCD_Data!$A$3:$A$502=B366)*(IFERROR(DATEVALUE(SCD_Data!$H$3:$H$502&amp;""),SCD_Data!$H$3:$H$502)&lt;=IFERROR(DATEVALUE(A366&amp;""),A366))*(IFERROR(DATEVALUE(SCD_Data!$I$3:$I$502&amp;""),SCD_Data!$I$3:$I$502)&gt;=IFERROR(DATEVALUE(A366&amp;""),A366))*(ROW(SCD_Data!$A$3:$A$502)-2))),"—"))</f>
        <v/>
      </c>
      <c r="K366" s="25" t="str">
        <f aca="false">IF(A366="","",IFERROR(INDEX(SCD_Data!$F$3:$F$502,SUMPRODUCT((SCD_Data!$A$3:$A$502=B366)*(IFERROR(DATEVALUE(SCD_Data!$H$3:$H$502&amp;""),SCD_Data!$H$3:$H$502)&lt;=IFERROR(DATEVALUE(A366&amp;""),A366))*(IFERROR(DATEVALUE(SCD_Data!$I$3:$I$502&amp;""),SCD_Data!$I$3:$I$502)&gt;=IFERROR(DATEVALUE(A366&amp;""),A366))*(ROW(SCD_Data!$A$3:$A$502)-2))),"—"))</f>
        <v/>
      </c>
      <c r="L366" s="25" t="str">
        <f aca="false">IF(A366="","",IFERROR(INDEX(SCD_Data!$G$3:$G$502,SUMPRODUCT((SCD_Data!$A$3:$A$502=B366)*(IFERROR(DATEVALUE(SCD_Data!$H$3:$H$502&amp;""),SCD_Data!$H$3:$H$502)&lt;=IFERROR(DATEVALUE(A366&amp;""),A366))*(IFERROR(DATEVALUE(SCD_Data!$I$3:$I$502&amp;""),SCD_Data!$I$3:$I$502)&gt;=IFERROR(DATEVALUE(A366&amp;""),A366))*(ROW(SCD_Data!$A$3:$A$502)-2))),"—"))</f>
        <v/>
      </c>
      <c r="M366" s="27" t="str">
        <f aca="false">IF(A366="","",IF(H366="—","—",IF(C366&amp;""=H366&amp;"","✓","✗")))</f>
        <v/>
      </c>
      <c r="N366" s="27" t="str">
        <f aca="false">IF(A366="","",IF(H366="—","—",IF(D366&amp;""=I366&amp;"","✓","✗")))</f>
        <v/>
      </c>
      <c r="O366" s="27" t="str">
        <f aca="false">IF(A366="","",IF(H366="—","—",IF(ABS(E366-J366)&lt;0.01,"✓","✗")))</f>
        <v/>
      </c>
      <c r="P366" s="27" t="str">
        <f aca="false">IF(A366="","",IF(H366="—","—",IF(F366&amp;""=K366&amp;"","✓","✗")))</f>
        <v/>
      </c>
      <c r="Q366" s="27" t="str">
        <f aca="false">IF(A366="","",IF(H366="—","—",IF(G366&amp;""=L366&amp;"","✓","✗")))</f>
        <v/>
      </c>
      <c r="R366" s="27" t="str">
        <f aca="false">IF(A366="","",IF(COUNTIF(M366:Q366,"—")=5,"⚠ NO SCD ROW",IF(COUNTIF(M366:Q366,"✗")&gt;0,"❌ MISMATCH","✅ MATCH")))</f>
        <v/>
      </c>
    </row>
    <row r="367" customFormat="false" ht="15" hidden="false" customHeight="true" outlineLevel="0" collapsed="false">
      <c r="A367" s="22" t="str">
        <f aca="false">IF(Daily_Data!A366="","",Daily_Data!A366)</f>
        <v/>
      </c>
      <c r="B367" s="23" t="str">
        <f aca="false">IF(Daily_Data!B366="","",Daily_Data!B366)</f>
        <v/>
      </c>
      <c r="C367" s="23" t="str">
        <f aca="false">IF(A367="","",Daily_Data!C366)</f>
        <v/>
      </c>
      <c r="D367" s="23" t="str">
        <f aca="false">IF(A367="","",Daily_Data!D366)</f>
        <v/>
      </c>
      <c r="E367" s="24" t="str">
        <f aca="false">IF(A367="","",Daily_Data!E366)</f>
        <v/>
      </c>
      <c r="F367" s="23" t="str">
        <f aca="false">IF(A367="","",Daily_Data!F366)</f>
        <v/>
      </c>
      <c r="G367" s="23" t="str">
        <f aca="false">IF(A367="","",Daily_Data!G366)</f>
        <v/>
      </c>
      <c r="H367" s="25" t="str">
        <f aca="false">IF(A367="","",IFERROR(INDEX(SCD_Data!$C$3:$C$502,SUMPRODUCT((SCD_Data!$A$3:$A$502=B367)*(IFERROR(DATEVALUE(SCD_Data!$H$3:$H$502&amp;""),SCD_Data!$H$3:$H$502)&lt;=IFERROR(DATEVALUE(A367&amp;""),A367))*(IFERROR(DATEVALUE(SCD_Data!$I$3:$I$502&amp;""),SCD_Data!$I$3:$I$502)&gt;=IFERROR(DATEVALUE(A367&amp;""),A367))*(ROW(SCD_Data!$A$3:$A$502)-2))),"—"))</f>
        <v/>
      </c>
      <c r="I367" s="25" t="str">
        <f aca="false">IF(A367="","",IFERROR(INDEX(SCD_Data!$D$3:$D$502,SUMPRODUCT((SCD_Data!$A$3:$A$502=B367)*(IFERROR(DATEVALUE(SCD_Data!$H$3:$H$502&amp;""),SCD_Data!$H$3:$H$502)&lt;=IFERROR(DATEVALUE(A367&amp;""),A367))*(IFERROR(DATEVALUE(SCD_Data!$I$3:$I$502&amp;""),SCD_Data!$I$3:$I$502)&gt;=IFERROR(DATEVALUE(A367&amp;""),A367))*(ROW(SCD_Data!$A$3:$A$502)-2))),"—"))</f>
        <v/>
      </c>
      <c r="J367" s="26" t="str">
        <f aca="false">IF(A367="","",IFERROR(INDEX(SCD_Data!$E$3:$E$502,SUMPRODUCT((SCD_Data!$A$3:$A$502=B367)*(IFERROR(DATEVALUE(SCD_Data!$H$3:$H$502&amp;""),SCD_Data!$H$3:$H$502)&lt;=IFERROR(DATEVALUE(A367&amp;""),A367))*(IFERROR(DATEVALUE(SCD_Data!$I$3:$I$502&amp;""),SCD_Data!$I$3:$I$502)&gt;=IFERROR(DATEVALUE(A367&amp;""),A367))*(ROW(SCD_Data!$A$3:$A$502)-2))),"—"))</f>
        <v/>
      </c>
      <c r="K367" s="25" t="str">
        <f aca="false">IF(A367="","",IFERROR(INDEX(SCD_Data!$F$3:$F$502,SUMPRODUCT((SCD_Data!$A$3:$A$502=B367)*(IFERROR(DATEVALUE(SCD_Data!$H$3:$H$502&amp;""),SCD_Data!$H$3:$H$502)&lt;=IFERROR(DATEVALUE(A367&amp;""),A367))*(IFERROR(DATEVALUE(SCD_Data!$I$3:$I$502&amp;""),SCD_Data!$I$3:$I$502)&gt;=IFERROR(DATEVALUE(A367&amp;""),A367))*(ROW(SCD_Data!$A$3:$A$502)-2))),"—"))</f>
        <v/>
      </c>
      <c r="L367" s="25" t="str">
        <f aca="false">IF(A367="","",IFERROR(INDEX(SCD_Data!$G$3:$G$502,SUMPRODUCT((SCD_Data!$A$3:$A$502=B367)*(IFERROR(DATEVALUE(SCD_Data!$H$3:$H$502&amp;""),SCD_Data!$H$3:$H$502)&lt;=IFERROR(DATEVALUE(A367&amp;""),A367))*(IFERROR(DATEVALUE(SCD_Data!$I$3:$I$502&amp;""),SCD_Data!$I$3:$I$502)&gt;=IFERROR(DATEVALUE(A367&amp;""),A367))*(ROW(SCD_Data!$A$3:$A$502)-2))),"—"))</f>
        <v/>
      </c>
      <c r="M367" s="27" t="str">
        <f aca="false">IF(A367="","",IF(H367="—","—",IF(C367&amp;""=H367&amp;"","✓","✗")))</f>
        <v/>
      </c>
      <c r="N367" s="27" t="str">
        <f aca="false">IF(A367="","",IF(H367="—","—",IF(D367&amp;""=I367&amp;"","✓","✗")))</f>
        <v/>
      </c>
      <c r="O367" s="27" t="str">
        <f aca="false">IF(A367="","",IF(H367="—","—",IF(ABS(E367-J367)&lt;0.01,"✓","✗")))</f>
        <v/>
      </c>
      <c r="P367" s="27" t="str">
        <f aca="false">IF(A367="","",IF(H367="—","—",IF(F367&amp;""=K367&amp;"","✓","✗")))</f>
        <v/>
      </c>
      <c r="Q367" s="27" t="str">
        <f aca="false">IF(A367="","",IF(H367="—","—",IF(G367&amp;""=L367&amp;"","✓","✗")))</f>
        <v/>
      </c>
      <c r="R367" s="27" t="str">
        <f aca="false">IF(A367="","",IF(COUNTIF(M367:Q367,"—")=5,"⚠ NO SCD ROW",IF(COUNTIF(M367:Q367,"✗")&gt;0,"❌ MISMATCH","✅ MATCH")))</f>
        <v/>
      </c>
    </row>
    <row r="368" customFormat="false" ht="15" hidden="false" customHeight="true" outlineLevel="0" collapsed="false">
      <c r="A368" s="22" t="str">
        <f aca="false">IF(Daily_Data!A367="","",Daily_Data!A367)</f>
        <v/>
      </c>
      <c r="B368" s="23" t="str">
        <f aca="false">IF(Daily_Data!B367="","",Daily_Data!B367)</f>
        <v/>
      </c>
      <c r="C368" s="23" t="str">
        <f aca="false">IF(A368="","",Daily_Data!C367)</f>
        <v/>
      </c>
      <c r="D368" s="23" t="str">
        <f aca="false">IF(A368="","",Daily_Data!D367)</f>
        <v/>
      </c>
      <c r="E368" s="24" t="str">
        <f aca="false">IF(A368="","",Daily_Data!E367)</f>
        <v/>
      </c>
      <c r="F368" s="23" t="str">
        <f aca="false">IF(A368="","",Daily_Data!F367)</f>
        <v/>
      </c>
      <c r="G368" s="23" t="str">
        <f aca="false">IF(A368="","",Daily_Data!G367)</f>
        <v/>
      </c>
      <c r="H368" s="25" t="str">
        <f aca="false">IF(A368="","",IFERROR(INDEX(SCD_Data!$C$3:$C$502,SUMPRODUCT((SCD_Data!$A$3:$A$502=B368)*(IFERROR(DATEVALUE(SCD_Data!$H$3:$H$502&amp;""),SCD_Data!$H$3:$H$502)&lt;=IFERROR(DATEVALUE(A368&amp;""),A368))*(IFERROR(DATEVALUE(SCD_Data!$I$3:$I$502&amp;""),SCD_Data!$I$3:$I$502)&gt;=IFERROR(DATEVALUE(A368&amp;""),A368))*(ROW(SCD_Data!$A$3:$A$502)-2))),"—"))</f>
        <v/>
      </c>
      <c r="I368" s="25" t="str">
        <f aca="false">IF(A368="","",IFERROR(INDEX(SCD_Data!$D$3:$D$502,SUMPRODUCT((SCD_Data!$A$3:$A$502=B368)*(IFERROR(DATEVALUE(SCD_Data!$H$3:$H$502&amp;""),SCD_Data!$H$3:$H$502)&lt;=IFERROR(DATEVALUE(A368&amp;""),A368))*(IFERROR(DATEVALUE(SCD_Data!$I$3:$I$502&amp;""),SCD_Data!$I$3:$I$502)&gt;=IFERROR(DATEVALUE(A368&amp;""),A368))*(ROW(SCD_Data!$A$3:$A$502)-2))),"—"))</f>
        <v/>
      </c>
      <c r="J368" s="26" t="str">
        <f aca="false">IF(A368="","",IFERROR(INDEX(SCD_Data!$E$3:$E$502,SUMPRODUCT((SCD_Data!$A$3:$A$502=B368)*(IFERROR(DATEVALUE(SCD_Data!$H$3:$H$502&amp;""),SCD_Data!$H$3:$H$502)&lt;=IFERROR(DATEVALUE(A368&amp;""),A368))*(IFERROR(DATEVALUE(SCD_Data!$I$3:$I$502&amp;""),SCD_Data!$I$3:$I$502)&gt;=IFERROR(DATEVALUE(A368&amp;""),A368))*(ROW(SCD_Data!$A$3:$A$502)-2))),"—"))</f>
        <v/>
      </c>
      <c r="K368" s="25" t="str">
        <f aca="false">IF(A368="","",IFERROR(INDEX(SCD_Data!$F$3:$F$502,SUMPRODUCT((SCD_Data!$A$3:$A$502=B368)*(IFERROR(DATEVALUE(SCD_Data!$H$3:$H$502&amp;""),SCD_Data!$H$3:$H$502)&lt;=IFERROR(DATEVALUE(A368&amp;""),A368))*(IFERROR(DATEVALUE(SCD_Data!$I$3:$I$502&amp;""),SCD_Data!$I$3:$I$502)&gt;=IFERROR(DATEVALUE(A368&amp;""),A368))*(ROW(SCD_Data!$A$3:$A$502)-2))),"—"))</f>
        <v/>
      </c>
      <c r="L368" s="25" t="str">
        <f aca="false">IF(A368="","",IFERROR(INDEX(SCD_Data!$G$3:$G$502,SUMPRODUCT((SCD_Data!$A$3:$A$502=B368)*(IFERROR(DATEVALUE(SCD_Data!$H$3:$H$502&amp;""),SCD_Data!$H$3:$H$502)&lt;=IFERROR(DATEVALUE(A368&amp;""),A368))*(IFERROR(DATEVALUE(SCD_Data!$I$3:$I$502&amp;""),SCD_Data!$I$3:$I$502)&gt;=IFERROR(DATEVALUE(A368&amp;""),A368))*(ROW(SCD_Data!$A$3:$A$502)-2))),"—"))</f>
        <v/>
      </c>
      <c r="M368" s="27" t="str">
        <f aca="false">IF(A368="","",IF(H368="—","—",IF(C368&amp;""=H368&amp;"","✓","✗")))</f>
        <v/>
      </c>
      <c r="N368" s="27" t="str">
        <f aca="false">IF(A368="","",IF(H368="—","—",IF(D368&amp;""=I368&amp;"","✓","✗")))</f>
        <v/>
      </c>
      <c r="O368" s="27" t="str">
        <f aca="false">IF(A368="","",IF(H368="—","—",IF(ABS(E368-J368)&lt;0.01,"✓","✗")))</f>
        <v/>
      </c>
      <c r="P368" s="27" t="str">
        <f aca="false">IF(A368="","",IF(H368="—","—",IF(F368&amp;""=K368&amp;"","✓","✗")))</f>
        <v/>
      </c>
      <c r="Q368" s="27" t="str">
        <f aca="false">IF(A368="","",IF(H368="—","—",IF(G368&amp;""=L368&amp;"","✓","✗")))</f>
        <v/>
      </c>
      <c r="R368" s="27" t="str">
        <f aca="false">IF(A368="","",IF(COUNTIF(M368:Q368,"—")=5,"⚠ NO SCD ROW",IF(COUNTIF(M368:Q368,"✗")&gt;0,"❌ MISMATCH","✅ MATCH")))</f>
        <v/>
      </c>
    </row>
    <row r="369" customFormat="false" ht="15" hidden="false" customHeight="true" outlineLevel="0" collapsed="false">
      <c r="A369" s="22" t="str">
        <f aca="false">IF(Daily_Data!A368="","",Daily_Data!A368)</f>
        <v/>
      </c>
      <c r="B369" s="23" t="str">
        <f aca="false">IF(Daily_Data!B368="","",Daily_Data!B368)</f>
        <v/>
      </c>
      <c r="C369" s="23" t="str">
        <f aca="false">IF(A369="","",Daily_Data!C368)</f>
        <v/>
      </c>
      <c r="D369" s="23" t="str">
        <f aca="false">IF(A369="","",Daily_Data!D368)</f>
        <v/>
      </c>
      <c r="E369" s="24" t="str">
        <f aca="false">IF(A369="","",Daily_Data!E368)</f>
        <v/>
      </c>
      <c r="F369" s="23" t="str">
        <f aca="false">IF(A369="","",Daily_Data!F368)</f>
        <v/>
      </c>
      <c r="G369" s="23" t="str">
        <f aca="false">IF(A369="","",Daily_Data!G368)</f>
        <v/>
      </c>
      <c r="H369" s="25" t="str">
        <f aca="false">IF(A369="","",IFERROR(INDEX(SCD_Data!$C$3:$C$502,SUMPRODUCT((SCD_Data!$A$3:$A$502=B369)*(IFERROR(DATEVALUE(SCD_Data!$H$3:$H$502&amp;""),SCD_Data!$H$3:$H$502)&lt;=IFERROR(DATEVALUE(A369&amp;""),A369))*(IFERROR(DATEVALUE(SCD_Data!$I$3:$I$502&amp;""),SCD_Data!$I$3:$I$502)&gt;=IFERROR(DATEVALUE(A369&amp;""),A369))*(ROW(SCD_Data!$A$3:$A$502)-2))),"—"))</f>
        <v/>
      </c>
      <c r="I369" s="25" t="str">
        <f aca="false">IF(A369="","",IFERROR(INDEX(SCD_Data!$D$3:$D$502,SUMPRODUCT((SCD_Data!$A$3:$A$502=B369)*(IFERROR(DATEVALUE(SCD_Data!$H$3:$H$502&amp;""),SCD_Data!$H$3:$H$502)&lt;=IFERROR(DATEVALUE(A369&amp;""),A369))*(IFERROR(DATEVALUE(SCD_Data!$I$3:$I$502&amp;""),SCD_Data!$I$3:$I$502)&gt;=IFERROR(DATEVALUE(A369&amp;""),A369))*(ROW(SCD_Data!$A$3:$A$502)-2))),"—"))</f>
        <v/>
      </c>
      <c r="J369" s="26" t="str">
        <f aca="false">IF(A369="","",IFERROR(INDEX(SCD_Data!$E$3:$E$502,SUMPRODUCT((SCD_Data!$A$3:$A$502=B369)*(IFERROR(DATEVALUE(SCD_Data!$H$3:$H$502&amp;""),SCD_Data!$H$3:$H$502)&lt;=IFERROR(DATEVALUE(A369&amp;""),A369))*(IFERROR(DATEVALUE(SCD_Data!$I$3:$I$502&amp;""),SCD_Data!$I$3:$I$502)&gt;=IFERROR(DATEVALUE(A369&amp;""),A369))*(ROW(SCD_Data!$A$3:$A$502)-2))),"—"))</f>
        <v/>
      </c>
      <c r="K369" s="25" t="str">
        <f aca="false">IF(A369="","",IFERROR(INDEX(SCD_Data!$F$3:$F$502,SUMPRODUCT((SCD_Data!$A$3:$A$502=B369)*(IFERROR(DATEVALUE(SCD_Data!$H$3:$H$502&amp;""),SCD_Data!$H$3:$H$502)&lt;=IFERROR(DATEVALUE(A369&amp;""),A369))*(IFERROR(DATEVALUE(SCD_Data!$I$3:$I$502&amp;""),SCD_Data!$I$3:$I$502)&gt;=IFERROR(DATEVALUE(A369&amp;""),A369))*(ROW(SCD_Data!$A$3:$A$502)-2))),"—"))</f>
        <v/>
      </c>
      <c r="L369" s="25" t="str">
        <f aca="false">IF(A369="","",IFERROR(INDEX(SCD_Data!$G$3:$G$502,SUMPRODUCT((SCD_Data!$A$3:$A$502=B369)*(IFERROR(DATEVALUE(SCD_Data!$H$3:$H$502&amp;""),SCD_Data!$H$3:$H$502)&lt;=IFERROR(DATEVALUE(A369&amp;""),A369))*(IFERROR(DATEVALUE(SCD_Data!$I$3:$I$502&amp;""),SCD_Data!$I$3:$I$502)&gt;=IFERROR(DATEVALUE(A369&amp;""),A369))*(ROW(SCD_Data!$A$3:$A$502)-2))),"—"))</f>
        <v/>
      </c>
      <c r="M369" s="27" t="str">
        <f aca="false">IF(A369="","",IF(H369="—","—",IF(C369&amp;""=H369&amp;"","✓","✗")))</f>
        <v/>
      </c>
      <c r="N369" s="27" t="str">
        <f aca="false">IF(A369="","",IF(H369="—","—",IF(D369&amp;""=I369&amp;"","✓","✗")))</f>
        <v/>
      </c>
      <c r="O369" s="27" t="str">
        <f aca="false">IF(A369="","",IF(H369="—","—",IF(ABS(E369-J369)&lt;0.01,"✓","✗")))</f>
        <v/>
      </c>
      <c r="P369" s="27" t="str">
        <f aca="false">IF(A369="","",IF(H369="—","—",IF(F369&amp;""=K369&amp;"","✓","✗")))</f>
        <v/>
      </c>
      <c r="Q369" s="27" t="str">
        <f aca="false">IF(A369="","",IF(H369="—","—",IF(G369&amp;""=L369&amp;"","✓","✗")))</f>
        <v/>
      </c>
      <c r="R369" s="27" t="str">
        <f aca="false">IF(A369="","",IF(COUNTIF(M369:Q369,"—")=5,"⚠ NO SCD ROW",IF(COUNTIF(M369:Q369,"✗")&gt;0,"❌ MISMATCH","✅ MATCH")))</f>
        <v/>
      </c>
    </row>
    <row r="370" customFormat="false" ht="15" hidden="false" customHeight="true" outlineLevel="0" collapsed="false">
      <c r="A370" s="22" t="str">
        <f aca="false">IF(Daily_Data!A369="","",Daily_Data!A369)</f>
        <v/>
      </c>
      <c r="B370" s="23" t="str">
        <f aca="false">IF(Daily_Data!B369="","",Daily_Data!B369)</f>
        <v/>
      </c>
      <c r="C370" s="23" t="str">
        <f aca="false">IF(A370="","",Daily_Data!C369)</f>
        <v/>
      </c>
      <c r="D370" s="23" t="str">
        <f aca="false">IF(A370="","",Daily_Data!D369)</f>
        <v/>
      </c>
      <c r="E370" s="24" t="str">
        <f aca="false">IF(A370="","",Daily_Data!E369)</f>
        <v/>
      </c>
      <c r="F370" s="23" t="str">
        <f aca="false">IF(A370="","",Daily_Data!F369)</f>
        <v/>
      </c>
      <c r="G370" s="23" t="str">
        <f aca="false">IF(A370="","",Daily_Data!G369)</f>
        <v/>
      </c>
      <c r="H370" s="25" t="str">
        <f aca="false">IF(A370="","",IFERROR(INDEX(SCD_Data!$C$3:$C$502,SUMPRODUCT((SCD_Data!$A$3:$A$502=B370)*(IFERROR(DATEVALUE(SCD_Data!$H$3:$H$502&amp;""),SCD_Data!$H$3:$H$502)&lt;=IFERROR(DATEVALUE(A370&amp;""),A370))*(IFERROR(DATEVALUE(SCD_Data!$I$3:$I$502&amp;""),SCD_Data!$I$3:$I$502)&gt;=IFERROR(DATEVALUE(A370&amp;""),A370))*(ROW(SCD_Data!$A$3:$A$502)-2))),"—"))</f>
        <v/>
      </c>
      <c r="I370" s="25" t="str">
        <f aca="false">IF(A370="","",IFERROR(INDEX(SCD_Data!$D$3:$D$502,SUMPRODUCT((SCD_Data!$A$3:$A$502=B370)*(IFERROR(DATEVALUE(SCD_Data!$H$3:$H$502&amp;""),SCD_Data!$H$3:$H$502)&lt;=IFERROR(DATEVALUE(A370&amp;""),A370))*(IFERROR(DATEVALUE(SCD_Data!$I$3:$I$502&amp;""),SCD_Data!$I$3:$I$502)&gt;=IFERROR(DATEVALUE(A370&amp;""),A370))*(ROW(SCD_Data!$A$3:$A$502)-2))),"—"))</f>
        <v/>
      </c>
      <c r="J370" s="26" t="str">
        <f aca="false">IF(A370="","",IFERROR(INDEX(SCD_Data!$E$3:$E$502,SUMPRODUCT((SCD_Data!$A$3:$A$502=B370)*(IFERROR(DATEVALUE(SCD_Data!$H$3:$H$502&amp;""),SCD_Data!$H$3:$H$502)&lt;=IFERROR(DATEVALUE(A370&amp;""),A370))*(IFERROR(DATEVALUE(SCD_Data!$I$3:$I$502&amp;""),SCD_Data!$I$3:$I$502)&gt;=IFERROR(DATEVALUE(A370&amp;""),A370))*(ROW(SCD_Data!$A$3:$A$502)-2))),"—"))</f>
        <v/>
      </c>
      <c r="K370" s="25" t="str">
        <f aca="false">IF(A370="","",IFERROR(INDEX(SCD_Data!$F$3:$F$502,SUMPRODUCT((SCD_Data!$A$3:$A$502=B370)*(IFERROR(DATEVALUE(SCD_Data!$H$3:$H$502&amp;""),SCD_Data!$H$3:$H$502)&lt;=IFERROR(DATEVALUE(A370&amp;""),A370))*(IFERROR(DATEVALUE(SCD_Data!$I$3:$I$502&amp;""),SCD_Data!$I$3:$I$502)&gt;=IFERROR(DATEVALUE(A370&amp;""),A370))*(ROW(SCD_Data!$A$3:$A$502)-2))),"—"))</f>
        <v/>
      </c>
      <c r="L370" s="25" t="str">
        <f aca="false">IF(A370="","",IFERROR(INDEX(SCD_Data!$G$3:$G$502,SUMPRODUCT((SCD_Data!$A$3:$A$502=B370)*(IFERROR(DATEVALUE(SCD_Data!$H$3:$H$502&amp;""),SCD_Data!$H$3:$H$502)&lt;=IFERROR(DATEVALUE(A370&amp;""),A370))*(IFERROR(DATEVALUE(SCD_Data!$I$3:$I$502&amp;""),SCD_Data!$I$3:$I$502)&gt;=IFERROR(DATEVALUE(A370&amp;""),A370))*(ROW(SCD_Data!$A$3:$A$502)-2))),"—"))</f>
        <v/>
      </c>
      <c r="M370" s="27" t="str">
        <f aca="false">IF(A370="","",IF(H370="—","—",IF(C370&amp;""=H370&amp;"","✓","✗")))</f>
        <v/>
      </c>
      <c r="N370" s="27" t="str">
        <f aca="false">IF(A370="","",IF(H370="—","—",IF(D370&amp;""=I370&amp;"","✓","✗")))</f>
        <v/>
      </c>
      <c r="O370" s="27" t="str">
        <f aca="false">IF(A370="","",IF(H370="—","—",IF(ABS(E370-J370)&lt;0.01,"✓","✗")))</f>
        <v/>
      </c>
      <c r="P370" s="27" t="str">
        <f aca="false">IF(A370="","",IF(H370="—","—",IF(F370&amp;""=K370&amp;"","✓","✗")))</f>
        <v/>
      </c>
      <c r="Q370" s="27" t="str">
        <f aca="false">IF(A370="","",IF(H370="—","—",IF(G370&amp;""=L370&amp;"","✓","✗")))</f>
        <v/>
      </c>
      <c r="R370" s="27" t="str">
        <f aca="false">IF(A370="","",IF(COUNTIF(M370:Q370,"—")=5,"⚠ NO SCD ROW",IF(COUNTIF(M370:Q370,"✗")&gt;0,"❌ MISMATCH","✅ MATCH")))</f>
        <v/>
      </c>
    </row>
    <row r="371" customFormat="false" ht="15" hidden="false" customHeight="true" outlineLevel="0" collapsed="false">
      <c r="A371" s="22" t="str">
        <f aca="false">IF(Daily_Data!A370="","",Daily_Data!A370)</f>
        <v/>
      </c>
      <c r="B371" s="23" t="str">
        <f aca="false">IF(Daily_Data!B370="","",Daily_Data!B370)</f>
        <v/>
      </c>
      <c r="C371" s="23" t="str">
        <f aca="false">IF(A371="","",Daily_Data!C370)</f>
        <v/>
      </c>
      <c r="D371" s="23" t="str">
        <f aca="false">IF(A371="","",Daily_Data!D370)</f>
        <v/>
      </c>
      <c r="E371" s="24" t="str">
        <f aca="false">IF(A371="","",Daily_Data!E370)</f>
        <v/>
      </c>
      <c r="F371" s="23" t="str">
        <f aca="false">IF(A371="","",Daily_Data!F370)</f>
        <v/>
      </c>
      <c r="G371" s="23" t="str">
        <f aca="false">IF(A371="","",Daily_Data!G370)</f>
        <v/>
      </c>
      <c r="H371" s="25" t="str">
        <f aca="false">IF(A371="","",IFERROR(INDEX(SCD_Data!$C$3:$C$502,SUMPRODUCT((SCD_Data!$A$3:$A$502=B371)*(IFERROR(DATEVALUE(SCD_Data!$H$3:$H$502&amp;""),SCD_Data!$H$3:$H$502)&lt;=IFERROR(DATEVALUE(A371&amp;""),A371))*(IFERROR(DATEVALUE(SCD_Data!$I$3:$I$502&amp;""),SCD_Data!$I$3:$I$502)&gt;=IFERROR(DATEVALUE(A371&amp;""),A371))*(ROW(SCD_Data!$A$3:$A$502)-2))),"—"))</f>
        <v/>
      </c>
      <c r="I371" s="25" t="str">
        <f aca="false">IF(A371="","",IFERROR(INDEX(SCD_Data!$D$3:$D$502,SUMPRODUCT((SCD_Data!$A$3:$A$502=B371)*(IFERROR(DATEVALUE(SCD_Data!$H$3:$H$502&amp;""),SCD_Data!$H$3:$H$502)&lt;=IFERROR(DATEVALUE(A371&amp;""),A371))*(IFERROR(DATEVALUE(SCD_Data!$I$3:$I$502&amp;""),SCD_Data!$I$3:$I$502)&gt;=IFERROR(DATEVALUE(A371&amp;""),A371))*(ROW(SCD_Data!$A$3:$A$502)-2))),"—"))</f>
        <v/>
      </c>
      <c r="J371" s="26" t="str">
        <f aca="false">IF(A371="","",IFERROR(INDEX(SCD_Data!$E$3:$E$502,SUMPRODUCT((SCD_Data!$A$3:$A$502=B371)*(IFERROR(DATEVALUE(SCD_Data!$H$3:$H$502&amp;""),SCD_Data!$H$3:$H$502)&lt;=IFERROR(DATEVALUE(A371&amp;""),A371))*(IFERROR(DATEVALUE(SCD_Data!$I$3:$I$502&amp;""),SCD_Data!$I$3:$I$502)&gt;=IFERROR(DATEVALUE(A371&amp;""),A371))*(ROW(SCD_Data!$A$3:$A$502)-2))),"—"))</f>
        <v/>
      </c>
      <c r="K371" s="25" t="str">
        <f aca="false">IF(A371="","",IFERROR(INDEX(SCD_Data!$F$3:$F$502,SUMPRODUCT((SCD_Data!$A$3:$A$502=B371)*(IFERROR(DATEVALUE(SCD_Data!$H$3:$H$502&amp;""),SCD_Data!$H$3:$H$502)&lt;=IFERROR(DATEVALUE(A371&amp;""),A371))*(IFERROR(DATEVALUE(SCD_Data!$I$3:$I$502&amp;""),SCD_Data!$I$3:$I$502)&gt;=IFERROR(DATEVALUE(A371&amp;""),A371))*(ROW(SCD_Data!$A$3:$A$502)-2))),"—"))</f>
        <v/>
      </c>
      <c r="L371" s="25" t="str">
        <f aca="false">IF(A371="","",IFERROR(INDEX(SCD_Data!$G$3:$G$502,SUMPRODUCT((SCD_Data!$A$3:$A$502=B371)*(IFERROR(DATEVALUE(SCD_Data!$H$3:$H$502&amp;""),SCD_Data!$H$3:$H$502)&lt;=IFERROR(DATEVALUE(A371&amp;""),A371))*(IFERROR(DATEVALUE(SCD_Data!$I$3:$I$502&amp;""),SCD_Data!$I$3:$I$502)&gt;=IFERROR(DATEVALUE(A371&amp;""),A371))*(ROW(SCD_Data!$A$3:$A$502)-2))),"—"))</f>
        <v/>
      </c>
      <c r="M371" s="27" t="str">
        <f aca="false">IF(A371="","",IF(H371="—","—",IF(C371&amp;""=H371&amp;"","✓","✗")))</f>
        <v/>
      </c>
      <c r="N371" s="27" t="str">
        <f aca="false">IF(A371="","",IF(H371="—","—",IF(D371&amp;""=I371&amp;"","✓","✗")))</f>
        <v/>
      </c>
      <c r="O371" s="27" t="str">
        <f aca="false">IF(A371="","",IF(H371="—","—",IF(ABS(E371-J371)&lt;0.01,"✓","✗")))</f>
        <v/>
      </c>
      <c r="P371" s="27" t="str">
        <f aca="false">IF(A371="","",IF(H371="—","—",IF(F371&amp;""=K371&amp;"","✓","✗")))</f>
        <v/>
      </c>
      <c r="Q371" s="27" t="str">
        <f aca="false">IF(A371="","",IF(H371="—","—",IF(G371&amp;""=L371&amp;"","✓","✗")))</f>
        <v/>
      </c>
      <c r="R371" s="27" t="str">
        <f aca="false">IF(A371="","",IF(COUNTIF(M371:Q371,"—")=5,"⚠ NO SCD ROW",IF(COUNTIF(M371:Q371,"✗")&gt;0,"❌ MISMATCH","✅ MATCH")))</f>
        <v/>
      </c>
    </row>
    <row r="372" customFormat="false" ht="15" hidden="false" customHeight="true" outlineLevel="0" collapsed="false">
      <c r="A372" s="22" t="str">
        <f aca="false">IF(Daily_Data!A371="","",Daily_Data!A371)</f>
        <v/>
      </c>
      <c r="B372" s="23" t="str">
        <f aca="false">IF(Daily_Data!B371="","",Daily_Data!B371)</f>
        <v/>
      </c>
      <c r="C372" s="23" t="str">
        <f aca="false">IF(A372="","",Daily_Data!C371)</f>
        <v/>
      </c>
      <c r="D372" s="23" t="str">
        <f aca="false">IF(A372="","",Daily_Data!D371)</f>
        <v/>
      </c>
      <c r="E372" s="24" t="str">
        <f aca="false">IF(A372="","",Daily_Data!E371)</f>
        <v/>
      </c>
      <c r="F372" s="23" t="str">
        <f aca="false">IF(A372="","",Daily_Data!F371)</f>
        <v/>
      </c>
      <c r="G372" s="23" t="str">
        <f aca="false">IF(A372="","",Daily_Data!G371)</f>
        <v/>
      </c>
      <c r="H372" s="25" t="str">
        <f aca="false">IF(A372="","",IFERROR(INDEX(SCD_Data!$C$3:$C$502,SUMPRODUCT((SCD_Data!$A$3:$A$502=B372)*(IFERROR(DATEVALUE(SCD_Data!$H$3:$H$502&amp;""),SCD_Data!$H$3:$H$502)&lt;=IFERROR(DATEVALUE(A372&amp;""),A372))*(IFERROR(DATEVALUE(SCD_Data!$I$3:$I$502&amp;""),SCD_Data!$I$3:$I$502)&gt;=IFERROR(DATEVALUE(A372&amp;""),A372))*(ROW(SCD_Data!$A$3:$A$502)-2))),"—"))</f>
        <v/>
      </c>
      <c r="I372" s="25" t="str">
        <f aca="false">IF(A372="","",IFERROR(INDEX(SCD_Data!$D$3:$D$502,SUMPRODUCT((SCD_Data!$A$3:$A$502=B372)*(IFERROR(DATEVALUE(SCD_Data!$H$3:$H$502&amp;""),SCD_Data!$H$3:$H$502)&lt;=IFERROR(DATEVALUE(A372&amp;""),A372))*(IFERROR(DATEVALUE(SCD_Data!$I$3:$I$502&amp;""),SCD_Data!$I$3:$I$502)&gt;=IFERROR(DATEVALUE(A372&amp;""),A372))*(ROW(SCD_Data!$A$3:$A$502)-2))),"—"))</f>
        <v/>
      </c>
      <c r="J372" s="26" t="str">
        <f aca="false">IF(A372="","",IFERROR(INDEX(SCD_Data!$E$3:$E$502,SUMPRODUCT((SCD_Data!$A$3:$A$502=B372)*(IFERROR(DATEVALUE(SCD_Data!$H$3:$H$502&amp;""),SCD_Data!$H$3:$H$502)&lt;=IFERROR(DATEVALUE(A372&amp;""),A372))*(IFERROR(DATEVALUE(SCD_Data!$I$3:$I$502&amp;""),SCD_Data!$I$3:$I$502)&gt;=IFERROR(DATEVALUE(A372&amp;""),A372))*(ROW(SCD_Data!$A$3:$A$502)-2))),"—"))</f>
        <v/>
      </c>
      <c r="K372" s="25" t="str">
        <f aca="false">IF(A372="","",IFERROR(INDEX(SCD_Data!$F$3:$F$502,SUMPRODUCT((SCD_Data!$A$3:$A$502=B372)*(IFERROR(DATEVALUE(SCD_Data!$H$3:$H$502&amp;""),SCD_Data!$H$3:$H$502)&lt;=IFERROR(DATEVALUE(A372&amp;""),A372))*(IFERROR(DATEVALUE(SCD_Data!$I$3:$I$502&amp;""),SCD_Data!$I$3:$I$502)&gt;=IFERROR(DATEVALUE(A372&amp;""),A372))*(ROW(SCD_Data!$A$3:$A$502)-2))),"—"))</f>
        <v/>
      </c>
      <c r="L372" s="25" t="str">
        <f aca="false">IF(A372="","",IFERROR(INDEX(SCD_Data!$G$3:$G$502,SUMPRODUCT((SCD_Data!$A$3:$A$502=B372)*(IFERROR(DATEVALUE(SCD_Data!$H$3:$H$502&amp;""),SCD_Data!$H$3:$H$502)&lt;=IFERROR(DATEVALUE(A372&amp;""),A372))*(IFERROR(DATEVALUE(SCD_Data!$I$3:$I$502&amp;""),SCD_Data!$I$3:$I$502)&gt;=IFERROR(DATEVALUE(A372&amp;""),A372))*(ROW(SCD_Data!$A$3:$A$502)-2))),"—"))</f>
        <v/>
      </c>
      <c r="M372" s="27" t="str">
        <f aca="false">IF(A372="","",IF(H372="—","—",IF(C372&amp;""=H372&amp;"","✓","✗")))</f>
        <v/>
      </c>
      <c r="N372" s="27" t="str">
        <f aca="false">IF(A372="","",IF(H372="—","—",IF(D372&amp;""=I372&amp;"","✓","✗")))</f>
        <v/>
      </c>
      <c r="O372" s="27" t="str">
        <f aca="false">IF(A372="","",IF(H372="—","—",IF(ABS(E372-J372)&lt;0.01,"✓","✗")))</f>
        <v/>
      </c>
      <c r="P372" s="27" t="str">
        <f aca="false">IF(A372="","",IF(H372="—","—",IF(F372&amp;""=K372&amp;"","✓","✗")))</f>
        <v/>
      </c>
      <c r="Q372" s="27" t="str">
        <f aca="false">IF(A372="","",IF(H372="—","—",IF(G372&amp;""=L372&amp;"","✓","✗")))</f>
        <v/>
      </c>
      <c r="R372" s="27" t="str">
        <f aca="false">IF(A372="","",IF(COUNTIF(M372:Q372,"—")=5,"⚠ NO SCD ROW",IF(COUNTIF(M372:Q372,"✗")&gt;0,"❌ MISMATCH","✅ MATCH")))</f>
        <v/>
      </c>
    </row>
    <row r="373" customFormat="false" ht="15" hidden="false" customHeight="true" outlineLevel="0" collapsed="false">
      <c r="A373" s="22" t="str">
        <f aca="false">IF(Daily_Data!A372="","",Daily_Data!A372)</f>
        <v/>
      </c>
      <c r="B373" s="23" t="str">
        <f aca="false">IF(Daily_Data!B372="","",Daily_Data!B372)</f>
        <v/>
      </c>
      <c r="C373" s="23" t="str">
        <f aca="false">IF(A373="","",Daily_Data!C372)</f>
        <v/>
      </c>
      <c r="D373" s="23" t="str">
        <f aca="false">IF(A373="","",Daily_Data!D372)</f>
        <v/>
      </c>
      <c r="E373" s="24" t="str">
        <f aca="false">IF(A373="","",Daily_Data!E372)</f>
        <v/>
      </c>
      <c r="F373" s="23" t="str">
        <f aca="false">IF(A373="","",Daily_Data!F372)</f>
        <v/>
      </c>
      <c r="G373" s="23" t="str">
        <f aca="false">IF(A373="","",Daily_Data!G372)</f>
        <v/>
      </c>
      <c r="H373" s="25" t="str">
        <f aca="false">IF(A373="","",IFERROR(INDEX(SCD_Data!$C$3:$C$502,SUMPRODUCT((SCD_Data!$A$3:$A$502=B373)*(IFERROR(DATEVALUE(SCD_Data!$H$3:$H$502&amp;""),SCD_Data!$H$3:$H$502)&lt;=IFERROR(DATEVALUE(A373&amp;""),A373))*(IFERROR(DATEVALUE(SCD_Data!$I$3:$I$502&amp;""),SCD_Data!$I$3:$I$502)&gt;=IFERROR(DATEVALUE(A373&amp;""),A373))*(ROW(SCD_Data!$A$3:$A$502)-2))),"—"))</f>
        <v/>
      </c>
      <c r="I373" s="25" t="str">
        <f aca="false">IF(A373="","",IFERROR(INDEX(SCD_Data!$D$3:$D$502,SUMPRODUCT((SCD_Data!$A$3:$A$502=B373)*(IFERROR(DATEVALUE(SCD_Data!$H$3:$H$502&amp;""),SCD_Data!$H$3:$H$502)&lt;=IFERROR(DATEVALUE(A373&amp;""),A373))*(IFERROR(DATEVALUE(SCD_Data!$I$3:$I$502&amp;""),SCD_Data!$I$3:$I$502)&gt;=IFERROR(DATEVALUE(A373&amp;""),A373))*(ROW(SCD_Data!$A$3:$A$502)-2))),"—"))</f>
        <v/>
      </c>
      <c r="J373" s="26" t="str">
        <f aca="false">IF(A373="","",IFERROR(INDEX(SCD_Data!$E$3:$E$502,SUMPRODUCT((SCD_Data!$A$3:$A$502=B373)*(IFERROR(DATEVALUE(SCD_Data!$H$3:$H$502&amp;""),SCD_Data!$H$3:$H$502)&lt;=IFERROR(DATEVALUE(A373&amp;""),A373))*(IFERROR(DATEVALUE(SCD_Data!$I$3:$I$502&amp;""),SCD_Data!$I$3:$I$502)&gt;=IFERROR(DATEVALUE(A373&amp;""),A373))*(ROW(SCD_Data!$A$3:$A$502)-2))),"—"))</f>
        <v/>
      </c>
      <c r="K373" s="25" t="str">
        <f aca="false">IF(A373="","",IFERROR(INDEX(SCD_Data!$F$3:$F$502,SUMPRODUCT((SCD_Data!$A$3:$A$502=B373)*(IFERROR(DATEVALUE(SCD_Data!$H$3:$H$502&amp;""),SCD_Data!$H$3:$H$502)&lt;=IFERROR(DATEVALUE(A373&amp;""),A373))*(IFERROR(DATEVALUE(SCD_Data!$I$3:$I$502&amp;""),SCD_Data!$I$3:$I$502)&gt;=IFERROR(DATEVALUE(A373&amp;""),A373))*(ROW(SCD_Data!$A$3:$A$502)-2))),"—"))</f>
        <v/>
      </c>
      <c r="L373" s="25" t="str">
        <f aca="false">IF(A373="","",IFERROR(INDEX(SCD_Data!$G$3:$G$502,SUMPRODUCT((SCD_Data!$A$3:$A$502=B373)*(IFERROR(DATEVALUE(SCD_Data!$H$3:$H$502&amp;""),SCD_Data!$H$3:$H$502)&lt;=IFERROR(DATEVALUE(A373&amp;""),A373))*(IFERROR(DATEVALUE(SCD_Data!$I$3:$I$502&amp;""),SCD_Data!$I$3:$I$502)&gt;=IFERROR(DATEVALUE(A373&amp;""),A373))*(ROW(SCD_Data!$A$3:$A$502)-2))),"—"))</f>
        <v/>
      </c>
      <c r="M373" s="27" t="str">
        <f aca="false">IF(A373="","",IF(H373="—","—",IF(C373&amp;""=H373&amp;"","✓","✗")))</f>
        <v/>
      </c>
      <c r="N373" s="27" t="str">
        <f aca="false">IF(A373="","",IF(H373="—","—",IF(D373&amp;""=I373&amp;"","✓","✗")))</f>
        <v/>
      </c>
      <c r="O373" s="27" t="str">
        <f aca="false">IF(A373="","",IF(H373="—","—",IF(ABS(E373-J373)&lt;0.01,"✓","✗")))</f>
        <v/>
      </c>
      <c r="P373" s="27" t="str">
        <f aca="false">IF(A373="","",IF(H373="—","—",IF(F373&amp;""=K373&amp;"","✓","✗")))</f>
        <v/>
      </c>
      <c r="Q373" s="27" t="str">
        <f aca="false">IF(A373="","",IF(H373="—","—",IF(G373&amp;""=L373&amp;"","✓","✗")))</f>
        <v/>
      </c>
      <c r="R373" s="27" t="str">
        <f aca="false">IF(A373="","",IF(COUNTIF(M373:Q373,"—")=5,"⚠ NO SCD ROW",IF(COUNTIF(M373:Q373,"✗")&gt;0,"❌ MISMATCH","✅ MATCH")))</f>
        <v/>
      </c>
    </row>
    <row r="374" customFormat="false" ht="15" hidden="false" customHeight="true" outlineLevel="0" collapsed="false">
      <c r="A374" s="22" t="str">
        <f aca="false">IF(Daily_Data!A373="","",Daily_Data!A373)</f>
        <v/>
      </c>
      <c r="B374" s="23" t="str">
        <f aca="false">IF(Daily_Data!B373="","",Daily_Data!B373)</f>
        <v/>
      </c>
      <c r="C374" s="23" t="str">
        <f aca="false">IF(A374="","",Daily_Data!C373)</f>
        <v/>
      </c>
      <c r="D374" s="23" t="str">
        <f aca="false">IF(A374="","",Daily_Data!D373)</f>
        <v/>
      </c>
      <c r="E374" s="24" t="str">
        <f aca="false">IF(A374="","",Daily_Data!E373)</f>
        <v/>
      </c>
      <c r="F374" s="23" t="str">
        <f aca="false">IF(A374="","",Daily_Data!F373)</f>
        <v/>
      </c>
      <c r="G374" s="23" t="str">
        <f aca="false">IF(A374="","",Daily_Data!G373)</f>
        <v/>
      </c>
      <c r="H374" s="25" t="str">
        <f aca="false">IF(A374="","",IFERROR(INDEX(SCD_Data!$C$3:$C$502,SUMPRODUCT((SCD_Data!$A$3:$A$502=B374)*(IFERROR(DATEVALUE(SCD_Data!$H$3:$H$502&amp;""),SCD_Data!$H$3:$H$502)&lt;=IFERROR(DATEVALUE(A374&amp;""),A374))*(IFERROR(DATEVALUE(SCD_Data!$I$3:$I$502&amp;""),SCD_Data!$I$3:$I$502)&gt;=IFERROR(DATEVALUE(A374&amp;""),A374))*(ROW(SCD_Data!$A$3:$A$502)-2))),"—"))</f>
        <v/>
      </c>
      <c r="I374" s="25" t="str">
        <f aca="false">IF(A374="","",IFERROR(INDEX(SCD_Data!$D$3:$D$502,SUMPRODUCT((SCD_Data!$A$3:$A$502=B374)*(IFERROR(DATEVALUE(SCD_Data!$H$3:$H$502&amp;""),SCD_Data!$H$3:$H$502)&lt;=IFERROR(DATEVALUE(A374&amp;""),A374))*(IFERROR(DATEVALUE(SCD_Data!$I$3:$I$502&amp;""),SCD_Data!$I$3:$I$502)&gt;=IFERROR(DATEVALUE(A374&amp;""),A374))*(ROW(SCD_Data!$A$3:$A$502)-2))),"—"))</f>
        <v/>
      </c>
      <c r="J374" s="26" t="str">
        <f aca="false">IF(A374="","",IFERROR(INDEX(SCD_Data!$E$3:$E$502,SUMPRODUCT((SCD_Data!$A$3:$A$502=B374)*(IFERROR(DATEVALUE(SCD_Data!$H$3:$H$502&amp;""),SCD_Data!$H$3:$H$502)&lt;=IFERROR(DATEVALUE(A374&amp;""),A374))*(IFERROR(DATEVALUE(SCD_Data!$I$3:$I$502&amp;""),SCD_Data!$I$3:$I$502)&gt;=IFERROR(DATEVALUE(A374&amp;""),A374))*(ROW(SCD_Data!$A$3:$A$502)-2))),"—"))</f>
        <v/>
      </c>
      <c r="K374" s="25" t="str">
        <f aca="false">IF(A374="","",IFERROR(INDEX(SCD_Data!$F$3:$F$502,SUMPRODUCT((SCD_Data!$A$3:$A$502=B374)*(IFERROR(DATEVALUE(SCD_Data!$H$3:$H$502&amp;""),SCD_Data!$H$3:$H$502)&lt;=IFERROR(DATEVALUE(A374&amp;""),A374))*(IFERROR(DATEVALUE(SCD_Data!$I$3:$I$502&amp;""),SCD_Data!$I$3:$I$502)&gt;=IFERROR(DATEVALUE(A374&amp;""),A374))*(ROW(SCD_Data!$A$3:$A$502)-2))),"—"))</f>
        <v/>
      </c>
      <c r="L374" s="25" t="str">
        <f aca="false">IF(A374="","",IFERROR(INDEX(SCD_Data!$G$3:$G$502,SUMPRODUCT((SCD_Data!$A$3:$A$502=B374)*(IFERROR(DATEVALUE(SCD_Data!$H$3:$H$502&amp;""),SCD_Data!$H$3:$H$502)&lt;=IFERROR(DATEVALUE(A374&amp;""),A374))*(IFERROR(DATEVALUE(SCD_Data!$I$3:$I$502&amp;""),SCD_Data!$I$3:$I$502)&gt;=IFERROR(DATEVALUE(A374&amp;""),A374))*(ROW(SCD_Data!$A$3:$A$502)-2))),"—"))</f>
        <v/>
      </c>
      <c r="M374" s="27" t="str">
        <f aca="false">IF(A374="","",IF(H374="—","—",IF(C374&amp;""=H374&amp;"","✓","✗")))</f>
        <v/>
      </c>
      <c r="N374" s="27" t="str">
        <f aca="false">IF(A374="","",IF(H374="—","—",IF(D374&amp;""=I374&amp;"","✓","✗")))</f>
        <v/>
      </c>
      <c r="O374" s="27" t="str">
        <f aca="false">IF(A374="","",IF(H374="—","—",IF(ABS(E374-J374)&lt;0.01,"✓","✗")))</f>
        <v/>
      </c>
      <c r="P374" s="27" t="str">
        <f aca="false">IF(A374="","",IF(H374="—","—",IF(F374&amp;""=K374&amp;"","✓","✗")))</f>
        <v/>
      </c>
      <c r="Q374" s="27" t="str">
        <f aca="false">IF(A374="","",IF(H374="—","—",IF(G374&amp;""=L374&amp;"","✓","✗")))</f>
        <v/>
      </c>
      <c r="R374" s="27" t="str">
        <f aca="false">IF(A374="","",IF(COUNTIF(M374:Q374,"—")=5,"⚠ NO SCD ROW",IF(COUNTIF(M374:Q374,"✗")&gt;0,"❌ MISMATCH","✅ MATCH")))</f>
        <v/>
      </c>
    </row>
    <row r="375" customFormat="false" ht="15" hidden="false" customHeight="true" outlineLevel="0" collapsed="false">
      <c r="A375" s="22" t="str">
        <f aca="false">IF(Daily_Data!A374="","",Daily_Data!A374)</f>
        <v/>
      </c>
      <c r="B375" s="23" t="str">
        <f aca="false">IF(Daily_Data!B374="","",Daily_Data!B374)</f>
        <v/>
      </c>
      <c r="C375" s="23" t="str">
        <f aca="false">IF(A375="","",Daily_Data!C374)</f>
        <v/>
      </c>
      <c r="D375" s="23" t="str">
        <f aca="false">IF(A375="","",Daily_Data!D374)</f>
        <v/>
      </c>
      <c r="E375" s="24" t="str">
        <f aca="false">IF(A375="","",Daily_Data!E374)</f>
        <v/>
      </c>
      <c r="F375" s="23" t="str">
        <f aca="false">IF(A375="","",Daily_Data!F374)</f>
        <v/>
      </c>
      <c r="G375" s="23" t="str">
        <f aca="false">IF(A375="","",Daily_Data!G374)</f>
        <v/>
      </c>
      <c r="H375" s="25" t="str">
        <f aca="false">IF(A375="","",IFERROR(INDEX(SCD_Data!$C$3:$C$502,SUMPRODUCT((SCD_Data!$A$3:$A$502=B375)*(IFERROR(DATEVALUE(SCD_Data!$H$3:$H$502&amp;""),SCD_Data!$H$3:$H$502)&lt;=IFERROR(DATEVALUE(A375&amp;""),A375))*(IFERROR(DATEVALUE(SCD_Data!$I$3:$I$502&amp;""),SCD_Data!$I$3:$I$502)&gt;=IFERROR(DATEVALUE(A375&amp;""),A375))*(ROW(SCD_Data!$A$3:$A$502)-2))),"—"))</f>
        <v/>
      </c>
      <c r="I375" s="25" t="str">
        <f aca="false">IF(A375="","",IFERROR(INDEX(SCD_Data!$D$3:$D$502,SUMPRODUCT((SCD_Data!$A$3:$A$502=B375)*(IFERROR(DATEVALUE(SCD_Data!$H$3:$H$502&amp;""),SCD_Data!$H$3:$H$502)&lt;=IFERROR(DATEVALUE(A375&amp;""),A375))*(IFERROR(DATEVALUE(SCD_Data!$I$3:$I$502&amp;""),SCD_Data!$I$3:$I$502)&gt;=IFERROR(DATEVALUE(A375&amp;""),A375))*(ROW(SCD_Data!$A$3:$A$502)-2))),"—"))</f>
        <v/>
      </c>
      <c r="J375" s="26" t="str">
        <f aca="false">IF(A375="","",IFERROR(INDEX(SCD_Data!$E$3:$E$502,SUMPRODUCT((SCD_Data!$A$3:$A$502=B375)*(IFERROR(DATEVALUE(SCD_Data!$H$3:$H$502&amp;""),SCD_Data!$H$3:$H$502)&lt;=IFERROR(DATEVALUE(A375&amp;""),A375))*(IFERROR(DATEVALUE(SCD_Data!$I$3:$I$502&amp;""),SCD_Data!$I$3:$I$502)&gt;=IFERROR(DATEVALUE(A375&amp;""),A375))*(ROW(SCD_Data!$A$3:$A$502)-2))),"—"))</f>
        <v/>
      </c>
      <c r="K375" s="25" t="str">
        <f aca="false">IF(A375="","",IFERROR(INDEX(SCD_Data!$F$3:$F$502,SUMPRODUCT((SCD_Data!$A$3:$A$502=B375)*(IFERROR(DATEVALUE(SCD_Data!$H$3:$H$502&amp;""),SCD_Data!$H$3:$H$502)&lt;=IFERROR(DATEVALUE(A375&amp;""),A375))*(IFERROR(DATEVALUE(SCD_Data!$I$3:$I$502&amp;""),SCD_Data!$I$3:$I$502)&gt;=IFERROR(DATEVALUE(A375&amp;""),A375))*(ROW(SCD_Data!$A$3:$A$502)-2))),"—"))</f>
        <v/>
      </c>
      <c r="L375" s="25" t="str">
        <f aca="false">IF(A375="","",IFERROR(INDEX(SCD_Data!$G$3:$G$502,SUMPRODUCT((SCD_Data!$A$3:$A$502=B375)*(IFERROR(DATEVALUE(SCD_Data!$H$3:$H$502&amp;""),SCD_Data!$H$3:$H$502)&lt;=IFERROR(DATEVALUE(A375&amp;""),A375))*(IFERROR(DATEVALUE(SCD_Data!$I$3:$I$502&amp;""),SCD_Data!$I$3:$I$502)&gt;=IFERROR(DATEVALUE(A375&amp;""),A375))*(ROW(SCD_Data!$A$3:$A$502)-2))),"—"))</f>
        <v/>
      </c>
      <c r="M375" s="27" t="str">
        <f aca="false">IF(A375="","",IF(H375="—","—",IF(C375&amp;""=H375&amp;"","✓","✗")))</f>
        <v/>
      </c>
      <c r="N375" s="27" t="str">
        <f aca="false">IF(A375="","",IF(H375="—","—",IF(D375&amp;""=I375&amp;"","✓","✗")))</f>
        <v/>
      </c>
      <c r="O375" s="27" t="str">
        <f aca="false">IF(A375="","",IF(H375="—","—",IF(ABS(E375-J375)&lt;0.01,"✓","✗")))</f>
        <v/>
      </c>
      <c r="P375" s="27" t="str">
        <f aca="false">IF(A375="","",IF(H375="—","—",IF(F375&amp;""=K375&amp;"","✓","✗")))</f>
        <v/>
      </c>
      <c r="Q375" s="27" t="str">
        <f aca="false">IF(A375="","",IF(H375="—","—",IF(G375&amp;""=L375&amp;"","✓","✗")))</f>
        <v/>
      </c>
      <c r="R375" s="27" t="str">
        <f aca="false">IF(A375="","",IF(COUNTIF(M375:Q375,"—")=5,"⚠ NO SCD ROW",IF(COUNTIF(M375:Q375,"✗")&gt;0,"❌ MISMATCH","✅ MATCH")))</f>
        <v/>
      </c>
    </row>
    <row r="376" customFormat="false" ht="15" hidden="false" customHeight="true" outlineLevel="0" collapsed="false">
      <c r="A376" s="22" t="str">
        <f aca="false">IF(Daily_Data!A375="","",Daily_Data!A375)</f>
        <v/>
      </c>
      <c r="B376" s="23" t="str">
        <f aca="false">IF(Daily_Data!B375="","",Daily_Data!B375)</f>
        <v/>
      </c>
      <c r="C376" s="23" t="str">
        <f aca="false">IF(A376="","",Daily_Data!C375)</f>
        <v/>
      </c>
      <c r="D376" s="23" t="str">
        <f aca="false">IF(A376="","",Daily_Data!D375)</f>
        <v/>
      </c>
      <c r="E376" s="24" t="str">
        <f aca="false">IF(A376="","",Daily_Data!E375)</f>
        <v/>
      </c>
      <c r="F376" s="23" t="str">
        <f aca="false">IF(A376="","",Daily_Data!F375)</f>
        <v/>
      </c>
      <c r="G376" s="23" t="str">
        <f aca="false">IF(A376="","",Daily_Data!G375)</f>
        <v/>
      </c>
      <c r="H376" s="25" t="str">
        <f aca="false">IF(A376="","",IFERROR(INDEX(SCD_Data!$C$3:$C$502,SUMPRODUCT((SCD_Data!$A$3:$A$502=B376)*(IFERROR(DATEVALUE(SCD_Data!$H$3:$H$502&amp;""),SCD_Data!$H$3:$H$502)&lt;=IFERROR(DATEVALUE(A376&amp;""),A376))*(IFERROR(DATEVALUE(SCD_Data!$I$3:$I$502&amp;""),SCD_Data!$I$3:$I$502)&gt;=IFERROR(DATEVALUE(A376&amp;""),A376))*(ROW(SCD_Data!$A$3:$A$502)-2))),"—"))</f>
        <v/>
      </c>
      <c r="I376" s="25" t="str">
        <f aca="false">IF(A376="","",IFERROR(INDEX(SCD_Data!$D$3:$D$502,SUMPRODUCT((SCD_Data!$A$3:$A$502=B376)*(IFERROR(DATEVALUE(SCD_Data!$H$3:$H$502&amp;""),SCD_Data!$H$3:$H$502)&lt;=IFERROR(DATEVALUE(A376&amp;""),A376))*(IFERROR(DATEVALUE(SCD_Data!$I$3:$I$502&amp;""),SCD_Data!$I$3:$I$502)&gt;=IFERROR(DATEVALUE(A376&amp;""),A376))*(ROW(SCD_Data!$A$3:$A$502)-2))),"—"))</f>
        <v/>
      </c>
      <c r="J376" s="26" t="str">
        <f aca="false">IF(A376="","",IFERROR(INDEX(SCD_Data!$E$3:$E$502,SUMPRODUCT((SCD_Data!$A$3:$A$502=B376)*(IFERROR(DATEVALUE(SCD_Data!$H$3:$H$502&amp;""),SCD_Data!$H$3:$H$502)&lt;=IFERROR(DATEVALUE(A376&amp;""),A376))*(IFERROR(DATEVALUE(SCD_Data!$I$3:$I$502&amp;""),SCD_Data!$I$3:$I$502)&gt;=IFERROR(DATEVALUE(A376&amp;""),A376))*(ROW(SCD_Data!$A$3:$A$502)-2))),"—"))</f>
        <v/>
      </c>
      <c r="K376" s="25" t="str">
        <f aca="false">IF(A376="","",IFERROR(INDEX(SCD_Data!$F$3:$F$502,SUMPRODUCT((SCD_Data!$A$3:$A$502=B376)*(IFERROR(DATEVALUE(SCD_Data!$H$3:$H$502&amp;""),SCD_Data!$H$3:$H$502)&lt;=IFERROR(DATEVALUE(A376&amp;""),A376))*(IFERROR(DATEVALUE(SCD_Data!$I$3:$I$502&amp;""),SCD_Data!$I$3:$I$502)&gt;=IFERROR(DATEVALUE(A376&amp;""),A376))*(ROW(SCD_Data!$A$3:$A$502)-2))),"—"))</f>
        <v/>
      </c>
      <c r="L376" s="25" t="str">
        <f aca="false">IF(A376="","",IFERROR(INDEX(SCD_Data!$G$3:$G$502,SUMPRODUCT((SCD_Data!$A$3:$A$502=B376)*(IFERROR(DATEVALUE(SCD_Data!$H$3:$H$502&amp;""),SCD_Data!$H$3:$H$502)&lt;=IFERROR(DATEVALUE(A376&amp;""),A376))*(IFERROR(DATEVALUE(SCD_Data!$I$3:$I$502&amp;""),SCD_Data!$I$3:$I$502)&gt;=IFERROR(DATEVALUE(A376&amp;""),A376))*(ROW(SCD_Data!$A$3:$A$502)-2))),"—"))</f>
        <v/>
      </c>
      <c r="M376" s="27" t="str">
        <f aca="false">IF(A376="","",IF(H376="—","—",IF(C376&amp;""=H376&amp;"","✓","✗")))</f>
        <v/>
      </c>
      <c r="N376" s="27" t="str">
        <f aca="false">IF(A376="","",IF(H376="—","—",IF(D376&amp;""=I376&amp;"","✓","✗")))</f>
        <v/>
      </c>
      <c r="O376" s="27" t="str">
        <f aca="false">IF(A376="","",IF(H376="—","—",IF(ABS(E376-J376)&lt;0.01,"✓","✗")))</f>
        <v/>
      </c>
      <c r="P376" s="27" t="str">
        <f aca="false">IF(A376="","",IF(H376="—","—",IF(F376&amp;""=K376&amp;"","✓","✗")))</f>
        <v/>
      </c>
      <c r="Q376" s="27" t="str">
        <f aca="false">IF(A376="","",IF(H376="—","—",IF(G376&amp;""=L376&amp;"","✓","✗")))</f>
        <v/>
      </c>
      <c r="R376" s="27" t="str">
        <f aca="false">IF(A376="","",IF(COUNTIF(M376:Q376,"—")=5,"⚠ NO SCD ROW",IF(COUNTIF(M376:Q376,"✗")&gt;0,"❌ MISMATCH","✅ MATCH")))</f>
        <v/>
      </c>
    </row>
    <row r="377" customFormat="false" ht="15" hidden="false" customHeight="true" outlineLevel="0" collapsed="false">
      <c r="A377" s="22" t="str">
        <f aca="false">IF(Daily_Data!A376="","",Daily_Data!A376)</f>
        <v/>
      </c>
      <c r="B377" s="23" t="str">
        <f aca="false">IF(Daily_Data!B376="","",Daily_Data!B376)</f>
        <v/>
      </c>
      <c r="C377" s="23" t="str">
        <f aca="false">IF(A377="","",Daily_Data!C376)</f>
        <v/>
      </c>
      <c r="D377" s="23" t="str">
        <f aca="false">IF(A377="","",Daily_Data!D376)</f>
        <v/>
      </c>
      <c r="E377" s="24" t="str">
        <f aca="false">IF(A377="","",Daily_Data!E376)</f>
        <v/>
      </c>
      <c r="F377" s="23" t="str">
        <f aca="false">IF(A377="","",Daily_Data!F376)</f>
        <v/>
      </c>
      <c r="G377" s="23" t="str">
        <f aca="false">IF(A377="","",Daily_Data!G376)</f>
        <v/>
      </c>
      <c r="H377" s="25" t="str">
        <f aca="false">IF(A377="","",IFERROR(INDEX(SCD_Data!$C$3:$C$502,SUMPRODUCT((SCD_Data!$A$3:$A$502=B377)*(IFERROR(DATEVALUE(SCD_Data!$H$3:$H$502&amp;""),SCD_Data!$H$3:$H$502)&lt;=IFERROR(DATEVALUE(A377&amp;""),A377))*(IFERROR(DATEVALUE(SCD_Data!$I$3:$I$502&amp;""),SCD_Data!$I$3:$I$502)&gt;=IFERROR(DATEVALUE(A377&amp;""),A377))*(ROW(SCD_Data!$A$3:$A$502)-2))),"—"))</f>
        <v/>
      </c>
      <c r="I377" s="25" t="str">
        <f aca="false">IF(A377="","",IFERROR(INDEX(SCD_Data!$D$3:$D$502,SUMPRODUCT((SCD_Data!$A$3:$A$502=B377)*(IFERROR(DATEVALUE(SCD_Data!$H$3:$H$502&amp;""),SCD_Data!$H$3:$H$502)&lt;=IFERROR(DATEVALUE(A377&amp;""),A377))*(IFERROR(DATEVALUE(SCD_Data!$I$3:$I$502&amp;""),SCD_Data!$I$3:$I$502)&gt;=IFERROR(DATEVALUE(A377&amp;""),A377))*(ROW(SCD_Data!$A$3:$A$502)-2))),"—"))</f>
        <v/>
      </c>
      <c r="J377" s="26" t="str">
        <f aca="false">IF(A377="","",IFERROR(INDEX(SCD_Data!$E$3:$E$502,SUMPRODUCT((SCD_Data!$A$3:$A$502=B377)*(IFERROR(DATEVALUE(SCD_Data!$H$3:$H$502&amp;""),SCD_Data!$H$3:$H$502)&lt;=IFERROR(DATEVALUE(A377&amp;""),A377))*(IFERROR(DATEVALUE(SCD_Data!$I$3:$I$502&amp;""),SCD_Data!$I$3:$I$502)&gt;=IFERROR(DATEVALUE(A377&amp;""),A377))*(ROW(SCD_Data!$A$3:$A$502)-2))),"—"))</f>
        <v/>
      </c>
      <c r="K377" s="25" t="str">
        <f aca="false">IF(A377="","",IFERROR(INDEX(SCD_Data!$F$3:$F$502,SUMPRODUCT((SCD_Data!$A$3:$A$502=B377)*(IFERROR(DATEVALUE(SCD_Data!$H$3:$H$502&amp;""),SCD_Data!$H$3:$H$502)&lt;=IFERROR(DATEVALUE(A377&amp;""),A377))*(IFERROR(DATEVALUE(SCD_Data!$I$3:$I$502&amp;""),SCD_Data!$I$3:$I$502)&gt;=IFERROR(DATEVALUE(A377&amp;""),A377))*(ROW(SCD_Data!$A$3:$A$502)-2))),"—"))</f>
        <v/>
      </c>
      <c r="L377" s="25" t="str">
        <f aca="false">IF(A377="","",IFERROR(INDEX(SCD_Data!$G$3:$G$502,SUMPRODUCT((SCD_Data!$A$3:$A$502=B377)*(IFERROR(DATEVALUE(SCD_Data!$H$3:$H$502&amp;""),SCD_Data!$H$3:$H$502)&lt;=IFERROR(DATEVALUE(A377&amp;""),A377))*(IFERROR(DATEVALUE(SCD_Data!$I$3:$I$502&amp;""),SCD_Data!$I$3:$I$502)&gt;=IFERROR(DATEVALUE(A377&amp;""),A377))*(ROW(SCD_Data!$A$3:$A$502)-2))),"—"))</f>
        <v/>
      </c>
      <c r="M377" s="27" t="str">
        <f aca="false">IF(A377="","",IF(H377="—","—",IF(C377&amp;""=H377&amp;"","✓","✗")))</f>
        <v/>
      </c>
      <c r="N377" s="27" t="str">
        <f aca="false">IF(A377="","",IF(H377="—","—",IF(D377&amp;""=I377&amp;"","✓","✗")))</f>
        <v/>
      </c>
      <c r="O377" s="27" t="str">
        <f aca="false">IF(A377="","",IF(H377="—","—",IF(ABS(E377-J377)&lt;0.01,"✓","✗")))</f>
        <v/>
      </c>
      <c r="P377" s="27" t="str">
        <f aca="false">IF(A377="","",IF(H377="—","—",IF(F377&amp;""=K377&amp;"","✓","✗")))</f>
        <v/>
      </c>
      <c r="Q377" s="27" t="str">
        <f aca="false">IF(A377="","",IF(H377="—","—",IF(G377&amp;""=L377&amp;"","✓","✗")))</f>
        <v/>
      </c>
      <c r="R377" s="27" t="str">
        <f aca="false">IF(A377="","",IF(COUNTIF(M377:Q377,"—")=5,"⚠ NO SCD ROW",IF(COUNTIF(M377:Q377,"✗")&gt;0,"❌ MISMATCH","✅ MATCH")))</f>
        <v/>
      </c>
    </row>
    <row r="378" customFormat="false" ht="15" hidden="false" customHeight="true" outlineLevel="0" collapsed="false">
      <c r="A378" s="22" t="str">
        <f aca="false">IF(Daily_Data!A377="","",Daily_Data!A377)</f>
        <v/>
      </c>
      <c r="B378" s="23" t="str">
        <f aca="false">IF(Daily_Data!B377="","",Daily_Data!B377)</f>
        <v/>
      </c>
      <c r="C378" s="23" t="str">
        <f aca="false">IF(A378="","",Daily_Data!C377)</f>
        <v/>
      </c>
      <c r="D378" s="23" t="str">
        <f aca="false">IF(A378="","",Daily_Data!D377)</f>
        <v/>
      </c>
      <c r="E378" s="24" t="str">
        <f aca="false">IF(A378="","",Daily_Data!E377)</f>
        <v/>
      </c>
      <c r="F378" s="23" t="str">
        <f aca="false">IF(A378="","",Daily_Data!F377)</f>
        <v/>
      </c>
      <c r="G378" s="23" t="str">
        <f aca="false">IF(A378="","",Daily_Data!G377)</f>
        <v/>
      </c>
      <c r="H378" s="25" t="str">
        <f aca="false">IF(A378="","",IFERROR(INDEX(SCD_Data!$C$3:$C$502,SUMPRODUCT((SCD_Data!$A$3:$A$502=B378)*(IFERROR(DATEVALUE(SCD_Data!$H$3:$H$502&amp;""),SCD_Data!$H$3:$H$502)&lt;=IFERROR(DATEVALUE(A378&amp;""),A378))*(IFERROR(DATEVALUE(SCD_Data!$I$3:$I$502&amp;""),SCD_Data!$I$3:$I$502)&gt;=IFERROR(DATEVALUE(A378&amp;""),A378))*(ROW(SCD_Data!$A$3:$A$502)-2))),"—"))</f>
        <v/>
      </c>
      <c r="I378" s="25" t="str">
        <f aca="false">IF(A378="","",IFERROR(INDEX(SCD_Data!$D$3:$D$502,SUMPRODUCT((SCD_Data!$A$3:$A$502=B378)*(IFERROR(DATEVALUE(SCD_Data!$H$3:$H$502&amp;""),SCD_Data!$H$3:$H$502)&lt;=IFERROR(DATEVALUE(A378&amp;""),A378))*(IFERROR(DATEVALUE(SCD_Data!$I$3:$I$502&amp;""),SCD_Data!$I$3:$I$502)&gt;=IFERROR(DATEVALUE(A378&amp;""),A378))*(ROW(SCD_Data!$A$3:$A$502)-2))),"—"))</f>
        <v/>
      </c>
      <c r="J378" s="26" t="str">
        <f aca="false">IF(A378="","",IFERROR(INDEX(SCD_Data!$E$3:$E$502,SUMPRODUCT((SCD_Data!$A$3:$A$502=B378)*(IFERROR(DATEVALUE(SCD_Data!$H$3:$H$502&amp;""),SCD_Data!$H$3:$H$502)&lt;=IFERROR(DATEVALUE(A378&amp;""),A378))*(IFERROR(DATEVALUE(SCD_Data!$I$3:$I$502&amp;""),SCD_Data!$I$3:$I$502)&gt;=IFERROR(DATEVALUE(A378&amp;""),A378))*(ROW(SCD_Data!$A$3:$A$502)-2))),"—"))</f>
        <v/>
      </c>
      <c r="K378" s="25" t="str">
        <f aca="false">IF(A378="","",IFERROR(INDEX(SCD_Data!$F$3:$F$502,SUMPRODUCT((SCD_Data!$A$3:$A$502=B378)*(IFERROR(DATEVALUE(SCD_Data!$H$3:$H$502&amp;""),SCD_Data!$H$3:$H$502)&lt;=IFERROR(DATEVALUE(A378&amp;""),A378))*(IFERROR(DATEVALUE(SCD_Data!$I$3:$I$502&amp;""),SCD_Data!$I$3:$I$502)&gt;=IFERROR(DATEVALUE(A378&amp;""),A378))*(ROW(SCD_Data!$A$3:$A$502)-2))),"—"))</f>
        <v/>
      </c>
      <c r="L378" s="25" t="str">
        <f aca="false">IF(A378="","",IFERROR(INDEX(SCD_Data!$G$3:$G$502,SUMPRODUCT((SCD_Data!$A$3:$A$502=B378)*(IFERROR(DATEVALUE(SCD_Data!$H$3:$H$502&amp;""),SCD_Data!$H$3:$H$502)&lt;=IFERROR(DATEVALUE(A378&amp;""),A378))*(IFERROR(DATEVALUE(SCD_Data!$I$3:$I$502&amp;""),SCD_Data!$I$3:$I$502)&gt;=IFERROR(DATEVALUE(A378&amp;""),A378))*(ROW(SCD_Data!$A$3:$A$502)-2))),"—"))</f>
        <v/>
      </c>
      <c r="M378" s="27" t="str">
        <f aca="false">IF(A378="","",IF(H378="—","—",IF(C378&amp;""=H378&amp;"","✓","✗")))</f>
        <v/>
      </c>
      <c r="N378" s="27" t="str">
        <f aca="false">IF(A378="","",IF(H378="—","—",IF(D378&amp;""=I378&amp;"","✓","✗")))</f>
        <v/>
      </c>
      <c r="O378" s="27" t="str">
        <f aca="false">IF(A378="","",IF(H378="—","—",IF(ABS(E378-J378)&lt;0.01,"✓","✗")))</f>
        <v/>
      </c>
      <c r="P378" s="27" t="str">
        <f aca="false">IF(A378="","",IF(H378="—","—",IF(F378&amp;""=K378&amp;"","✓","✗")))</f>
        <v/>
      </c>
      <c r="Q378" s="27" t="str">
        <f aca="false">IF(A378="","",IF(H378="—","—",IF(G378&amp;""=L378&amp;"","✓","✗")))</f>
        <v/>
      </c>
      <c r="R378" s="27" t="str">
        <f aca="false">IF(A378="","",IF(COUNTIF(M378:Q378,"—")=5,"⚠ NO SCD ROW",IF(COUNTIF(M378:Q378,"✗")&gt;0,"❌ MISMATCH","✅ MATCH")))</f>
        <v/>
      </c>
    </row>
    <row r="379" customFormat="false" ht="15" hidden="false" customHeight="true" outlineLevel="0" collapsed="false">
      <c r="A379" s="22" t="str">
        <f aca="false">IF(Daily_Data!A378="","",Daily_Data!A378)</f>
        <v/>
      </c>
      <c r="B379" s="23" t="str">
        <f aca="false">IF(Daily_Data!B378="","",Daily_Data!B378)</f>
        <v/>
      </c>
      <c r="C379" s="23" t="str">
        <f aca="false">IF(A379="","",Daily_Data!C378)</f>
        <v/>
      </c>
      <c r="D379" s="23" t="str">
        <f aca="false">IF(A379="","",Daily_Data!D378)</f>
        <v/>
      </c>
      <c r="E379" s="24" t="str">
        <f aca="false">IF(A379="","",Daily_Data!E378)</f>
        <v/>
      </c>
      <c r="F379" s="23" t="str">
        <f aca="false">IF(A379="","",Daily_Data!F378)</f>
        <v/>
      </c>
      <c r="G379" s="23" t="str">
        <f aca="false">IF(A379="","",Daily_Data!G378)</f>
        <v/>
      </c>
      <c r="H379" s="25" t="str">
        <f aca="false">IF(A379="","",IFERROR(INDEX(SCD_Data!$C$3:$C$502,SUMPRODUCT((SCD_Data!$A$3:$A$502=B379)*(IFERROR(DATEVALUE(SCD_Data!$H$3:$H$502&amp;""),SCD_Data!$H$3:$H$502)&lt;=IFERROR(DATEVALUE(A379&amp;""),A379))*(IFERROR(DATEVALUE(SCD_Data!$I$3:$I$502&amp;""),SCD_Data!$I$3:$I$502)&gt;=IFERROR(DATEVALUE(A379&amp;""),A379))*(ROW(SCD_Data!$A$3:$A$502)-2))),"—"))</f>
        <v/>
      </c>
      <c r="I379" s="25" t="str">
        <f aca="false">IF(A379="","",IFERROR(INDEX(SCD_Data!$D$3:$D$502,SUMPRODUCT((SCD_Data!$A$3:$A$502=B379)*(IFERROR(DATEVALUE(SCD_Data!$H$3:$H$502&amp;""),SCD_Data!$H$3:$H$502)&lt;=IFERROR(DATEVALUE(A379&amp;""),A379))*(IFERROR(DATEVALUE(SCD_Data!$I$3:$I$502&amp;""),SCD_Data!$I$3:$I$502)&gt;=IFERROR(DATEVALUE(A379&amp;""),A379))*(ROW(SCD_Data!$A$3:$A$502)-2))),"—"))</f>
        <v/>
      </c>
      <c r="J379" s="26" t="str">
        <f aca="false">IF(A379="","",IFERROR(INDEX(SCD_Data!$E$3:$E$502,SUMPRODUCT((SCD_Data!$A$3:$A$502=B379)*(IFERROR(DATEVALUE(SCD_Data!$H$3:$H$502&amp;""),SCD_Data!$H$3:$H$502)&lt;=IFERROR(DATEVALUE(A379&amp;""),A379))*(IFERROR(DATEVALUE(SCD_Data!$I$3:$I$502&amp;""),SCD_Data!$I$3:$I$502)&gt;=IFERROR(DATEVALUE(A379&amp;""),A379))*(ROW(SCD_Data!$A$3:$A$502)-2))),"—"))</f>
        <v/>
      </c>
      <c r="K379" s="25" t="str">
        <f aca="false">IF(A379="","",IFERROR(INDEX(SCD_Data!$F$3:$F$502,SUMPRODUCT((SCD_Data!$A$3:$A$502=B379)*(IFERROR(DATEVALUE(SCD_Data!$H$3:$H$502&amp;""),SCD_Data!$H$3:$H$502)&lt;=IFERROR(DATEVALUE(A379&amp;""),A379))*(IFERROR(DATEVALUE(SCD_Data!$I$3:$I$502&amp;""),SCD_Data!$I$3:$I$502)&gt;=IFERROR(DATEVALUE(A379&amp;""),A379))*(ROW(SCD_Data!$A$3:$A$502)-2))),"—"))</f>
        <v/>
      </c>
      <c r="L379" s="25" t="str">
        <f aca="false">IF(A379="","",IFERROR(INDEX(SCD_Data!$G$3:$G$502,SUMPRODUCT((SCD_Data!$A$3:$A$502=B379)*(IFERROR(DATEVALUE(SCD_Data!$H$3:$H$502&amp;""),SCD_Data!$H$3:$H$502)&lt;=IFERROR(DATEVALUE(A379&amp;""),A379))*(IFERROR(DATEVALUE(SCD_Data!$I$3:$I$502&amp;""),SCD_Data!$I$3:$I$502)&gt;=IFERROR(DATEVALUE(A379&amp;""),A379))*(ROW(SCD_Data!$A$3:$A$502)-2))),"—"))</f>
        <v/>
      </c>
      <c r="M379" s="27" t="str">
        <f aca="false">IF(A379="","",IF(H379="—","—",IF(C379&amp;""=H379&amp;"","✓","✗")))</f>
        <v/>
      </c>
      <c r="N379" s="27" t="str">
        <f aca="false">IF(A379="","",IF(H379="—","—",IF(D379&amp;""=I379&amp;"","✓","✗")))</f>
        <v/>
      </c>
      <c r="O379" s="27" t="str">
        <f aca="false">IF(A379="","",IF(H379="—","—",IF(ABS(E379-J379)&lt;0.01,"✓","✗")))</f>
        <v/>
      </c>
      <c r="P379" s="27" t="str">
        <f aca="false">IF(A379="","",IF(H379="—","—",IF(F379&amp;""=K379&amp;"","✓","✗")))</f>
        <v/>
      </c>
      <c r="Q379" s="27" t="str">
        <f aca="false">IF(A379="","",IF(H379="—","—",IF(G379&amp;""=L379&amp;"","✓","✗")))</f>
        <v/>
      </c>
      <c r="R379" s="27" t="str">
        <f aca="false">IF(A379="","",IF(COUNTIF(M379:Q379,"—")=5,"⚠ NO SCD ROW",IF(COUNTIF(M379:Q379,"✗")&gt;0,"❌ MISMATCH","✅ MATCH")))</f>
        <v/>
      </c>
    </row>
    <row r="380" customFormat="false" ht="15" hidden="false" customHeight="true" outlineLevel="0" collapsed="false">
      <c r="A380" s="22" t="str">
        <f aca="false">IF(Daily_Data!A379="","",Daily_Data!A379)</f>
        <v/>
      </c>
      <c r="B380" s="23" t="str">
        <f aca="false">IF(Daily_Data!B379="","",Daily_Data!B379)</f>
        <v/>
      </c>
      <c r="C380" s="23" t="str">
        <f aca="false">IF(A380="","",Daily_Data!C379)</f>
        <v/>
      </c>
      <c r="D380" s="23" t="str">
        <f aca="false">IF(A380="","",Daily_Data!D379)</f>
        <v/>
      </c>
      <c r="E380" s="24" t="str">
        <f aca="false">IF(A380="","",Daily_Data!E379)</f>
        <v/>
      </c>
      <c r="F380" s="23" t="str">
        <f aca="false">IF(A380="","",Daily_Data!F379)</f>
        <v/>
      </c>
      <c r="G380" s="23" t="str">
        <f aca="false">IF(A380="","",Daily_Data!G379)</f>
        <v/>
      </c>
      <c r="H380" s="25" t="str">
        <f aca="false">IF(A380="","",IFERROR(INDEX(SCD_Data!$C$3:$C$502,SUMPRODUCT((SCD_Data!$A$3:$A$502=B380)*(IFERROR(DATEVALUE(SCD_Data!$H$3:$H$502&amp;""),SCD_Data!$H$3:$H$502)&lt;=IFERROR(DATEVALUE(A380&amp;""),A380))*(IFERROR(DATEVALUE(SCD_Data!$I$3:$I$502&amp;""),SCD_Data!$I$3:$I$502)&gt;=IFERROR(DATEVALUE(A380&amp;""),A380))*(ROW(SCD_Data!$A$3:$A$502)-2))),"—"))</f>
        <v/>
      </c>
      <c r="I380" s="25" t="str">
        <f aca="false">IF(A380="","",IFERROR(INDEX(SCD_Data!$D$3:$D$502,SUMPRODUCT((SCD_Data!$A$3:$A$502=B380)*(IFERROR(DATEVALUE(SCD_Data!$H$3:$H$502&amp;""),SCD_Data!$H$3:$H$502)&lt;=IFERROR(DATEVALUE(A380&amp;""),A380))*(IFERROR(DATEVALUE(SCD_Data!$I$3:$I$502&amp;""),SCD_Data!$I$3:$I$502)&gt;=IFERROR(DATEVALUE(A380&amp;""),A380))*(ROW(SCD_Data!$A$3:$A$502)-2))),"—"))</f>
        <v/>
      </c>
      <c r="J380" s="26" t="str">
        <f aca="false">IF(A380="","",IFERROR(INDEX(SCD_Data!$E$3:$E$502,SUMPRODUCT((SCD_Data!$A$3:$A$502=B380)*(IFERROR(DATEVALUE(SCD_Data!$H$3:$H$502&amp;""),SCD_Data!$H$3:$H$502)&lt;=IFERROR(DATEVALUE(A380&amp;""),A380))*(IFERROR(DATEVALUE(SCD_Data!$I$3:$I$502&amp;""),SCD_Data!$I$3:$I$502)&gt;=IFERROR(DATEVALUE(A380&amp;""),A380))*(ROW(SCD_Data!$A$3:$A$502)-2))),"—"))</f>
        <v/>
      </c>
      <c r="K380" s="25" t="str">
        <f aca="false">IF(A380="","",IFERROR(INDEX(SCD_Data!$F$3:$F$502,SUMPRODUCT((SCD_Data!$A$3:$A$502=B380)*(IFERROR(DATEVALUE(SCD_Data!$H$3:$H$502&amp;""),SCD_Data!$H$3:$H$502)&lt;=IFERROR(DATEVALUE(A380&amp;""),A380))*(IFERROR(DATEVALUE(SCD_Data!$I$3:$I$502&amp;""),SCD_Data!$I$3:$I$502)&gt;=IFERROR(DATEVALUE(A380&amp;""),A380))*(ROW(SCD_Data!$A$3:$A$502)-2))),"—"))</f>
        <v/>
      </c>
      <c r="L380" s="25" t="str">
        <f aca="false">IF(A380="","",IFERROR(INDEX(SCD_Data!$G$3:$G$502,SUMPRODUCT((SCD_Data!$A$3:$A$502=B380)*(IFERROR(DATEVALUE(SCD_Data!$H$3:$H$502&amp;""),SCD_Data!$H$3:$H$502)&lt;=IFERROR(DATEVALUE(A380&amp;""),A380))*(IFERROR(DATEVALUE(SCD_Data!$I$3:$I$502&amp;""),SCD_Data!$I$3:$I$502)&gt;=IFERROR(DATEVALUE(A380&amp;""),A380))*(ROW(SCD_Data!$A$3:$A$502)-2))),"—"))</f>
        <v/>
      </c>
      <c r="M380" s="27" t="str">
        <f aca="false">IF(A380="","",IF(H380="—","—",IF(C380&amp;""=H380&amp;"","✓","✗")))</f>
        <v/>
      </c>
      <c r="N380" s="27" t="str">
        <f aca="false">IF(A380="","",IF(H380="—","—",IF(D380&amp;""=I380&amp;"","✓","✗")))</f>
        <v/>
      </c>
      <c r="O380" s="27" t="str">
        <f aca="false">IF(A380="","",IF(H380="—","—",IF(ABS(E380-J380)&lt;0.01,"✓","✗")))</f>
        <v/>
      </c>
      <c r="P380" s="27" t="str">
        <f aca="false">IF(A380="","",IF(H380="—","—",IF(F380&amp;""=K380&amp;"","✓","✗")))</f>
        <v/>
      </c>
      <c r="Q380" s="27" t="str">
        <f aca="false">IF(A380="","",IF(H380="—","—",IF(G380&amp;""=L380&amp;"","✓","✗")))</f>
        <v/>
      </c>
      <c r="R380" s="27" t="str">
        <f aca="false">IF(A380="","",IF(COUNTIF(M380:Q380,"—")=5,"⚠ NO SCD ROW",IF(COUNTIF(M380:Q380,"✗")&gt;0,"❌ MISMATCH","✅ MATCH")))</f>
        <v/>
      </c>
    </row>
    <row r="381" customFormat="false" ht="15" hidden="false" customHeight="true" outlineLevel="0" collapsed="false">
      <c r="A381" s="22" t="str">
        <f aca="false">IF(Daily_Data!A380="","",Daily_Data!A380)</f>
        <v/>
      </c>
      <c r="B381" s="23" t="str">
        <f aca="false">IF(Daily_Data!B380="","",Daily_Data!B380)</f>
        <v/>
      </c>
      <c r="C381" s="23" t="str">
        <f aca="false">IF(A381="","",Daily_Data!C380)</f>
        <v/>
      </c>
      <c r="D381" s="23" t="str">
        <f aca="false">IF(A381="","",Daily_Data!D380)</f>
        <v/>
      </c>
      <c r="E381" s="24" t="str">
        <f aca="false">IF(A381="","",Daily_Data!E380)</f>
        <v/>
      </c>
      <c r="F381" s="23" t="str">
        <f aca="false">IF(A381="","",Daily_Data!F380)</f>
        <v/>
      </c>
      <c r="G381" s="23" t="str">
        <f aca="false">IF(A381="","",Daily_Data!G380)</f>
        <v/>
      </c>
      <c r="H381" s="25" t="str">
        <f aca="false">IF(A381="","",IFERROR(INDEX(SCD_Data!$C$3:$C$502,SUMPRODUCT((SCD_Data!$A$3:$A$502=B381)*(IFERROR(DATEVALUE(SCD_Data!$H$3:$H$502&amp;""),SCD_Data!$H$3:$H$502)&lt;=IFERROR(DATEVALUE(A381&amp;""),A381))*(IFERROR(DATEVALUE(SCD_Data!$I$3:$I$502&amp;""),SCD_Data!$I$3:$I$502)&gt;=IFERROR(DATEVALUE(A381&amp;""),A381))*(ROW(SCD_Data!$A$3:$A$502)-2))),"—"))</f>
        <v/>
      </c>
      <c r="I381" s="25" t="str">
        <f aca="false">IF(A381="","",IFERROR(INDEX(SCD_Data!$D$3:$D$502,SUMPRODUCT((SCD_Data!$A$3:$A$502=B381)*(IFERROR(DATEVALUE(SCD_Data!$H$3:$H$502&amp;""),SCD_Data!$H$3:$H$502)&lt;=IFERROR(DATEVALUE(A381&amp;""),A381))*(IFERROR(DATEVALUE(SCD_Data!$I$3:$I$502&amp;""),SCD_Data!$I$3:$I$502)&gt;=IFERROR(DATEVALUE(A381&amp;""),A381))*(ROW(SCD_Data!$A$3:$A$502)-2))),"—"))</f>
        <v/>
      </c>
      <c r="J381" s="26" t="str">
        <f aca="false">IF(A381="","",IFERROR(INDEX(SCD_Data!$E$3:$E$502,SUMPRODUCT((SCD_Data!$A$3:$A$502=B381)*(IFERROR(DATEVALUE(SCD_Data!$H$3:$H$502&amp;""),SCD_Data!$H$3:$H$502)&lt;=IFERROR(DATEVALUE(A381&amp;""),A381))*(IFERROR(DATEVALUE(SCD_Data!$I$3:$I$502&amp;""),SCD_Data!$I$3:$I$502)&gt;=IFERROR(DATEVALUE(A381&amp;""),A381))*(ROW(SCD_Data!$A$3:$A$502)-2))),"—"))</f>
        <v/>
      </c>
      <c r="K381" s="25" t="str">
        <f aca="false">IF(A381="","",IFERROR(INDEX(SCD_Data!$F$3:$F$502,SUMPRODUCT((SCD_Data!$A$3:$A$502=B381)*(IFERROR(DATEVALUE(SCD_Data!$H$3:$H$502&amp;""),SCD_Data!$H$3:$H$502)&lt;=IFERROR(DATEVALUE(A381&amp;""),A381))*(IFERROR(DATEVALUE(SCD_Data!$I$3:$I$502&amp;""),SCD_Data!$I$3:$I$502)&gt;=IFERROR(DATEVALUE(A381&amp;""),A381))*(ROW(SCD_Data!$A$3:$A$502)-2))),"—"))</f>
        <v/>
      </c>
      <c r="L381" s="25" t="str">
        <f aca="false">IF(A381="","",IFERROR(INDEX(SCD_Data!$G$3:$G$502,SUMPRODUCT((SCD_Data!$A$3:$A$502=B381)*(IFERROR(DATEVALUE(SCD_Data!$H$3:$H$502&amp;""),SCD_Data!$H$3:$H$502)&lt;=IFERROR(DATEVALUE(A381&amp;""),A381))*(IFERROR(DATEVALUE(SCD_Data!$I$3:$I$502&amp;""),SCD_Data!$I$3:$I$502)&gt;=IFERROR(DATEVALUE(A381&amp;""),A381))*(ROW(SCD_Data!$A$3:$A$502)-2))),"—"))</f>
        <v/>
      </c>
      <c r="M381" s="27" t="str">
        <f aca="false">IF(A381="","",IF(H381="—","—",IF(C381&amp;""=H381&amp;"","✓","✗")))</f>
        <v/>
      </c>
      <c r="N381" s="27" t="str">
        <f aca="false">IF(A381="","",IF(H381="—","—",IF(D381&amp;""=I381&amp;"","✓","✗")))</f>
        <v/>
      </c>
      <c r="O381" s="27" t="str">
        <f aca="false">IF(A381="","",IF(H381="—","—",IF(ABS(E381-J381)&lt;0.01,"✓","✗")))</f>
        <v/>
      </c>
      <c r="P381" s="27" t="str">
        <f aca="false">IF(A381="","",IF(H381="—","—",IF(F381&amp;""=K381&amp;"","✓","✗")))</f>
        <v/>
      </c>
      <c r="Q381" s="27" t="str">
        <f aca="false">IF(A381="","",IF(H381="—","—",IF(G381&amp;""=L381&amp;"","✓","✗")))</f>
        <v/>
      </c>
      <c r="R381" s="27" t="str">
        <f aca="false">IF(A381="","",IF(COUNTIF(M381:Q381,"—")=5,"⚠ NO SCD ROW",IF(COUNTIF(M381:Q381,"✗")&gt;0,"❌ MISMATCH","✅ MATCH")))</f>
        <v/>
      </c>
    </row>
    <row r="382" customFormat="false" ht="15" hidden="false" customHeight="true" outlineLevel="0" collapsed="false">
      <c r="A382" s="22" t="str">
        <f aca="false">IF(Daily_Data!A381="","",Daily_Data!A381)</f>
        <v/>
      </c>
      <c r="B382" s="23" t="str">
        <f aca="false">IF(Daily_Data!B381="","",Daily_Data!B381)</f>
        <v/>
      </c>
      <c r="C382" s="23" t="str">
        <f aca="false">IF(A382="","",Daily_Data!C381)</f>
        <v/>
      </c>
      <c r="D382" s="23" t="str">
        <f aca="false">IF(A382="","",Daily_Data!D381)</f>
        <v/>
      </c>
      <c r="E382" s="24" t="str">
        <f aca="false">IF(A382="","",Daily_Data!E381)</f>
        <v/>
      </c>
      <c r="F382" s="23" t="str">
        <f aca="false">IF(A382="","",Daily_Data!F381)</f>
        <v/>
      </c>
      <c r="G382" s="23" t="str">
        <f aca="false">IF(A382="","",Daily_Data!G381)</f>
        <v/>
      </c>
      <c r="H382" s="25" t="str">
        <f aca="false">IF(A382="","",IFERROR(INDEX(SCD_Data!$C$3:$C$502,SUMPRODUCT((SCD_Data!$A$3:$A$502=B382)*(IFERROR(DATEVALUE(SCD_Data!$H$3:$H$502&amp;""),SCD_Data!$H$3:$H$502)&lt;=IFERROR(DATEVALUE(A382&amp;""),A382))*(IFERROR(DATEVALUE(SCD_Data!$I$3:$I$502&amp;""),SCD_Data!$I$3:$I$502)&gt;=IFERROR(DATEVALUE(A382&amp;""),A382))*(ROW(SCD_Data!$A$3:$A$502)-2))),"—"))</f>
        <v/>
      </c>
      <c r="I382" s="25" t="str">
        <f aca="false">IF(A382="","",IFERROR(INDEX(SCD_Data!$D$3:$D$502,SUMPRODUCT((SCD_Data!$A$3:$A$502=B382)*(IFERROR(DATEVALUE(SCD_Data!$H$3:$H$502&amp;""),SCD_Data!$H$3:$H$502)&lt;=IFERROR(DATEVALUE(A382&amp;""),A382))*(IFERROR(DATEVALUE(SCD_Data!$I$3:$I$502&amp;""),SCD_Data!$I$3:$I$502)&gt;=IFERROR(DATEVALUE(A382&amp;""),A382))*(ROW(SCD_Data!$A$3:$A$502)-2))),"—"))</f>
        <v/>
      </c>
      <c r="J382" s="26" t="str">
        <f aca="false">IF(A382="","",IFERROR(INDEX(SCD_Data!$E$3:$E$502,SUMPRODUCT((SCD_Data!$A$3:$A$502=B382)*(IFERROR(DATEVALUE(SCD_Data!$H$3:$H$502&amp;""),SCD_Data!$H$3:$H$502)&lt;=IFERROR(DATEVALUE(A382&amp;""),A382))*(IFERROR(DATEVALUE(SCD_Data!$I$3:$I$502&amp;""),SCD_Data!$I$3:$I$502)&gt;=IFERROR(DATEVALUE(A382&amp;""),A382))*(ROW(SCD_Data!$A$3:$A$502)-2))),"—"))</f>
        <v/>
      </c>
      <c r="K382" s="25" t="str">
        <f aca="false">IF(A382="","",IFERROR(INDEX(SCD_Data!$F$3:$F$502,SUMPRODUCT((SCD_Data!$A$3:$A$502=B382)*(IFERROR(DATEVALUE(SCD_Data!$H$3:$H$502&amp;""),SCD_Data!$H$3:$H$502)&lt;=IFERROR(DATEVALUE(A382&amp;""),A382))*(IFERROR(DATEVALUE(SCD_Data!$I$3:$I$502&amp;""),SCD_Data!$I$3:$I$502)&gt;=IFERROR(DATEVALUE(A382&amp;""),A382))*(ROW(SCD_Data!$A$3:$A$502)-2))),"—"))</f>
        <v/>
      </c>
      <c r="L382" s="25" t="str">
        <f aca="false">IF(A382="","",IFERROR(INDEX(SCD_Data!$G$3:$G$502,SUMPRODUCT((SCD_Data!$A$3:$A$502=B382)*(IFERROR(DATEVALUE(SCD_Data!$H$3:$H$502&amp;""),SCD_Data!$H$3:$H$502)&lt;=IFERROR(DATEVALUE(A382&amp;""),A382))*(IFERROR(DATEVALUE(SCD_Data!$I$3:$I$502&amp;""),SCD_Data!$I$3:$I$502)&gt;=IFERROR(DATEVALUE(A382&amp;""),A382))*(ROW(SCD_Data!$A$3:$A$502)-2))),"—"))</f>
        <v/>
      </c>
      <c r="M382" s="27" t="str">
        <f aca="false">IF(A382="","",IF(H382="—","—",IF(C382&amp;""=H382&amp;"","✓","✗")))</f>
        <v/>
      </c>
      <c r="N382" s="27" t="str">
        <f aca="false">IF(A382="","",IF(H382="—","—",IF(D382&amp;""=I382&amp;"","✓","✗")))</f>
        <v/>
      </c>
      <c r="O382" s="27" t="str">
        <f aca="false">IF(A382="","",IF(H382="—","—",IF(ABS(E382-J382)&lt;0.01,"✓","✗")))</f>
        <v/>
      </c>
      <c r="P382" s="27" t="str">
        <f aca="false">IF(A382="","",IF(H382="—","—",IF(F382&amp;""=K382&amp;"","✓","✗")))</f>
        <v/>
      </c>
      <c r="Q382" s="27" t="str">
        <f aca="false">IF(A382="","",IF(H382="—","—",IF(G382&amp;""=L382&amp;"","✓","✗")))</f>
        <v/>
      </c>
      <c r="R382" s="27" t="str">
        <f aca="false">IF(A382="","",IF(COUNTIF(M382:Q382,"—")=5,"⚠ NO SCD ROW",IF(COUNTIF(M382:Q382,"✗")&gt;0,"❌ MISMATCH","✅ MATCH")))</f>
        <v/>
      </c>
    </row>
    <row r="383" customFormat="false" ht="15" hidden="false" customHeight="true" outlineLevel="0" collapsed="false">
      <c r="A383" s="22" t="str">
        <f aca="false">IF(Daily_Data!A382="","",Daily_Data!A382)</f>
        <v/>
      </c>
      <c r="B383" s="23" t="str">
        <f aca="false">IF(Daily_Data!B382="","",Daily_Data!B382)</f>
        <v/>
      </c>
      <c r="C383" s="23" t="str">
        <f aca="false">IF(A383="","",Daily_Data!C382)</f>
        <v/>
      </c>
      <c r="D383" s="23" t="str">
        <f aca="false">IF(A383="","",Daily_Data!D382)</f>
        <v/>
      </c>
      <c r="E383" s="24" t="str">
        <f aca="false">IF(A383="","",Daily_Data!E382)</f>
        <v/>
      </c>
      <c r="F383" s="23" t="str">
        <f aca="false">IF(A383="","",Daily_Data!F382)</f>
        <v/>
      </c>
      <c r="G383" s="23" t="str">
        <f aca="false">IF(A383="","",Daily_Data!G382)</f>
        <v/>
      </c>
      <c r="H383" s="25" t="str">
        <f aca="false">IF(A383="","",IFERROR(INDEX(SCD_Data!$C$3:$C$502,SUMPRODUCT((SCD_Data!$A$3:$A$502=B383)*(IFERROR(DATEVALUE(SCD_Data!$H$3:$H$502&amp;""),SCD_Data!$H$3:$H$502)&lt;=IFERROR(DATEVALUE(A383&amp;""),A383))*(IFERROR(DATEVALUE(SCD_Data!$I$3:$I$502&amp;""),SCD_Data!$I$3:$I$502)&gt;=IFERROR(DATEVALUE(A383&amp;""),A383))*(ROW(SCD_Data!$A$3:$A$502)-2))),"—"))</f>
        <v/>
      </c>
      <c r="I383" s="25" t="str">
        <f aca="false">IF(A383="","",IFERROR(INDEX(SCD_Data!$D$3:$D$502,SUMPRODUCT((SCD_Data!$A$3:$A$502=B383)*(IFERROR(DATEVALUE(SCD_Data!$H$3:$H$502&amp;""),SCD_Data!$H$3:$H$502)&lt;=IFERROR(DATEVALUE(A383&amp;""),A383))*(IFERROR(DATEVALUE(SCD_Data!$I$3:$I$502&amp;""),SCD_Data!$I$3:$I$502)&gt;=IFERROR(DATEVALUE(A383&amp;""),A383))*(ROW(SCD_Data!$A$3:$A$502)-2))),"—"))</f>
        <v/>
      </c>
      <c r="J383" s="26" t="str">
        <f aca="false">IF(A383="","",IFERROR(INDEX(SCD_Data!$E$3:$E$502,SUMPRODUCT((SCD_Data!$A$3:$A$502=B383)*(IFERROR(DATEVALUE(SCD_Data!$H$3:$H$502&amp;""),SCD_Data!$H$3:$H$502)&lt;=IFERROR(DATEVALUE(A383&amp;""),A383))*(IFERROR(DATEVALUE(SCD_Data!$I$3:$I$502&amp;""),SCD_Data!$I$3:$I$502)&gt;=IFERROR(DATEVALUE(A383&amp;""),A383))*(ROW(SCD_Data!$A$3:$A$502)-2))),"—"))</f>
        <v/>
      </c>
      <c r="K383" s="25" t="str">
        <f aca="false">IF(A383="","",IFERROR(INDEX(SCD_Data!$F$3:$F$502,SUMPRODUCT((SCD_Data!$A$3:$A$502=B383)*(IFERROR(DATEVALUE(SCD_Data!$H$3:$H$502&amp;""),SCD_Data!$H$3:$H$502)&lt;=IFERROR(DATEVALUE(A383&amp;""),A383))*(IFERROR(DATEVALUE(SCD_Data!$I$3:$I$502&amp;""),SCD_Data!$I$3:$I$502)&gt;=IFERROR(DATEVALUE(A383&amp;""),A383))*(ROW(SCD_Data!$A$3:$A$502)-2))),"—"))</f>
        <v/>
      </c>
      <c r="L383" s="25" t="str">
        <f aca="false">IF(A383="","",IFERROR(INDEX(SCD_Data!$G$3:$G$502,SUMPRODUCT((SCD_Data!$A$3:$A$502=B383)*(IFERROR(DATEVALUE(SCD_Data!$H$3:$H$502&amp;""),SCD_Data!$H$3:$H$502)&lt;=IFERROR(DATEVALUE(A383&amp;""),A383))*(IFERROR(DATEVALUE(SCD_Data!$I$3:$I$502&amp;""),SCD_Data!$I$3:$I$502)&gt;=IFERROR(DATEVALUE(A383&amp;""),A383))*(ROW(SCD_Data!$A$3:$A$502)-2))),"—"))</f>
        <v/>
      </c>
      <c r="M383" s="27" t="str">
        <f aca="false">IF(A383="","",IF(H383="—","—",IF(C383&amp;""=H383&amp;"","✓","✗")))</f>
        <v/>
      </c>
      <c r="N383" s="27" t="str">
        <f aca="false">IF(A383="","",IF(H383="—","—",IF(D383&amp;""=I383&amp;"","✓","✗")))</f>
        <v/>
      </c>
      <c r="O383" s="27" t="str">
        <f aca="false">IF(A383="","",IF(H383="—","—",IF(ABS(E383-J383)&lt;0.01,"✓","✗")))</f>
        <v/>
      </c>
      <c r="P383" s="27" t="str">
        <f aca="false">IF(A383="","",IF(H383="—","—",IF(F383&amp;""=K383&amp;"","✓","✗")))</f>
        <v/>
      </c>
      <c r="Q383" s="27" t="str">
        <f aca="false">IF(A383="","",IF(H383="—","—",IF(G383&amp;""=L383&amp;"","✓","✗")))</f>
        <v/>
      </c>
      <c r="R383" s="27" t="str">
        <f aca="false">IF(A383="","",IF(COUNTIF(M383:Q383,"—")=5,"⚠ NO SCD ROW",IF(COUNTIF(M383:Q383,"✗")&gt;0,"❌ MISMATCH","✅ MATCH")))</f>
        <v/>
      </c>
    </row>
    <row r="384" customFormat="false" ht="15" hidden="false" customHeight="true" outlineLevel="0" collapsed="false">
      <c r="A384" s="22" t="str">
        <f aca="false">IF(Daily_Data!A383="","",Daily_Data!A383)</f>
        <v/>
      </c>
      <c r="B384" s="23" t="str">
        <f aca="false">IF(Daily_Data!B383="","",Daily_Data!B383)</f>
        <v/>
      </c>
      <c r="C384" s="23" t="str">
        <f aca="false">IF(A384="","",Daily_Data!C383)</f>
        <v/>
      </c>
      <c r="D384" s="23" t="str">
        <f aca="false">IF(A384="","",Daily_Data!D383)</f>
        <v/>
      </c>
      <c r="E384" s="24" t="str">
        <f aca="false">IF(A384="","",Daily_Data!E383)</f>
        <v/>
      </c>
      <c r="F384" s="23" t="str">
        <f aca="false">IF(A384="","",Daily_Data!F383)</f>
        <v/>
      </c>
      <c r="G384" s="23" t="str">
        <f aca="false">IF(A384="","",Daily_Data!G383)</f>
        <v/>
      </c>
      <c r="H384" s="25" t="str">
        <f aca="false">IF(A384="","",IFERROR(INDEX(SCD_Data!$C$3:$C$502,SUMPRODUCT((SCD_Data!$A$3:$A$502=B384)*(IFERROR(DATEVALUE(SCD_Data!$H$3:$H$502&amp;""),SCD_Data!$H$3:$H$502)&lt;=IFERROR(DATEVALUE(A384&amp;""),A384))*(IFERROR(DATEVALUE(SCD_Data!$I$3:$I$502&amp;""),SCD_Data!$I$3:$I$502)&gt;=IFERROR(DATEVALUE(A384&amp;""),A384))*(ROW(SCD_Data!$A$3:$A$502)-2))),"—"))</f>
        <v/>
      </c>
      <c r="I384" s="25" t="str">
        <f aca="false">IF(A384="","",IFERROR(INDEX(SCD_Data!$D$3:$D$502,SUMPRODUCT((SCD_Data!$A$3:$A$502=B384)*(IFERROR(DATEVALUE(SCD_Data!$H$3:$H$502&amp;""),SCD_Data!$H$3:$H$502)&lt;=IFERROR(DATEVALUE(A384&amp;""),A384))*(IFERROR(DATEVALUE(SCD_Data!$I$3:$I$502&amp;""),SCD_Data!$I$3:$I$502)&gt;=IFERROR(DATEVALUE(A384&amp;""),A384))*(ROW(SCD_Data!$A$3:$A$502)-2))),"—"))</f>
        <v/>
      </c>
      <c r="J384" s="26" t="str">
        <f aca="false">IF(A384="","",IFERROR(INDEX(SCD_Data!$E$3:$E$502,SUMPRODUCT((SCD_Data!$A$3:$A$502=B384)*(IFERROR(DATEVALUE(SCD_Data!$H$3:$H$502&amp;""),SCD_Data!$H$3:$H$502)&lt;=IFERROR(DATEVALUE(A384&amp;""),A384))*(IFERROR(DATEVALUE(SCD_Data!$I$3:$I$502&amp;""),SCD_Data!$I$3:$I$502)&gt;=IFERROR(DATEVALUE(A384&amp;""),A384))*(ROW(SCD_Data!$A$3:$A$502)-2))),"—"))</f>
        <v/>
      </c>
      <c r="K384" s="25" t="str">
        <f aca="false">IF(A384="","",IFERROR(INDEX(SCD_Data!$F$3:$F$502,SUMPRODUCT((SCD_Data!$A$3:$A$502=B384)*(IFERROR(DATEVALUE(SCD_Data!$H$3:$H$502&amp;""),SCD_Data!$H$3:$H$502)&lt;=IFERROR(DATEVALUE(A384&amp;""),A384))*(IFERROR(DATEVALUE(SCD_Data!$I$3:$I$502&amp;""),SCD_Data!$I$3:$I$502)&gt;=IFERROR(DATEVALUE(A384&amp;""),A384))*(ROW(SCD_Data!$A$3:$A$502)-2))),"—"))</f>
        <v/>
      </c>
      <c r="L384" s="25" t="str">
        <f aca="false">IF(A384="","",IFERROR(INDEX(SCD_Data!$G$3:$G$502,SUMPRODUCT((SCD_Data!$A$3:$A$502=B384)*(IFERROR(DATEVALUE(SCD_Data!$H$3:$H$502&amp;""),SCD_Data!$H$3:$H$502)&lt;=IFERROR(DATEVALUE(A384&amp;""),A384))*(IFERROR(DATEVALUE(SCD_Data!$I$3:$I$502&amp;""),SCD_Data!$I$3:$I$502)&gt;=IFERROR(DATEVALUE(A384&amp;""),A384))*(ROW(SCD_Data!$A$3:$A$502)-2))),"—"))</f>
        <v/>
      </c>
      <c r="M384" s="27" t="str">
        <f aca="false">IF(A384="","",IF(H384="—","—",IF(C384&amp;""=H384&amp;"","✓","✗")))</f>
        <v/>
      </c>
      <c r="N384" s="27" t="str">
        <f aca="false">IF(A384="","",IF(H384="—","—",IF(D384&amp;""=I384&amp;"","✓","✗")))</f>
        <v/>
      </c>
      <c r="O384" s="27" t="str">
        <f aca="false">IF(A384="","",IF(H384="—","—",IF(ABS(E384-J384)&lt;0.01,"✓","✗")))</f>
        <v/>
      </c>
      <c r="P384" s="27" t="str">
        <f aca="false">IF(A384="","",IF(H384="—","—",IF(F384&amp;""=K384&amp;"","✓","✗")))</f>
        <v/>
      </c>
      <c r="Q384" s="27" t="str">
        <f aca="false">IF(A384="","",IF(H384="—","—",IF(G384&amp;""=L384&amp;"","✓","✗")))</f>
        <v/>
      </c>
      <c r="R384" s="27" t="str">
        <f aca="false">IF(A384="","",IF(COUNTIF(M384:Q384,"—")=5,"⚠ NO SCD ROW",IF(COUNTIF(M384:Q384,"✗")&gt;0,"❌ MISMATCH","✅ MATCH")))</f>
        <v/>
      </c>
    </row>
    <row r="385" customFormat="false" ht="15" hidden="false" customHeight="true" outlineLevel="0" collapsed="false">
      <c r="A385" s="22" t="str">
        <f aca="false">IF(Daily_Data!A384="","",Daily_Data!A384)</f>
        <v/>
      </c>
      <c r="B385" s="23" t="str">
        <f aca="false">IF(Daily_Data!B384="","",Daily_Data!B384)</f>
        <v/>
      </c>
      <c r="C385" s="23" t="str">
        <f aca="false">IF(A385="","",Daily_Data!C384)</f>
        <v/>
      </c>
      <c r="D385" s="23" t="str">
        <f aca="false">IF(A385="","",Daily_Data!D384)</f>
        <v/>
      </c>
      <c r="E385" s="24" t="str">
        <f aca="false">IF(A385="","",Daily_Data!E384)</f>
        <v/>
      </c>
      <c r="F385" s="23" t="str">
        <f aca="false">IF(A385="","",Daily_Data!F384)</f>
        <v/>
      </c>
      <c r="G385" s="23" t="str">
        <f aca="false">IF(A385="","",Daily_Data!G384)</f>
        <v/>
      </c>
      <c r="H385" s="25" t="str">
        <f aca="false">IF(A385="","",IFERROR(INDEX(SCD_Data!$C$3:$C$502,SUMPRODUCT((SCD_Data!$A$3:$A$502=B385)*(IFERROR(DATEVALUE(SCD_Data!$H$3:$H$502&amp;""),SCD_Data!$H$3:$H$502)&lt;=IFERROR(DATEVALUE(A385&amp;""),A385))*(IFERROR(DATEVALUE(SCD_Data!$I$3:$I$502&amp;""),SCD_Data!$I$3:$I$502)&gt;=IFERROR(DATEVALUE(A385&amp;""),A385))*(ROW(SCD_Data!$A$3:$A$502)-2))),"—"))</f>
        <v/>
      </c>
      <c r="I385" s="25" t="str">
        <f aca="false">IF(A385="","",IFERROR(INDEX(SCD_Data!$D$3:$D$502,SUMPRODUCT((SCD_Data!$A$3:$A$502=B385)*(IFERROR(DATEVALUE(SCD_Data!$H$3:$H$502&amp;""),SCD_Data!$H$3:$H$502)&lt;=IFERROR(DATEVALUE(A385&amp;""),A385))*(IFERROR(DATEVALUE(SCD_Data!$I$3:$I$502&amp;""),SCD_Data!$I$3:$I$502)&gt;=IFERROR(DATEVALUE(A385&amp;""),A385))*(ROW(SCD_Data!$A$3:$A$502)-2))),"—"))</f>
        <v/>
      </c>
      <c r="J385" s="26" t="str">
        <f aca="false">IF(A385="","",IFERROR(INDEX(SCD_Data!$E$3:$E$502,SUMPRODUCT((SCD_Data!$A$3:$A$502=B385)*(IFERROR(DATEVALUE(SCD_Data!$H$3:$H$502&amp;""),SCD_Data!$H$3:$H$502)&lt;=IFERROR(DATEVALUE(A385&amp;""),A385))*(IFERROR(DATEVALUE(SCD_Data!$I$3:$I$502&amp;""),SCD_Data!$I$3:$I$502)&gt;=IFERROR(DATEVALUE(A385&amp;""),A385))*(ROW(SCD_Data!$A$3:$A$502)-2))),"—"))</f>
        <v/>
      </c>
      <c r="K385" s="25" t="str">
        <f aca="false">IF(A385="","",IFERROR(INDEX(SCD_Data!$F$3:$F$502,SUMPRODUCT((SCD_Data!$A$3:$A$502=B385)*(IFERROR(DATEVALUE(SCD_Data!$H$3:$H$502&amp;""),SCD_Data!$H$3:$H$502)&lt;=IFERROR(DATEVALUE(A385&amp;""),A385))*(IFERROR(DATEVALUE(SCD_Data!$I$3:$I$502&amp;""),SCD_Data!$I$3:$I$502)&gt;=IFERROR(DATEVALUE(A385&amp;""),A385))*(ROW(SCD_Data!$A$3:$A$502)-2))),"—"))</f>
        <v/>
      </c>
      <c r="L385" s="25" t="str">
        <f aca="false">IF(A385="","",IFERROR(INDEX(SCD_Data!$G$3:$G$502,SUMPRODUCT((SCD_Data!$A$3:$A$502=B385)*(IFERROR(DATEVALUE(SCD_Data!$H$3:$H$502&amp;""),SCD_Data!$H$3:$H$502)&lt;=IFERROR(DATEVALUE(A385&amp;""),A385))*(IFERROR(DATEVALUE(SCD_Data!$I$3:$I$502&amp;""),SCD_Data!$I$3:$I$502)&gt;=IFERROR(DATEVALUE(A385&amp;""),A385))*(ROW(SCD_Data!$A$3:$A$502)-2))),"—"))</f>
        <v/>
      </c>
      <c r="M385" s="27" t="str">
        <f aca="false">IF(A385="","",IF(H385="—","—",IF(C385&amp;""=H385&amp;"","✓","✗")))</f>
        <v/>
      </c>
      <c r="N385" s="27" t="str">
        <f aca="false">IF(A385="","",IF(H385="—","—",IF(D385&amp;""=I385&amp;"","✓","✗")))</f>
        <v/>
      </c>
      <c r="O385" s="27" t="str">
        <f aca="false">IF(A385="","",IF(H385="—","—",IF(ABS(E385-J385)&lt;0.01,"✓","✗")))</f>
        <v/>
      </c>
      <c r="P385" s="27" t="str">
        <f aca="false">IF(A385="","",IF(H385="—","—",IF(F385&amp;""=K385&amp;"","✓","✗")))</f>
        <v/>
      </c>
      <c r="Q385" s="27" t="str">
        <f aca="false">IF(A385="","",IF(H385="—","—",IF(G385&amp;""=L385&amp;"","✓","✗")))</f>
        <v/>
      </c>
      <c r="R385" s="27" t="str">
        <f aca="false">IF(A385="","",IF(COUNTIF(M385:Q385,"—")=5,"⚠ NO SCD ROW",IF(COUNTIF(M385:Q385,"✗")&gt;0,"❌ MISMATCH","✅ MATCH")))</f>
        <v/>
      </c>
    </row>
    <row r="386" customFormat="false" ht="15" hidden="false" customHeight="true" outlineLevel="0" collapsed="false">
      <c r="A386" s="22" t="str">
        <f aca="false">IF(Daily_Data!A385="","",Daily_Data!A385)</f>
        <v/>
      </c>
      <c r="B386" s="23" t="str">
        <f aca="false">IF(Daily_Data!B385="","",Daily_Data!B385)</f>
        <v/>
      </c>
      <c r="C386" s="23" t="str">
        <f aca="false">IF(A386="","",Daily_Data!C385)</f>
        <v/>
      </c>
      <c r="D386" s="23" t="str">
        <f aca="false">IF(A386="","",Daily_Data!D385)</f>
        <v/>
      </c>
      <c r="E386" s="24" t="str">
        <f aca="false">IF(A386="","",Daily_Data!E385)</f>
        <v/>
      </c>
      <c r="F386" s="23" t="str">
        <f aca="false">IF(A386="","",Daily_Data!F385)</f>
        <v/>
      </c>
      <c r="G386" s="23" t="str">
        <f aca="false">IF(A386="","",Daily_Data!G385)</f>
        <v/>
      </c>
      <c r="H386" s="25" t="str">
        <f aca="false">IF(A386="","",IFERROR(INDEX(SCD_Data!$C$3:$C$502,SUMPRODUCT((SCD_Data!$A$3:$A$502=B386)*(IFERROR(DATEVALUE(SCD_Data!$H$3:$H$502&amp;""),SCD_Data!$H$3:$H$502)&lt;=IFERROR(DATEVALUE(A386&amp;""),A386))*(IFERROR(DATEVALUE(SCD_Data!$I$3:$I$502&amp;""),SCD_Data!$I$3:$I$502)&gt;=IFERROR(DATEVALUE(A386&amp;""),A386))*(ROW(SCD_Data!$A$3:$A$502)-2))),"—"))</f>
        <v/>
      </c>
      <c r="I386" s="25" t="str">
        <f aca="false">IF(A386="","",IFERROR(INDEX(SCD_Data!$D$3:$D$502,SUMPRODUCT((SCD_Data!$A$3:$A$502=B386)*(IFERROR(DATEVALUE(SCD_Data!$H$3:$H$502&amp;""),SCD_Data!$H$3:$H$502)&lt;=IFERROR(DATEVALUE(A386&amp;""),A386))*(IFERROR(DATEVALUE(SCD_Data!$I$3:$I$502&amp;""),SCD_Data!$I$3:$I$502)&gt;=IFERROR(DATEVALUE(A386&amp;""),A386))*(ROW(SCD_Data!$A$3:$A$502)-2))),"—"))</f>
        <v/>
      </c>
      <c r="J386" s="26" t="str">
        <f aca="false">IF(A386="","",IFERROR(INDEX(SCD_Data!$E$3:$E$502,SUMPRODUCT((SCD_Data!$A$3:$A$502=B386)*(IFERROR(DATEVALUE(SCD_Data!$H$3:$H$502&amp;""),SCD_Data!$H$3:$H$502)&lt;=IFERROR(DATEVALUE(A386&amp;""),A386))*(IFERROR(DATEVALUE(SCD_Data!$I$3:$I$502&amp;""),SCD_Data!$I$3:$I$502)&gt;=IFERROR(DATEVALUE(A386&amp;""),A386))*(ROW(SCD_Data!$A$3:$A$502)-2))),"—"))</f>
        <v/>
      </c>
      <c r="K386" s="25" t="str">
        <f aca="false">IF(A386="","",IFERROR(INDEX(SCD_Data!$F$3:$F$502,SUMPRODUCT((SCD_Data!$A$3:$A$502=B386)*(IFERROR(DATEVALUE(SCD_Data!$H$3:$H$502&amp;""),SCD_Data!$H$3:$H$502)&lt;=IFERROR(DATEVALUE(A386&amp;""),A386))*(IFERROR(DATEVALUE(SCD_Data!$I$3:$I$502&amp;""),SCD_Data!$I$3:$I$502)&gt;=IFERROR(DATEVALUE(A386&amp;""),A386))*(ROW(SCD_Data!$A$3:$A$502)-2))),"—"))</f>
        <v/>
      </c>
      <c r="L386" s="25" t="str">
        <f aca="false">IF(A386="","",IFERROR(INDEX(SCD_Data!$G$3:$G$502,SUMPRODUCT((SCD_Data!$A$3:$A$502=B386)*(IFERROR(DATEVALUE(SCD_Data!$H$3:$H$502&amp;""),SCD_Data!$H$3:$H$502)&lt;=IFERROR(DATEVALUE(A386&amp;""),A386))*(IFERROR(DATEVALUE(SCD_Data!$I$3:$I$502&amp;""),SCD_Data!$I$3:$I$502)&gt;=IFERROR(DATEVALUE(A386&amp;""),A386))*(ROW(SCD_Data!$A$3:$A$502)-2))),"—"))</f>
        <v/>
      </c>
      <c r="M386" s="27" t="str">
        <f aca="false">IF(A386="","",IF(H386="—","—",IF(C386&amp;""=H386&amp;"","✓","✗")))</f>
        <v/>
      </c>
      <c r="N386" s="27" t="str">
        <f aca="false">IF(A386="","",IF(H386="—","—",IF(D386&amp;""=I386&amp;"","✓","✗")))</f>
        <v/>
      </c>
      <c r="O386" s="27" t="str">
        <f aca="false">IF(A386="","",IF(H386="—","—",IF(ABS(E386-J386)&lt;0.01,"✓","✗")))</f>
        <v/>
      </c>
      <c r="P386" s="27" t="str">
        <f aca="false">IF(A386="","",IF(H386="—","—",IF(F386&amp;""=K386&amp;"","✓","✗")))</f>
        <v/>
      </c>
      <c r="Q386" s="27" t="str">
        <f aca="false">IF(A386="","",IF(H386="—","—",IF(G386&amp;""=L386&amp;"","✓","✗")))</f>
        <v/>
      </c>
      <c r="R386" s="27" t="str">
        <f aca="false">IF(A386="","",IF(COUNTIF(M386:Q386,"—")=5,"⚠ NO SCD ROW",IF(COUNTIF(M386:Q386,"✗")&gt;0,"❌ MISMATCH","✅ MATCH")))</f>
        <v/>
      </c>
    </row>
    <row r="387" customFormat="false" ht="15" hidden="false" customHeight="true" outlineLevel="0" collapsed="false">
      <c r="A387" s="22" t="str">
        <f aca="false">IF(Daily_Data!A386="","",Daily_Data!A386)</f>
        <v/>
      </c>
      <c r="B387" s="23" t="str">
        <f aca="false">IF(Daily_Data!B386="","",Daily_Data!B386)</f>
        <v/>
      </c>
      <c r="C387" s="23" t="str">
        <f aca="false">IF(A387="","",Daily_Data!C386)</f>
        <v/>
      </c>
      <c r="D387" s="23" t="str">
        <f aca="false">IF(A387="","",Daily_Data!D386)</f>
        <v/>
      </c>
      <c r="E387" s="24" t="str">
        <f aca="false">IF(A387="","",Daily_Data!E386)</f>
        <v/>
      </c>
      <c r="F387" s="23" t="str">
        <f aca="false">IF(A387="","",Daily_Data!F386)</f>
        <v/>
      </c>
      <c r="G387" s="23" t="str">
        <f aca="false">IF(A387="","",Daily_Data!G386)</f>
        <v/>
      </c>
      <c r="H387" s="25" t="str">
        <f aca="false">IF(A387="","",IFERROR(INDEX(SCD_Data!$C$3:$C$502,SUMPRODUCT((SCD_Data!$A$3:$A$502=B387)*(IFERROR(DATEVALUE(SCD_Data!$H$3:$H$502&amp;""),SCD_Data!$H$3:$H$502)&lt;=IFERROR(DATEVALUE(A387&amp;""),A387))*(IFERROR(DATEVALUE(SCD_Data!$I$3:$I$502&amp;""),SCD_Data!$I$3:$I$502)&gt;=IFERROR(DATEVALUE(A387&amp;""),A387))*(ROW(SCD_Data!$A$3:$A$502)-2))),"—"))</f>
        <v/>
      </c>
      <c r="I387" s="25" t="str">
        <f aca="false">IF(A387="","",IFERROR(INDEX(SCD_Data!$D$3:$D$502,SUMPRODUCT((SCD_Data!$A$3:$A$502=B387)*(IFERROR(DATEVALUE(SCD_Data!$H$3:$H$502&amp;""),SCD_Data!$H$3:$H$502)&lt;=IFERROR(DATEVALUE(A387&amp;""),A387))*(IFERROR(DATEVALUE(SCD_Data!$I$3:$I$502&amp;""),SCD_Data!$I$3:$I$502)&gt;=IFERROR(DATEVALUE(A387&amp;""),A387))*(ROW(SCD_Data!$A$3:$A$502)-2))),"—"))</f>
        <v/>
      </c>
      <c r="J387" s="26" t="str">
        <f aca="false">IF(A387="","",IFERROR(INDEX(SCD_Data!$E$3:$E$502,SUMPRODUCT((SCD_Data!$A$3:$A$502=B387)*(IFERROR(DATEVALUE(SCD_Data!$H$3:$H$502&amp;""),SCD_Data!$H$3:$H$502)&lt;=IFERROR(DATEVALUE(A387&amp;""),A387))*(IFERROR(DATEVALUE(SCD_Data!$I$3:$I$502&amp;""),SCD_Data!$I$3:$I$502)&gt;=IFERROR(DATEVALUE(A387&amp;""),A387))*(ROW(SCD_Data!$A$3:$A$502)-2))),"—"))</f>
        <v/>
      </c>
      <c r="K387" s="25" t="str">
        <f aca="false">IF(A387="","",IFERROR(INDEX(SCD_Data!$F$3:$F$502,SUMPRODUCT((SCD_Data!$A$3:$A$502=B387)*(IFERROR(DATEVALUE(SCD_Data!$H$3:$H$502&amp;""),SCD_Data!$H$3:$H$502)&lt;=IFERROR(DATEVALUE(A387&amp;""),A387))*(IFERROR(DATEVALUE(SCD_Data!$I$3:$I$502&amp;""),SCD_Data!$I$3:$I$502)&gt;=IFERROR(DATEVALUE(A387&amp;""),A387))*(ROW(SCD_Data!$A$3:$A$502)-2))),"—"))</f>
        <v/>
      </c>
      <c r="L387" s="25" t="str">
        <f aca="false">IF(A387="","",IFERROR(INDEX(SCD_Data!$G$3:$G$502,SUMPRODUCT((SCD_Data!$A$3:$A$502=B387)*(IFERROR(DATEVALUE(SCD_Data!$H$3:$H$502&amp;""),SCD_Data!$H$3:$H$502)&lt;=IFERROR(DATEVALUE(A387&amp;""),A387))*(IFERROR(DATEVALUE(SCD_Data!$I$3:$I$502&amp;""),SCD_Data!$I$3:$I$502)&gt;=IFERROR(DATEVALUE(A387&amp;""),A387))*(ROW(SCD_Data!$A$3:$A$502)-2))),"—"))</f>
        <v/>
      </c>
      <c r="M387" s="27" t="str">
        <f aca="false">IF(A387="","",IF(H387="—","—",IF(C387&amp;""=H387&amp;"","✓","✗")))</f>
        <v/>
      </c>
      <c r="N387" s="27" t="str">
        <f aca="false">IF(A387="","",IF(H387="—","—",IF(D387&amp;""=I387&amp;"","✓","✗")))</f>
        <v/>
      </c>
      <c r="O387" s="27" t="str">
        <f aca="false">IF(A387="","",IF(H387="—","—",IF(ABS(E387-J387)&lt;0.01,"✓","✗")))</f>
        <v/>
      </c>
      <c r="P387" s="27" t="str">
        <f aca="false">IF(A387="","",IF(H387="—","—",IF(F387&amp;""=K387&amp;"","✓","✗")))</f>
        <v/>
      </c>
      <c r="Q387" s="27" t="str">
        <f aca="false">IF(A387="","",IF(H387="—","—",IF(G387&amp;""=L387&amp;"","✓","✗")))</f>
        <v/>
      </c>
      <c r="R387" s="27" t="str">
        <f aca="false">IF(A387="","",IF(COUNTIF(M387:Q387,"—")=5,"⚠ NO SCD ROW",IF(COUNTIF(M387:Q387,"✗")&gt;0,"❌ MISMATCH","✅ MATCH")))</f>
        <v/>
      </c>
    </row>
    <row r="388" customFormat="false" ht="15" hidden="false" customHeight="true" outlineLevel="0" collapsed="false">
      <c r="A388" s="22" t="str">
        <f aca="false">IF(Daily_Data!A387="","",Daily_Data!A387)</f>
        <v/>
      </c>
      <c r="B388" s="23" t="str">
        <f aca="false">IF(Daily_Data!B387="","",Daily_Data!B387)</f>
        <v/>
      </c>
      <c r="C388" s="23" t="str">
        <f aca="false">IF(A388="","",Daily_Data!C387)</f>
        <v/>
      </c>
      <c r="D388" s="23" t="str">
        <f aca="false">IF(A388="","",Daily_Data!D387)</f>
        <v/>
      </c>
      <c r="E388" s="24" t="str">
        <f aca="false">IF(A388="","",Daily_Data!E387)</f>
        <v/>
      </c>
      <c r="F388" s="23" t="str">
        <f aca="false">IF(A388="","",Daily_Data!F387)</f>
        <v/>
      </c>
      <c r="G388" s="23" t="str">
        <f aca="false">IF(A388="","",Daily_Data!G387)</f>
        <v/>
      </c>
      <c r="H388" s="25" t="str">
        <f aca="false">IF(A388="","",IFERROR(INDEX(SCD_Data!$C$3:$C$502,SUMPRODUCT((SCD_Data!$A$3:$A$502=B388)*(IFERROR(DATEVALUE(SCD_Data!$H$3:$H$502&amp;""),SCD_Data!$H$3:$H$502)&lt;=IFERROR(DATEVALUE(A388&amp;""),A388))*(IFERROR(DATEVALUE(SCD_Data!$I$3:$I$502&amp;""),SCD_Data!$I$3:$I$502)&gt;=IFERROR(DATEVALUE(A388&amp;""),A388))*(ROW(SCD_Data!$A$3:$A$502)-2))),"—"))</f>
        <v/>
      </c>
      <c r="I388" s="25" t="str">
        <f aca="false">IF(A388="","",IFERROR(INDEX(SCD_Data!$D$3:$D$502,SUMPRODUCT((SCD_Data!$A$3:$A$502=B388)*(IFERROR(DATEVALUE(SCD_Data!$H$3:$H$502&amp;""),SCD_Data!$H$3:$H$502)&lt;=IFERROR(DATEVALUE(A388&amp;""),A388))*(IFERROR(DATEVALUE(SCD_Data!$I$3:$I$502&amp;""),SCD_Data!$I$3:$I$502)&gt;=IFERROR(DATEVALUE(A388&amp;""),A388))*(ROW(SCD_Data!$A$3:$A$502)-2))),"—"))</f>
        <v/>
      </c>
      <c r="J388" s="26" t="str">
        <f aca="false">IF(A388="","",IFERROR(INDEX(SCD_Data!$E$3:$E$502,SUMPRODUCT((SCD_Data!$A$3:$A$502=B388)*(IFERROR(DATEVALUE(SCD_Data!$H$3:$H$502&amp;""),SCD_Data!$H$3:$H$502)&lt;=IFERROR(DATEVALUE(A388&amp;""),A388))*(IFERROR(DATEVALUE(SCD_Data!$I$3:$I$502&amp;""),SCD_Data!$I$3:$I$502)&gt;=IFERROR(DATEVALUE(A388&amp;""),A388))*(ROW(SCD_Data!$A$3:$A$502)-2))),"—"))</f>
        <v/>
      </c>
      <c r="K388" s="25" t="str">
        <f aca="false">IF(A388="","",IFERROR(INDEX(SCD_Data!$F$3:$F$502,SUMPRODUCT((SCD_Data!$A$3:$A$502=B388)*(IFERROR(DATEVALUE(SCD_Data!$H$3:$H$502&amp;""),SCD_Data!$H$3:$H$502)&lt;=IFERROR(DATEVALUE(A388&amp;""),A388))*(IFERROR(DATEVALUE(SCD_Data!$I$3:$I$502&amp;""),SCD_Data!$I$3:$I$502)&gt;=IFERROR(DATEVALUE(A388&amp;""),A388))*(ROW(SCD_Data!$A$3:$A$502)-2))),"—"))</f>
        <v/>
      </c>
      <c r="L388" s="25" t="str">
        <f aca="false">IF(A388="","",IFERROR(INDEX(SCD_Data!$G$3:$G$502,SUMPRODUCT((SCD_Data!$A$3:$A$502=B388)*(IFERROR(DATEVALUE(SCD_Data!$H$3:$H$502&amp;""),SCD_Data!$H$3:$H$502)&lt;=IFERROR(DATEVALUE(A388&amp;""),A388))*(IFERROR(DATEVALUE(SCD_Data!$I$3:$I$502&amp;""),SCD_Data!$I$3:$I$502)&gt;=IFERROR(DATEVALUE(A388&amp;""),A388))*(ROW(SCD_Data!$A$3:$A$502)-2))),"—"))</f>
        <v/>
      </c>
      <c r="M388" s="27" t="str">
        <f aca="false">IF(A388="","",IF(H388="—","—",IF(C388&amp;""=H388&amp;"","✓","✗")))</f>
        <v/>
      </c>
      <c r="N388" s="27" t="str">
        <f aca="false">IF(A388="","",IF(H388="—","—",IF(D388&amp;""=I388&amp;"","✓","✗")))</f>
        <v/>
      </c>
      <c r="O388" s="27" t="str">
        <f aca="false">IF(A388="","",IF(H388="—","—",IF(ABS(E388-J388)&lt;0.01,"✓","✗")))</f>
        <v/>
      </c>
      <c r="P388" s="27" t="str">
        <f aca="false">IF(A388="","",IF(H388="—","—",IF(F388&amp;""=K388&amp;"","✓","✗")))</f>
        <v/>
      </c>
      <c r="Q388" s="27" t="str">
        <f aca="false">IF(A388="","",IF(H388="—","—",IF(G388&amp;""=L388&amp;"","✓","✗")))</f>
        <v/>
      </c>
      <c r="R388" s="27" t="str">
        <f aca="false">IF(A388="","",IF(COUNTIF(M388:Q388,"—")=5,"⚠ NO SCD ROW",IF(COUNTIF(M388:Q388,"✗")&gt;0,"❌ MISMATCH","✅ MATCH")))</f>
        <v/>
      </c>
    </row>
    <row r="389" customFormat="false" ht="15" hidden="false" customHeight="true" outlineLevel="0" collapsed="false">
      <c r="A389" s="22" t="str">
        <f aca="false">IF(Daily_Data!A388="","",Daily_Data!A388)</f>
        <v/>
      </c>
      <c r="B389" s="23" t="str">
        <f aca="false">IF(Daily_Data!B388="","",Daily_Data!B388)</f>
        <v/>
      </c>
      <c r="C389" s="23" t="str">
        <f aca="false">IF(A389="","",Daily_Data!C388)</f>
        <v/>
      </c>
      <c r="D389" s="23" t="str">
        <f aca="false">IF(A389="","",Daily_Data!D388)</f>
        <v/>
      </c>
      <c r="E389" s="24" t="str">
        <f aca="false">IF(A389="","",Daily_Data!E388)</f>
        <v/>
      </c>
      <c r="F389" s="23" t="str">
        <f aca="false">IF(A389="","",Daily_Data!F388)</f>
        <v/>
      </c>
      <c r="G389" s="23" t="str">
        <f aca="false">IF(A389="","",Daily_Data!G388)</f>
        <v/>
      </c>
      <c r="H389" s="25" t="str">
        <f aca="false">IF(A389="","",IFERROR(INDEX(SCD_Data!$C$3:$C$502,SUMPRODUCT((SCD_Data!$A$3:$A$502=B389)*(IFERROR(DATEVALUE(SCD_Data!$H$3:$H$502&amp;""),SCD_Data!$H$3:$H$502)&lt;=IFERROR(DATEVALUE(A389&amp;""),A389))*(IFERROR(DATEVALUE(SCD_Data!$I$3:$I$502&amp;""),SCD_Data!$I$3:$I$502)&gt;=IFERROR(DATEVALUE(A389&amp;""),A389))*(ROW(SCD_Data!$A$3:$A$502)-2))),"—"))</f>
        <v/>
      </c>
      <c r="I389" s="25" t="str">
        <f aca="false">IF(A389="","",IFERROR(INDEX(SCD_Data!$D$3:$D$502,SUMPRODUCT((SCD_Data!$A$3:$A$502=B389)*(IFERROR(DATEVALUE(SCD_Data!$H$3:$H$502&amp;""),SCD_Data!$H$3:$H$502)&lt;=IFERROR(DATEVALUE(A389&amp;""),A389))*(IFERROR(DATEVALUE(SCD_Data!$I$3:$I$502&amp;""),SCD_Data!$I$3:$I$502)&gt;=IFERROR(DATEVALUE(A389&amp;""),A389))*(ROW(SCD_Data!$A$3:$A$502)-2))),"—"))</f>
        <v/>
      </c>
      <c r="J389" s="26" t="str">
        <f aca="false">IF(A389="","",IFERROR(INDEX(SCD_Data!$E$3:$E$502,SUMPRODUCT((SCD_Data!$A$3:$A$502=B389)*(IFERROR(DATEVALUE(SCD_Data!$H$3:$H$502&amp;""),SCD_Data!$H$3:$H$502)&lt;=IFERROR(DATEVALUE(A389&amp;""),A389))*(IFERROR(DATEVALUE(SCD_Data!$I$3:$I$502&amp;""),SCD_Data!$I$3:$I$502)&gt;=IFERROR(DATEVALUE(A389&amp;""),A389))*(ROW(SCD_Data!$A$3:$A$502)-2))),"—"))</f>
        <v/>
      </c>
      <c r="K389" s="25" t="str">
        <f aca="false">IF(A389="","",IFERROR(INDEX(SCD_Data!$F$3:$F$502,SUMPRODUCT((SCD_Data!$A$3:$A$502=B389)*(IFERROR(DATEVALUE(SCD_Data!$H$3:$H$502&amp;""),SCD_Data!$H$3:$H$502)&lt;=IFERROR(DATEVALUE(A389&amp;""),A389))*(IFERROR(DATEVALUE(SCD_Data!$I$3:$I$502&amp;""),SCD_Data!$I$3:$I$502)&gt;=IFERROR(DATEVALUE(A389&amp;""),A389))*(ROW(SCD_Data!$A$3:$A$502)-2))),"—"))</f>
        <v/>
      </c>
      <c r="L389" s="25" t="str">
        <f aca="false">IF(A389="","",IFERROR(INDEX(SCD_Data!$G$3:$G$502,SUMPRODUCT((SCD_Data!$A$3:$A$502=B389)*(IFERROR(DATEVALUE(SCD_Data!$H$3:$H$502&amp;""),SCD_Data!$H$3:$H$502)&lt;=IFERROR(DATEVALUE(A389&amp;""),A389))*(IFERROR(DATEVALUE(SCD_Data!$I$3:$I$502&amp;""),SCD_Data!$I$3:$I$502)&gt;=IFERROR(DATEVALUE(A389&amp;""),A389))*(ROW(SCD_Data!$A$3:$A$502)-2))),"—"))</f>
        <v/>
      </c>
      <c r="M389" s="27" t="str">
        <f aca="false">IF(A389="","",IF(H389="—","—",IF(C389&amp;""=H389&amp;"","✓","✗")))</f>
        <v/>
      </c>
      <c r="N389" s="27" t="str">
        <f aca="false">IF(A389="","",IF(H389="—","—",IF(D389&amp;""=I389&amp;"","✓","✗")))</f>
        <v/>
      </c>
      <c r="O389" s="27" t="str">
        <f aca="false">IF(A389="","",IF(H389="—","—",IF(ABS(E389-J389)&lt;0.01,"✓","✗")))</f>
        <v/>
      </c>
      <c r="P389" s="27" t="str">
        <f aca="false">IF(A389="","",IF(H389="—","—",IF(F389&amp;""=K389&amp;"","✓","✗")))</f>
        <v/>
      </c>
      <c r="Q389" s="27" t="str">
        <f aca="false">IF(A389="","",IF(H389="—","—",IF(G389&amp;""=L389&amp;"","✓","✗")))</f>
        <v/>
      </c>
      <c r="R389" s="27" t="str">
        <f aca="false">IF(A389="","",IF(COUNTIF(M389:Q389,"—")=5,"⚠ NO SCD ROW",IF(COUNTIF(M389:Q389,"✗")&gt;0,"❌ MISMATCH","✅ MATCH")))</f>
        <v/>
      </c>
    </row>
    <row r="390" customFormat="false" ht="15" hidden="false" customHeight="true" outlineLevel="0" collapsed="false">
      <c r="A390" s="22" t="str">
        <f aca="false">IF(Daily_Data!A389="","",Daily_Data!A389)</f>
        <v/>
      </c>
      <c r="B390" s="23" t="str">
        <f aca="false">IF(Daily_Data!B389="","",Daily_Data!B389)</f>
        <v/>
      </c>
      <c r="C390" s="23" t="str">
        <f aca="false">IF(A390="","",Daily_Data!C389)</f>
        <v/>
      </c>
      <c r="D390" s="23" t="str">
        <f aca="false">IF(A390="","",Daily_Data!D389)</f>
        <v/>
      </c>
      <c r="E390" s="24" t="str">
        <f aca="false">IF(A390="","",Daily_Data!E389)</f>
        <v/>
      </c>
      <c r="F390" s="23" t="str">
        <f aca="false">IF(A390="","",Daily_Data!F389)</f>
        <v/>
      </c>
      <c r="G390" s="23" t="str">
        <f aca="false">IF(A390="","",Daily_Data!G389)</f>
        <v/>
      </c>
      <c r="H390" s="25" t="str">
        <f aca="false">IF(A390="","",IFERROR(INDEX(SCD_Data!$C$3:$C$502,SUMPRODUCT((SCD_Data!$A$3:$A$502=B390)*(IFERROR(DATEVALUE(SCD_Data!$H$3:$H$502&amp;""),SCD_Data!$H$3:$H$502)&lt;=IFERROR(DATEVALUE(A390&amp;""),A390))*(IFERROR(DATEVALUE(SCD_Data!$I$3:$I$502&amp;""),SCD_Data!$I$3:$I$502)&gt;=IFERROR(DATEVALUE(A390&amp;""),A390))*(ROW(SCD_Data!$A$3:$A$502)-2))),"—"))</f>
        <v/>
      </c>
      <c r="I390" s="25" t="str">
        <f aca="false">IF(A390="","",IFERROR(INDEX(SCD_Data!$D$3:$D$502,SUMPRODUCT((SCD_Data!$A$3:$A$502=B390)*(IFERROR(DATEVALUE(SCD_Data!$H$3:$H$502&amp;""),SCD_Data!$H$3:$H$502)&lt;=IFERROR(DATEVALUE(A390&amp;""),A390))*(IFERROR(DATEVALUE(SCD_Data!$I$3:$I$502&amp;""),SCD_Data!$I$3:$I$502)&gt;=IFERROR(DATEVALUE(A390&amp;""),A390))*(ROW(SCD_Data!$A$3:$A$502)-2))),"—"))</f>
        <v/>
      </c>
      <c r="J390" s="26" t="str">
        <f aca="false">IF(A390="","",IFERROR(INDEX(SCD_Data!$E$3:$E$502,SUMPRODUCT((SCD_Data!$A$3:$A$502=B390)*(IFERROR(DATEVALUE(SCD_Data!$H$3:$H$502&amp;""),SCD_Data!$H$3:$H$502)&lt;=IFERROR(DATEVALUE(A390&amp;""),A390))*(IFERROR(DATEVALUE(SCD_Data!$I$3:$I$502&amp;""),SCD_Data!$I$3:$I$502)&gt;=IFERROR(DATEVALUE(A390&amp;""),A390))*(ROW(SCD_Data!$A$3:$A$502)-2))),"—"))</f>
        <v/>
      </c>
      <c r="K390" s="25" t="str">
        <f aca="false">IF(A390="","",IFERROR(INDEX(SCD_Data!$F$3:$F$502,SUMPRODUCT((SCD_Data!$A$3:$A$502=B390)*(IFERROR(DATEVALUE(SCD_Data!$H$3:$H$502&amp;""),SCD_Data!$H$3:$H$502)&lt;=IFERROR(DATEVALUE(A390&amp;""),A390))*(IFERROR(DATEVALUE(SCD_Data!$I$3:$I$502&amp;""),SCD_Data!$I$3:$I$502)&gt;=IFERROR(DATEVALUE(A390&amp;""),A390))*(ROW(SCD_Data!$A$3:$A$502)-2))),"—"))</f>
        <v/>
      </c>
      <c r="L390" s="25" t="str">
        <f aca="false">IF(A390="","",IFERROR(INDEX(SCD_Data!$G$3:$G$502,SUMPRODUCT((SCD_Data!$A$3:$A$502=B390)*(IFERROR(DATEVALUE(SCD_Data!$H$3:$H$502&amp;""),SCD_Data!$H$3:$H$502)&lt;=IFERROR(DATEVALUE(A390&amp;""),A390))*(IFERROR(DATEVALUE(SCD_Data!$I$3:$I$502&amp;""),SCD_Data!$I$3:$I$502)&gt;=IFERROR(DATEVALUE(A390&amp;""),A390))*(ROW(SCD_Data!$A$3:$A$502)-2))),"—"))</f>
        <v/>
      </c>
      <c r="M390" s="27" t="str">
        <f aca="false">IF(A390="","",IF(H390="—","—",IF(C390&amp;""=H390&amp;"","✓","✗")))</f>
        <v/>
      </c>
      <c r="N390" s="27" t="str">
        <f aca="false">IF(A390="","",IF(H390="—","—",IF(D390&amp;""=I390&amp;"","✓","✗")))</f>
        <v/>
      </c>
      <c r="O390" s="27" t="str">
        <f aca="false">IF(A390="","",IF(H390="—","—",IF(ABS(E390-J390)&lt;0.01,"✓","✗")))</f>
        <v/>
      </c>
      <c r="P390" s="27" t="str">
        <f aca="false">IF(A390="","",IF(H390="—","—",IF(F390&amp;""=K390&amp;"","✓","✗")))</f>
        <v/>
      </c>
      <c r="Q390" s="27" t="str">
        <f aca="false">IF(A390="","",IF(H390="—","—",IF(G390&amp;""=L390&amp;"","✓","✗")))</f>
        <v/>
      </c>
      <c r="R390" s="27" t="str">
        <f aca="false">IF(A390="","",IF(COUNTIF(M390:Q390,"—")=5,"⚠ NO SCD ROW",IF(COUNTIF(M390:Q390,"✗")&gt;0,"❌ MISMATCH","✅ MATCH")))</f>
        <v/>
      </c>
    </row>
    <row r="391" customFormat="false" ht="15" hidden="false" customHeight="true" outlineLevel="0" collapsed="false">
      <c r="A391" s="22" t="str">
        <f aca="false">IF(Daily_Data!A390="","",Daily_Data!A390)</f>
        <v/>
      </c>
      <c r="B391" s="23" t="str">
        <f aca="false">IF(Daily_Data!B390="","",Daily_Data!B390)</f>
        <v/>
      </c>
      <c r="C391" s="23" t="str">
        <f aca="false">IF(A391="","",Daily_Data!C390)</f>
        <v/>
      </c>
      <c r="D391" s="23" t="str">
        <f aca="false">IF(A391="","",Daily_Data!D390)</f>
        <v/>
      </c>
      <c r="E391" s="24" t="str">
        <f aca="false">IF(A391="","",Daily_Data!E390)</f>
        <v/>
      </c>
      <c r="F391" s="23" t="str">
        <f aca="false">IF(A391="","",Daily_Data!F390)</f>
        <v/>
      </c>
      <c r="G391" s="23" t="str">
        <f aca="false">IF(A391="","",Daily_Data!G390)</f>
        <v/>
      </c>
      <c r="H391" s="25" t="str">
        <f aca="false">IF(A391="","",IFERROR(INDEX(SCD_Data!$C$3:$C$502,SUMPRODUCT((SCD_Data!$A$3:$A$502=B391)*(IFERROR(DATEVALUE(SCD_Data!$H$3:$H$502&amp;""),SCD_Data!$H$3:$H$502)&lt;=IFERROR(DATEVALUE(A391&amp;""),A391))*(IFERROR(DATEVALUE(SCD_Data!$I$3:$I$502&amp;""),SCD_Data!$I$3:$I$502)&gt;=IFERROR(DATEVALUE(A391&amp;""),A391))*(ROW(SCD_Data!$A$3:$A$502)-2))),"—"))</f>
        <v/>
      </c>
      <c r="I391" s="25" t="str">
        <f aca="false">IF(A391="","",IFERROR(INDEX(SCD_Data!$D$3:$D$502,SUMPRODUCT((SCD_Data!$A$3:$A$502=B391)*(IFERROR(DATEVALUE(SCD_Data!$H$3:$H$502&amp;""),SCD_Data!$H$3:$H$502)&lt;=IFERROR(DATEVALUE(A391&amp;""),A391))*(IFERROR(DATEVALUE(SCD_Data!$I$3:$I$502&amp;""),SCD_Data!$I$3:$I$502)&gt;=IFERROR(DATEVALUE(A391&amp;""),A391))*(ROW(SCD_Data!$A$3:$A$502)-2))),"—"))</f>
        <v/>
      </c>
      <c r="J391" s="26" t="str">
        <f aca="false">IF(A391="","",IFERROR(INDEX(SCD_Data!$E$3:$E$502,SUMPRODUCT((SCD_Data!$A$3:$A$502=B391)*(IFERROR(DATEVALUE(SCD_Data!$H$3:$H$502&amp;""),SCD_Data!$H$3:$H$502)&lt;=IFERROR(DATEVALUE(A391&amp;""),A391))*(IFERROR(DATEVALUE(SCD_Data!$I$3:$I$502&amp;""),SCD_Data!$I$3:$I$502)&gt;=IFERROR(DATEVALUE(A391&amp;""),A391))*(ROW(SCD_Data!$A$3:$A$502)-2))),"—"))</f>
        <v/>
      </c>
      <c r="K391" s="25" t="str">
        <f aca="false">IF(A391="","",IFERROR(INDEX(SCD_Data!$F$3:$F$502,SUMPRODUCT((SCD_Data!$A$3:$A$502=B391)*(IFERROR(DATEVALUE(SCD_Data!$H$3:$H$502&amp;""),SCD_Data!$H$3:$H$502)&lt;=IFERROR(DATEVALUE(A391&amp;""),A391))*(IFERROR(DATEVALUE(SCD_Data!$I$3:$I$502&amp;""),SCD_Data!$I$3:$I$502)&gt;=IFERROR(DATEVALUE(A391&amp;""),A391))*(ROW(SCD_Data!$A$3:$A$502)-2))),"—"))</f>
        <v/>
      </c>
      <c r="L391" s="25" t="str">
        <f aca="false">IF(A391="","",IFERROR(INDEX(SCD_Data!$G$3:$G$502,SUMPRODUCT((SCD_Data!$A$3:$A$502=B391)*(IFERROR(DATEVALUE(SCD_Data!$H$3:$H$502&amp;""),SCD_Data!$H$3:$H$502)&lt;=IFERROR(DATEVALUE(A391&amp;""),A391))*(IFERROR(DATEVALUE(SCD_Data!$I$3:$I$502&amp;""),SCD_Data!$I$3:$I$502)&gt;=IFERROR(DATEVALUE(A391&amp;""),A391))*(ROW(SCD_Data!$A$3:$A$502)-2))),"—"))</f>
        <v/>
      </c>
      <c r="M391" s="27" t="str">
        <f aca="false">IF(A391="","",IF(H391="—","—",IF(C391&amp;""=H391&amp;"","✓","✗")))</f>
        <v/>
      </c>
      <c r="N391" s="27" t="str">
        <f aca="false">IF(A391="","",IF(H391="—","—",IF(D391&amp;""=I391&amp;"","✓","✗")))</f>
        <v/>
      </c>
      <c r="O391" s="27" t="str">
        <f aca="false">IF(A391="","",IF(H391="—","—",IF(ABS(E391-J391)&lt;0.01,"✓","✗")))</f>
        <v/>
      </c>
      <c r="P391" s="27" t="str">
        <f aca="false">IF(A391="","",IF(H391="—","—",IF(F391&amp;""=K391&amp;"","✓","✗")))</f>
        <v/>
      </c>
      <c r="Q391" s="27" t="str">
        <f aca="false">IF(A391="","",IF(H391="—","—",IF(G391&amp;""=L391&amp;"","✓","✗")))</f>
        <v/>
      </c>
      <c r="R391" s="27" t="str">
        <f aca="false">IF(A391="","",IF(COUNTIF(M391:Q391,"—")=5,"⚠ NO SCD ROW",IF(COUNTIF(M391:Q391,"✗")&gt;0,"❌ MISMATCH","✅ MATCH")))</f>
        <v/>
      </c>
    </row>
    <row r="392" customFormat="false" ht="15" hidden="false" customHeight="true" outlineLevel="0" collapsed="false">
      <c r="A392" s="22" t="str">
        <f aca="false">IF(Daily_Data!A391="","",Daily_Data!A391)</f>
        <v/>
      </c>
      <c r="B392" s="23" t="str">
        <f aca="false">IF(Daily_Data!B391="","",Daily_Data!B391)</f>
        <v/>
      </c>
      <c r="C392" s="23" t="str">
        <f aca="false">IF(A392="","",Daily_Data!C391)</f>
        <v/>
      </c>
      <c r="D392" s="23" t="str">
        <f aca="false">IF(A392="","",Daily_Data!D391)</f>
        <v/>
      </c>
      <c r="E392" s="24" t="str">
        <f aca="false">IF(A392="","",Daily_Data!E391)</f>
        <v/>
      </c>
      <c r="F392" s="23" t="str">
        <f aca="false">IF(A392="","",Daily_Data!F391)</f>
        <v/>
      </c>
      <c r="G392" s="23" t="str">
        <f aca="false">IF(A392="","",Daily_Data!G391)</f>
        <v/>
      </c>
      <c r="H392" s="25" t="str">
        <f aca="false">IF(A392="","",IFERROR(INDEX(SCD_Data!$C$3:$C$502,SUMPRODUCT((SCD_Data!$A$3:$A$502=B392)*(IFERROR(DATEVALUE(SCD_Data!$H$3:$H$502&amp;""),SCD_Data!$H$3:$H$502)&lt;=IFERROR(DATEVALUE(A392&amp;""),A392))*(IFERROR(DATEVALUE(SCD_Data!$I$3:$I$502&amp;""),SCD_Data!$I$3:$I$502)&gt;=IFERROR(DATEVALUE(A392&amp;""),A392))*(ROW(SCD_Data!$A$3:$A$502)-2))),"—"))</f>
        <v/>
      </c>
      <c r="I392" s="25" t="str">
        <f aca="false">IF(A392="","",IFERROR(INDEX(SCD_Data!$D$3:$D$502,SUMPRODUCT((SCD_Data!$A$3:$A$502=B392)*(IFERROR(DATEVALUE(SCD_Data!$H$3:$H$502&amp;""),SCD_Data!$H$3:$H$502)&lt;=IFERROR(DATEVALUE(A392&amp;""),A392))*(IFERROR(DATEVALUE(SCD_Data!$I$3:$I$502&amp;""),SCD_Data!$I$3:$I$502)&gt;=IFERROR(DATEVALUE(A392&amp;""),A392))*(ROW(SCD_Data!$A$3:$A$502)-2))),"—"))</f>
        <v/>
      </c>
      <c r="J392" s="26" t="str">
        <f aca="false">IF(A392="","",IFERROR(INDEX(SCD_Data!$E$3:$E$502,SUMPRODUCT((SCD_Data!$A$3:$A$502=B392)*(IFERROR(DATEVALUE(SCD_Data!$H$3:$H$502&amp;""),SCD_Data!$H$3:$H$502)&lt;=IFERROR(DATEVALUE(A392&amp;""),A392))*(IFERROR(DATEVALUE(SCD_Data!$I$3:$I$502&amp;""),SCD_Data!$I$3:$I$502)&gt;=IFERROR(DATEVALUE(A392&amp;""),A392))*(ROW(SCD_Data!$A$3:$A$502)-2))),"—"))</f>
        <v/>
      </c>
      <c r="K392" s="25" t="str">
        <f aca="false">IF(A392="","",IFERROR(INDEX(SCD_Data!$F$3:$F$502,SUMPRODUCT((SCD_Data!$A$3:$A$502=B392)*(IFERROR(DATEVALUE(SCD_Data!$H$3:$H$502&amp;""),SCD_Data!$H$3:$H$502)&lt;=IFERROR(DATEVALUE(A392&amp;""),A392))*(IFERROR(DATEVALUE(SCD_Data!$I$3:$I$502&amp;""),SCD_Data!$I$3:$I$502)&gt;=IFERROR(DATEVALUE(A392&amp;""),A392))*(ROW(SCD_Data!$A$3:$A$502)-2))),"—"))</f>
        <v/>
      </c>
      <c r="L392" s="25" t="str">
        <f aca="false">IF(A392="","",IFERROR(INDEX(SCD_Data!$G$3:$G$502,SUMPRODUCT((SCD_Data!$A$3:$A$502=B392)*(IFERROR(DATEVALUE(SCD_Data!$H$3:$H$502&amp;""),SCD_Data!$H$3:$H$502)&lt;=IFERROR(DATEVALUE(A392&amp;""),A392))*(IFERROR(DATEVALUE(SCD_Data!$I$3:$I$502&amp;""),SCD_Data!$I$3:$I$502)&gt;=IFERROR(DATEVALUE(A392&amp;""),A392))*(ROW(SCD_Data!$A$3:$A$502)-2))),"—"))</f>
        <v/>
      </c>
      <c r="M392" s="27" t="str">
        <f aca="false">IF(A392="","",IF(H392="—","—",IF(C392&amp;""=H392&amp;"","✓","✗")))</f>
        <v/>
      </c>
      <c r="N392" s="27" t="str">
        <f aca="false">IF(A392="","",IF(H392="—","—",IF(D392&amp;""=I392&amp;"","✓","✗")))</f>
        <v/>
      </c>
      <c r="O392" s="27" t="str">
        <f aca="false">IF(A392="","",IF(H392="—","—",IF(ABS(E392-J392)&lt;0.01,"✓","✗")))</f>
        <v/>
      </c>
      <c r="P392" s="27" t="str">
        <f aca="false">IF(A392="","",IF(H392="—","—",IF(F392&amp;""=K392&amp;"","✓","✗")))</f>
        <v/>
      </c>
      <c r="Q392" s="27" t="str">
        <f aca="false">IF(A392="","",IF(H392="—","—",IF(G392&amp;""=L392&amp;"","✓","✗")))</f>
        <v/>
      </c>
      <c r="R392" s="27" t="str">
        <f aca="false">IF(A392="","",IF(COUNTIF(M392:Q392,"—")=5,"⚠ NO SCD ROW",IF(COUNTIF(M392:Q392,"✗")&gt;0,"❌ MISMATCH","✅ MATCH")))</f>
        <v/>
      </c>
    </row>
    <row r="393" customFormat="false" ht="15" hidden="false" customHeight="true" outlineLevel="0" collapsed="false">
      <c r="A393" s="22" t="str">
        <f aca="false">IF(Daily_Data!A392="","",Daily_Data!A392)</f>
        <v/>
      </c>
      <c r="B393" s="23" t="str">
        <f aca="false">IF(Daily_Data!B392="","",Daily_Data!B392)</f>
        <v/>
      </c>
      <c r="C393" s="23" t="str">
        <f aca="false">IF(A393="","",Daily_Data!C392)</f>
        <v/>
      </c>
      <c r="D393" s="23" t="str">
        <f aca="false">IF(A393="","",Daily_Data!D392)</f>
        <v/>
      </c>
      <c r="E393" s="24" t="str">
        <f aca="false">IF(A393="","",Daily_Data!E392)</f>
        <v/>
      </c>
      <c r="F393" s="23" t="str">
        <f aca="false">IF(A393="","",Daily_Data!F392)</f>
        <v/>
      </c>
      <c r="G393" s="23" t="str">
        <f aca="false">IF(A393="","",Daily_Data!G392)</f>
        <v/>
      </c>
      <c r="H393" s="25" t="str">
        <f aca="false">IF(A393="","",IFERROR(INDEX(SCD_Data!$C$3:$C$502,SUMPRODUCT((SCD_Data!$A$3:$A$502=B393)*(IFERROR(DATEVALUE(SCD_Data!$H$3:$H$502&amp;""),SCD_Data!$H$3:$H$502)&lt;=IFERROR(DATEVALUE(A393&amp;""),A393))*(IFERROR(DATEVALUE(SCD_Data!$I$3:$I$502&amp;""),SCD_Data!$I$3:$I$502)&gt;=IFERROR(DATEVALUE(A393&amp;""),A393))*(ROW(SCD_Data!$A$3:$A$502)-2))),"—"))</f>
        <v/>
      </c>
      <c r="I393" s="25" t="str">
        <f aca="false">IF(A393="","",IFERROR(INDEX(SCD_Data!$D$3:$D$502,SUMPRODUCT((SCD_Data!$A$3:$A$502=B393)*(IFERROR(DATEVALUE(SCD_Data!$H$3:$H$502&amp;""),SCD_Data!$H$3:$H$502)&lt;=IFERROR(DATEVALUE(A393&amp;""),A393))*(IFERROR(DATEVALUE(SCD_Data!$I$3:$I$502&amp;""),SCD_Data!$I$3:$I$502)&gt;=IFERROR(DATEVALUE(A393&amp;""),A393))*(ROW(SCD_Data!$A$3:$A$502)-2))),"—"))</f>
        <v/>
      </c>
      <c r="J393" s="26" t="str">
        <f aca="false">IF(A393="","",IFERROR(INDEX(SCD_Data!$E$3:$E$502,SUMPRODUCT((SCD_Data!$A$3:$A$502=B393)*(IFERROR(DATEVALUE(SCD_Data!$H$3:$H$502&amp;""),SCD_Data!$H$3:$H$502)&lt;=IFERROR(DATEVALUE(A393&amp;""),A393))*(IFERROR(DATEVALUE(SCD_Data!$I$3:$I$502&amp;""),SCD_Data!$I$3:$I$502)&gt;=IFERROR(DATEVALUE(A393&amp;""),A393))*(ROW(SCD_Data!$A$3:$A$502)-2))),"—"))</f>
        <v/>
      </c>
      <c r="K393" s="25" t="str">
        <f aca="false">IF(A393="","",IFERROR(INDEX(SCD_Data!$F$3:$F$502,SUMPRODUCT((SCD_Data!$A$3:$A$502=B393)*(IFERROR(DATEVALUE(SCD_Data!$H$3:$H$502&amp;""),SCD_Data!$H$3:$H$502)&lt;=IFERROR(DATEVALUE(A393&amp;""),A393))*(IFERROR(DATEVALUE(SCD_Data!$I$3:$I$502&amp;""),SCD_Data!$I$3:$I$502)&gt;=IFERROR(DATEVALUE(A393&amp;""),A393))*(ROW(SCD_Data!$A$3:$A$502)-2))),"—"))</f>
        <v/>
      </c>
      <c r="L393" s="25" t="str">
        <f aca="false">IF(A393="","",IFERROR(INDEX(SCD_Data!$G$3:$G$502,SUMPRODUCT((SCD_Data!$A$3:$A$502=B393)*(IFERROR(DATEVALUE(SCD_Data!$H$3:$H$502&amp;""),SCD_Data!$H$3:$H$502)&lt;=IFERROR(DATEVALUE(A393&amp;""),A393))*(IFERROR(DATEVALUE(SCD_Data!$I$3:$I$502&amp;""),SCD_Data!$I$3:$I$502)&gt;=IFERROR(DATEVALUE(A393&amp;""),A393))*(ROW(SCD_Data!$A$3:$A$502)-2))),"—"))</f>
        <v/>
      </c>
      <c r="M393" s="27" t="str">
        <f aca="false">IF(A393="","",IF(H393="—","—",IF(C393&amp;""=H393&amp;"","✓","✗")))</f>
        <v/>
      </c>
      <c r="N393" s="27" t="str">
        <f aca="false">IF(A393="","",IF(H393="—","—",IF(D393&amp;""=I393&amp;"","✓","✗")))</f>
        <v/>
      </c>
      <c r="O393" s="27" t="str">
        <f aca="false">IF(A393="","",IF(H393="—","—",IF(ABS(E393-J393)&lt;0.01,"✓","✗")))</f>
        <v/>
      </c>
      <c r="P393" s="27" t="str">
        <f aca="false">IF(A393="","",IF(H393="—","—",IF(F393&amp;""=K393&amp;"","✓","✗")))</f>
        <v/>
      </c>
      <c r="Q393" s="27" t="str">
        <f aca="false">IF(A393="","",IF(H393="—","—",IF(G393&amp;""=L393&amp;"","✓","✗")))</f>
        <v/>
      </c>
      <c r="R393" s="27" t="str">
        <f aca="false">IF(A393="","",IF(COUNTIF(M393:Q393,"—")=5,"⚠ NO SCD ROW",IF(COUNTIF(M393:Q393,"✗")&gt;0,"❌ MISMATCH","✅ MATCH")))</f>
        <v/>
      </c>
    </row>
    <row r="394" customFormat="false" ht="15" hidden="false" customHeight="true" outlineLevel="0" collapsed="false">
      <c r="A394" s="22" t="str">
        <f aca="false">IF(Daily_Data!A393="","",Daily_Data!A393)</f>
        <v/>
      </c>
      <c r="B394" s="23" t="str">
        <f aca="false">IF(Daily_Data!B393="","",Daily_Data!B393)</f>
        <v/>
      </c>
      <c r="C394" s="23" t="str">
        <f aca="false">IF(A394="","",Daily_Data!C393)</f>
        <v/>
      </c>
      <c r="D394" s="23" t="str">
        <f aca="false">IF(A394="","",Daily_Data!D393)</f>
        <v/>
      </c>
      <c r="E394" s="24" t="str">
        <f aca="false">IF(A394="","",Daily_Data!E393)</f>
        <v/>
      </c>
      <c r="F394" s="23" t="str">
        <f aca="false">IF(A394="","",Daily_Data!F393)</f>
        <v/>
      </c>
      <c r="G394" s="23" t="str">
        <f aca="false">IF(A394="","",Daily_Data!G393)</f>
        <v/>
      </c>
      <c r="H394" s="25" t="str">
        <f aca="false">IF(A394="","",IFERROR(INDEX(SCD_Data!$C$3:$C$502,SUMPRODUCT((SCD_Data!$A$3:$A$502=B394)*(IFERROR(DATEVALUE(SCD_Data!$H$3:$H$502&amp;""),SCD_Data!$H$3:$H$502)&lt;=IFERROR(DATEVALUE(A394&amp;""),A394))*(IFERROR(DATEVALUE(SCD_Data!$I$3:$I$502&amp;""),SCD_Data!$I$3:$I$502)&gt;=IFERROR(DATEVALUE(A394&amp;""),A394))*(ROW(SCD_Data!$A$3:$A$502)-2))),"—"))</f>
        <v/>
      </c>
      <c r="I394" s="25" t="str">
        <f aca="false">IF(A394="","",IFERROR(INDEX(SCD_Data!$D$3:$D$502,SUMPRODUCT((SCD_Data!$A$3:$A$502=B394)*(IFERROR(DATEVALUE(SCD_Data!$H$3:$H$502&amp;""),SCD_Data!$H$3:$H$502)&lt;=IFERROR(DATEVALUE(A394&amp;""),A394))*(IFERROR(DATEVALUE(SCD_Data!$I$3:$I$502&amp;""),SCD_Data!$I$3:$I$502)&gt;=IFERROR(DATEVALUE(A394&amp;""),A394))*(ROW(SCD_Data!$A$3:$A$502)-2))),"—"))</f>
        <v/>
      </c>
      <c r="J394" s="26" t="str">
        <f aca="false">IF(A394="","",IFERROR(INDEX(SCD_Data!$E$3:$E$502,SUMPRODUCT((SCD_Data!$A$3:$A$502=B394)*(IFERROR(DATEVALUE(SCD_Data!$H$3:$H$502&amp;""),SCD_Data!$H$3:$H$502)&lt;=IFERROR(DATEVALUE(A394&amp;""),A394))*(IFERROR(DATEVALUE(SCD_Data!$I$3:$I$502&amp;""),SCD_Data!$I$3:$I$502)&gt;=IFERROR(DATEVALUE(A394&amp;""),A394))*(ROW(SCD_Data!$A$3:$A$502)-2))),"—"))</f>
        <v/>
      </c>
      <c r="K394" s="25" t="str">
        <f aca="false">IF(A394="","",IFERROR(INDEX(SCD_Data!$F$3:$F$502,SUMPRODUCT((SCD_Data!$A$3:$A$502=B394)*(IFERROR(DATEVALUE(SCD_Data!$H$3:$H$502&amp;""),SCD_Data!$H$3:$H$502)&lt;=IFERROR(DATEVALUE(A394&amp;""),A394))*(IFERROR(DATEVALUE(SCD_Data!$I$3:$I$502&amp;""),SCD_Data!$I$3:$I$502)&gt;=IFERROR(DATEVALUE(A394&amp;""),A394))*(ROW(SCD_Data!$A$3:$A$502)-2))),"—"))</f>
        <v/>
      </c>
      <c r="L394" s="25" t="str">
        <f aca="false">IF(A394="","",IFERROR(INDEX(SCD_Data!$G$3:$G$502,SUMPRODUCT((SCD_Data!$A$3:$A$502=B394)*(IFERROR(DATEVALUE(SCD_Data!$H$3:$H$502&amp;""),SCD_Data!$H$3:$H$502)&lt;=IFERROR(DATEVALUE(A394&amp;""),A394))*(IFERROR(DATEVALUE(SCD_Data!$I$3:$I$502&amp;""),SCD_Data!$I$3:$I$502)&gt;=IFERROR(DATEVALUE(A394&amp;""),A394))*(ROW(SCD_Data!$A$3:$A$502)-2))),"—"))</f>
        <v/>
      </c>
      <c r="M394" s="27" t="str">
        <f aca="false">IF(A394="","",IF(H394="—","—",IF(C394&amp;""=H394&amp;"","✓","✗")))</f>
        <v/>
      </c>
      <c r="N394" s="27" t="str">
        <f aca="false">IF(A394="","",IF(H394="—","—",IF(D394&amp;""=I394&amp;"","✓","✗")))</f>
        <v/>
      </c>
      <c r="O394" s="27" t="str">
        <f aca="false">IF(A394="","",IF(H394="—","—",IF(ABS(E394-J394)&lt;0.01,"✓","✗")))</f>
        <v/>
      </c>
      <c r="P394" s="27" t="str">
        <f aca="false">IF(A394="","",IF(H394="—","—",IF(F394&amp;""=K394&amp;"","✓","✗")))</f>
        <v/>
      </c>
      <c r="Q394" s="27" t="str">
        <f aca="false">IF(A394="","",IF(H394="—","—",IF(G394&amp;""=L394&amp;"","✓","✗")))</f>
        <v/>
      </c>
      <c r="R394" s="27" t="str">
        <f aca="false">IF(A394="","",IF(COUNTIF(M394:Q394,"—")=5,"⚠ NO SCD ROW",IF(COUNTIF(M394:Q394,"✗")&gt;0,"❌ MISMATCH","✅ MATCH")))</f>
        <v/>
      </c>
    </row>
    <row r="395" customFormat="false" ht="15" hidden="false" customHeight="true" outlineLevel="0" collapsed="false">
      <c r="A395" s="22" t="str">
        <f aca="false">IF(Daily_Data!A394="","",Daily_Data!A394)</f>
        <v/>
      </c>
      <c r="B395" s="23" t="str">
        <f aca="false">IF(Daily_Data!B394="","",Daily_Data!B394)</f>
        <v/>
      </c>
      <c r="C395" s="23" t="str">
        <f aca="false">IF(A395="","",Daily_Data!C394)</f>
        <v/>
      </c>
      <c r="D395" s="23" t="str">
        <f aca="false">IF(A395="","",Daily_Data!D394)</f>
        <v/>
      </c>
      <c r="E395" s="24" t="str">
        <f aca="false">IF(A395="","",Daily_Data!E394)</f>
        <v/>
      </c>
      <c r="F395" s="23" t="str">
        <f aca="false">IF(A395="","",Daily_Data!F394)</f>
        <v/>
      </c>
      <c r="G395" s="23" t="str">
        <f aca="false">IF(A395="","",Daily_Data!G394)</f>
        <v/>
      </c>
      <c r="H395" s="25" t="str">
        <f aca="false">IF(A395="","",IFERROR(INDEX(SCD_Data!$C$3:$C$502,SUMPRODUCT((SCD_Data!$A$3:$A$502=B395)*(IFERROR(DATEVALUE(SCD_Data!$H$3:$H$502&amp;""),SCD_Data!$H$3:$H$502)&lt;=IFERROR(DATEVALUE(A395&amp;""),A395))*(IFERROR(DATEVALUE(SCD_Data!$I$3:$I$502&amp;""),SCD_Data!$I$3:$I$502)&gt;=IFERROR(DATEVALUE(A395&amp;""),A395))*(ROW(SCD_Data!$A$3:$A$502)-2))),"—"))</f>
        <v/>
      </c>
      <c r="I395" s="25" t="str">
        <f aca="false">IF(A395="","",IFERROR(INDEX(SCD_Data!$D$3:$D$502,SUMPRODUCT((SCD_Data!$A$3:$A$502=B395)*(IFERROR(DATEVALUE(SCD_Data!$H$3:$H$502&amp;""),SCD_Data!$H$3:$H$502)&lt;=IFERROR(DATEVALUE(A395&amp;""),A395))*(IFERROR(DATEVALUE(SCD_Data!$I$3:$I$502&amp;""),SCD_Data!$I$3:$I$502)&gt;=IFERROR(DATEVALUE(A395&amp;""),A395))*(ROW(SCD_Data!$A$3:$A$502)-2))),"—"))</f>
        <v/>
      </c>
      <c r="J395" s="26" t="str">
        <f aca="false">IF(A395="","",IFERROR(INDEX(SCD_Data!$E$3:$E$502,SUMPRODUCT((SCD_Data!$A$3:$A$502=B395)*(IFERROR(DATEVALUE(SCD_Data!$H$3:$H$502&amp;""),SCD_Data!$H$3:$H$502)&lt;=IFERROR(DATEVALUE(A395&amp;""),A395))*(IFERROR(DATEVALUE(SCD_Data!$I$3:$I$502&amp;""),SCD_Data!$I$3:$I$502)&gt;=IFERROR(DATEVALUE(A395&amp;""),A395))*(ROW(SCD_Data!$A$3:$A$502)-2))),"—"))</f>
        <v/>
      </c>
      <c r="K395" s="25" t="str">
        <f aca="false">IF(A395="","",IFERROR(INDEX(SCD_Data!$F$3:$F$502,SUMPRODUCT((SCD_Data!$A$3:$A$502=B395)*(IFERROR(DATEVALUE(SCD_Data!$H$3:$H$502&amp;""),SCD_Data!$H$3:$H$502)&lt;=IFERROR(DATEVALUE(A395&amp;""),A395))*(IFERROR(DATEVALUE(SCD_Data!$I$3:$I$502&amp;""),SCD_Data!$I$3:$I$502)&gt;=IFERROR(DATEVALUE(A395&amp;""),A395))*(ROW(SCD_Data!$A$3:$A$502)-2))),"—"))</f>
        <v/>
      </c>
      <c r="L395" s="25" t="str">
        <f aca="false">IF(A395="","",IFERROR(INDEX(SCD_Data!$G$3:$G$502,SUMPRODUCT((SCD_Data!$A$3:$A$502=B395)*(IFERROR(DATEVALUE(SCD_Data!$H$3:$H$502&amp;""),SCD_Data!$H$3:$H$502)&lt;=IFERROR(DATEVALUE(A395&amp;""),A395))*(IFERROR(DATEVALUE(SCD_Data!$I$3:$I$502&amp;""),SCD_Data!$I$3:$I$502)&gt;=IFERROR(DATEVALUE(A395&amp;""),A395))*(ROW(SCD_Data!$A$3:$A$502)-2))),"—"))</f>
        <v/>
      </c>
      <c r="M395" s="27" t="str">
        <f aca="false">IF(A395="","",IF(H395="—","—",IF(C395&amp;""=H395&amp;"","✓","✗")))</f>
        <v/>
      </c>
      <c r="N395" s="27" t="str">
        <f aca="false">IF(A395="","",IF(H395="—","—",IF(D395&amp;""=I395&amp;"","✓","✗")))</f>
        <v/>
      </c>
      <c r="O395" s="27" t="str">
        <f aca="false">IF(A395="","",IF(H395="—","—",IF(ABS(E395-J395)&lt;0.01,"✓","✗")))</f>
        <v/>
      </c>
      <c r="P395" s="27" t="str">
        <f aca="false">IF(A395="","",IF(H395="—","—",IF(F395&amp;""=K395&amp;"","✓","✗")))</f>
        <v/>
      </c>
      <c r="Q395" s="27" t="str">
        <f aca="false">IF(A395="","",IF(H395="—","—",IF(G395&amp;""=L395&amp;"","✓","✗")))</f>
        <v/>
      </c>
      <c r="R395" s="27" t="str">
        <f aca="false">IF(A395="","",IF(COUNTIF(M395:Q395,"—")=5,"⚠ NO SCD ROW",IF(COUNTIF(M395:Q395,"✗")&gt;0,"❌ MISMATCH","✅ MATCH")))</f>
        <v/>
      </c>
    </row>
    <row r="396" customFormat="false" ht="15" hidden="false" customHeight="true" outlineLevel="0" collapsed="false">
      <c r="A396" s="22" t="str">
        <f aca="false">IF(Daily_Data!A395="","",Daily_Data!A395)</f>
        <v/>
      </c>
      <c r="B396" s="23" t="str">
        <f aca="false">IF(Daily_Data!B395="","",Daily_Data!B395)</f>
        <v/>
      </c>
      <c r="C396" s="23" t="str">
        <f aca="false">IF(A396="","",Daily_Data!C395)</f>
        <v/>
      </c>
      <c r="D396" s="23" t="str">
        <f aca="false">IF(A396="","",Daily_Data!D395)</f>
        <v/>
      </c>
      <c r="E396" s="24" t="str">
        <f aca="false">IF(A396="","",Daily_Data!E395)</f>
        <v/>
      </c>
      <c r="F396" s="23" t="str">
        <f aca="false">IF(A396="","",Daily_Data!F395)</f>
        <v/>
      </c>
      <c r="G396" s="23" t="str">
        <f aca="false">IF(A396="","",Daily_Data!G395)</f>
        <v/>
      </c>
      <c r="H396" s="25" t="str">
        <f aca="false">IF(A396="","",IFERROR(INDEX(SCD_Data!$C$3:$C$502,SUMPRODUCT((SCD_Data!$A$3:$A$502=B396)*(IFERROR(DATEVALUE(SCD_Data!$H$3:$H$502&amp;""),SCD_Data!$H$3:$H$502)&lt;=IFERROR(DATEVALUE(A396&amp;""),A396))*(IFERROR(DATEVALUE(SCD_Data!$I$3:$I$502&amp;""),SCD_Data!$I$3:$I$502)&gt;=IFERROR(DATEVALUE(A396&amp;""),A396))*(ROW(SCD_Data!$A$3:$A$502)-2))),"—"))</f>
        <v/>
      </c>
      <c r="I396" s="25" t="str">
        <f aca="false">IF(A396="","",IFERROR(INDEX(SCD_Data!$D$3:$D$502,SUMPRODUCT((SCD_Data!$A$3:$A$502=B396)*(IFERROR(DATEVALUE(SCD_Data!$H$3:$H$502&amp;""),SCD_Data!$H$3:$H$502)&lt;=IFERROR(DATEVALUE(A396&amp;""),A396))*(IFERROR(DATEVALUE(SCD_Data!$I$3:$I$502&amp;""),SCD_Data!$I$3:$I$502)&gt;=IFERROR(DATEVALUE(A396&amp;""),A396))*(ROW(SCD_Data!$A$3:$A$502)-2))),"—"))</f>
        <v/>
      </c>
      <c r="J396" s="26" t="str">
        <f aca="false">IF(A396="","",IFERROR(INDEX(SCD_Data!$E$3:$E$502,SUMPRODUCT((SCD_Data!$A$3:$A$502=B396)*(IFERROR(DATEVALUE(SCD_Data!$H$3:$H$502&amp;""),SCD_Data!$H$3:$H$502)&lt;=IFERROR(DATEVALUE(A396&amp;""),A396))*(IFERROR(DATEVALUE(SCD_Data!$I$3:$I$502&amp;""),SCD_Data!$I$3:$I$502)&gt;=IFERROR(DATEVALUE(A396&amp;""),A396))*(ROW(SCD_Data!$A$3:$A$502)-2))),"—"))</f>
        <v/>
      </c>
      <c r="K396" s="25" t="str">
        <f aca="false">IF(A396="","",IFERROR(INDEX(SCD_Data!$F$3:$F$502,SUMPRODUCT((SCD_Data!$A$3:$A$502=B396)*(IFERROR(DATEVALUE(SCD_Data!$H$3:$H$502&amp;""),SCD_Data!$H$3:$H$502)&lt;=IFERROR(DATEVALUE(A396&amp;""),A396))*(IFERROR(DATEVALUE(SCD_Data!$I$3:$I$502&amp;""),SCD_Data!$I$3:$I$502)&gt;=IFERROR(DATEVALUE(A396&amp;""),A396))*(ROW(SCD_Data!$A$3:$A$502)-2))),"—"))</f>
        <v/>
      </c>
      <c r="L396" s="25" t="str">
        <f aca="false">IF(A396="","",IFERROR(INDEX(SCD_Data!$G$3:$G$502,SUMPRODUCT((SCD_Data!$A$3:$A$502=B396)*(IFERROR(DATEVALUE(SCD_Data!$H$3:$H$502&amp;""),SCD_Data!$H$3:$H$502)&lt;=IFERROR(DATEVALUE(A396&amp;""),A396))*(IFERROR(DATEVALUE(SCD_Data!$I$3:$I$502&amp;""),SCD_Data!$I$3:$I$502)&gt;=IFERROR(DATEVALUE(A396&amp;""),A396))*(ROW(SCD_Data!$A$3:$A$502)-2))),"—"))</f>
        <v/>
      </c>
      <c r="M396" s="27" t="str">
        <f aca="false">IF(A396="","",IF(H396="—","—",IF(C396&amp;""=H396&amp;"","✓","✗")))</f>
        <v/>
      </c>
      <c r="N396" s="27" t="str">
        <f aca="false">IF(A396="","",IF(H396="—","—",IF(D396&amp;""=I396&amp;"","✓","✗")))</f>
        <v/>
      </c>
      <c r="O396" s="27" t="str">
        <f aca="false">IF(A396="","",IF(H396="—","—",IF(ABS(E396-J396)&lt;0.01,"✓","✗")))</f>
        <v/>
      </c>
      <c r="P396" s="27" t="str">
        <f aca="false">IF(A396="","",IF(H396="—","—",IF(F396&amp;""=K396&amp;"","✓","✗")))</f>
        <v/>
      </c>
      <c r="Q396" s="27" t="str">
        <f aca="false">IF(A396="","",IF(H396="—","—",IF(G396&amp;""=L396&amp;"","✓","✗")))</f>
        <v/>
      </c>
      <c r="R396" s="27" t="str">
        <f aca="false">IF(A396="","",IF(COUNTIF(M396:Q396,"—")=5,"⚠ NO SCD ROW",IF(COUNTIF(M396:Q396,"✗")&gt;0,"❌ MISMATCH","✅ MATCH")))</f>
        <v/>
      </c>
    </row>
    <row r="397" customFormat="false" ht="15" hidden="false" customHeight="true" outlineLevel="0" collapsed="false">
      <c r="A397" s="22" t="str">
        <f aca="false">IF(Daily_Data!A396="","",Daily_Data!A396)</f>
        <v/>
      </c>
      <c r="B397" s="23" t="str">
        <f aca="false">IF(Daily_Data!B396="","",Daily_Data!B396)</f>
        <v/>
      </c>
      <c r="C397" s="23" t="str">
        <f aca="false">IF(A397="","",Daily_Data!C396)</f>
        <v/>
      </c>
      <c r="D397" s="23" t="str">
        <f aca="false">IF(A397="","",Daily_Data!D396)</f>
        <v/>
      </c>
      <c r="E397" s="24" t="str">
        <f aca="false">IF(A397="","",Daily_Data!E396)</f>
        <v/>
      </c>
      <c r="F397" s="23" t="str">
        <f aca="false">IF(A397="","",Daily_Data!F396)</f>
        <v/>
      </c>
      <c r="G397" s="23" t="str">
        <f aca="false">IF(A397="","",Daily_Data!G396)</f>
        <v/>
      </c>
      <c r="H397" s="25" t="str">
        <f aca="false">IF(A397="","",IFERROR(INDEX(SCD_Data!$C$3:$C$502,SUMPRODUCT((SCD_Data!$A$3:$A$502=B397)*(IFERROR(DATEVALUE(SCD_Data!$H$3:$H$502&amp;""),SCD_Data!$H$3:$H$502)&lt;=IFERROR(DATEVALUE(A397&amp;""),A397))*(IFERROR(DATEVALUE(SCD_Data!$I$3:$I$502&amp;""),SCD_Data!$I$3:$I$502)&gt;=IFERROR(DATEVALUE(A397&amp;""),A397))*(ROW(SCD_Data!$A$3:$A$502)-2))),"—"))</f>
        <v/>
      </c>
      <c r="I397" s="25" t="str">
        <f aca="false">IF(A397="","",IFERROR(INDEX(SCD_Data!$D$3:$D$502,SUMPRODUCT((SCD_Data!$A$3:$A$502=B397)*(IFERROR(DATEVALUE(SCD_Data!$H$3:$H$502&amp;""),SCD_Data!$H$3:$H$502)&lt;=IFERROR(DATEVALUE(A397&amp;""),A397))*(IFERROR(DATEVALUE(SCD_Data!$I$3:$I$502&amp;""),SCD_Data!$I$3:$I$502)&gt;=IFERROR(DATEVALUE(A397&amp;""),A397))*(ROW(SCD_Data!$A$3:$A$502)-2))),"—"))</f>
        <v/>
      </c>
      <c r="J397" s="26" t="str">
        <f aca="false">IF(A397="","",IFERROR(INDEX(SCD_Data!$E$3:$E$502,SUMPRODUCT((SCD_Data!$A$3:$A$502=B397)*(IFERROR(DATEVALUE(SCD_Data!$H$3:$H$502&amp;""),SCD_Data!$H$3:$H$502)&lt;=IFERROR(DATEVALUE(A397&amp;""),A397))*(IFERROR(DATEVALUE(SCD_Data!$I$3:$I$502&amp;""),SCD_Data!$I$3:$I$502)&gt;=IFERROR(DATEVALUE(A397&amp;""),A397))*(ROW(SCD_Data!$A$3:$A$502)-2))),"—"))</f>
        <v/>
      </c>
      <c r="K397" s="25" t="str">
        <f aca="false">IF(A397="","",IFERROR(INDEX(SCD_Data!$F$3:$F$502,SUMPRODUCT((SCD_Data!$A$3:$A$502=B397)*(IFERROR(DATEVALUE(SCD_Data!$H$3:$H$502&amp;""),SCD_Data!$H$3:$H$502)&lt;=IFERROR(DATEVALUE(A397&amp;""),A397))*(IFERROR(DATEVALUE(SCD_Data!$I$3:$I$502&amp;""),SCD_Data!$I$3:$I$502)&gt;=IFERROR(DATEVALUE(A397&amp;""),A397))*(ROW(SCD_Data!$A$3:$A$502)-2))),"—"))</f>
        <v/>
      </c>
      <c r="L397" s="25" t="str">
        <f aca="false">IF(A397="","",IFERROR(INDEX(SCD_Data!$G$3:$G$502,SUMPRODUCT((SCD_Data!$A$3:$A$502=B397)*(IFERROR(DATEVALUE(SCD_Data!$H$3:$H$502&amp;""),SCD_Data!$H$3:$H$502)&lt;=IFERROR(DATEVALUE(A397&amp;""),A397))*(IFERROR(DATEVALUE(SCD_Data!$I$3:$I$502&amp;""),SCD_Data!$I$3:$I$502)&gt;=IFERROR(DATEVALUE(A397&amp;""),A397))*(ROW(SCD_Data!$A$3:$A$502)-2))),"—"))</f>
        <v/>
      </c>
      <c r="M397" s="27" t="str">
        <f aca="false">IF(A397="","",IF(H397="—","—",IF(C397&amp;""=H397&amp;"","✓","✗")))</f>
        <v/>
      </c>
      <c r="N397" s="27" t="str">
        <f aca="false">IF(A397="","",IF(H397="—","—",IF(D397&amp;""=I397&amp;"","✓","✗")))</f>
        <v/>
      </c>
      <c r="O397" s="27" t="str">
        <f aca="false">IF(A397="","",IF(H397="—","—",IF(ABS(E397-J397)&lt;0.01,"✓","✗")))</f>
        <v/>
      </c>
      <c r="P397" s="27" t="str">
        <f aca="false">IF(A397="","",IF(H397="—","—",IF(F397&amp;""=K397&amp;"","✓","✗")))</f>
        <v/>
      </c>
      <c r="Q397" s="27" t="str">
        <f aca="false">IF(A397="","",IF(H397="—","—",IF(G397&amp;""=L397&amp;"","✓","✗")))</f>
        <v/>
      </c>
      <c r="R397" s="27" t="str">
        <f aca="false">IF(A397="","",IF(COUNTIF(M397:Q397,"—")=5,"⚠ NO SCD ROW",IF(COUNTIF(M397:Q397,"✗")&gt;0,"❌ MISMATCH","✅ MATCH")))</f>
        <v/>
      </c>
    </row>
    <row r="398" customFormat="false" ht="15" hidden="false" customHeight="true" outlineLevel="0" collapsed="false">
      <c r="A398" s="22" t="str">
        <f aca="false">IF(Daily_Data!A397="","",Daily_Data!A397)</f>
        <v/>
      </c>
      <c r="B398" s="23" t="str">
        <f aca="false">IF(Daily_Data!B397="","",Daily_Data!B397)</f>
        <v/>
      </c>
      <c r="C398" s="23" t="str">
        <f aca="false">IF(A398="","",Daily_Data!C397)</f>
        <v/>
      </c>
      <c r="D398" s="23" t="str">
        <f aca="false">IF(A398="","",Daily_Data!D397)</f>
        <v/>
      </c>
      <c r="E398" s="24" t="str">
        <f aca="false">IF(A398="","",Daily_Data!E397)</f>
        <v/>
      </c>
      <c r="F398" s="23" t="str">
        <f aca="false">IF(A398="","",Daily_Data!F397)</f>
        <v/>
      </c>
      <c r="G398" s="23" t="str">
        <f aca="false">IF(A398="","",Daily_Data!G397)</f>
        <v/>
      </c>
      <c r="H398" s="25" t="str">
        <f aca="false">IF(A398="","",IFERROR(INDEX(SCD_Data!$C$3:$C$502,SUMPRODUCT((SCD_Data!$A$3:$A$502=B398)*(IFERROR(DATEVALUE(SCD_Data!$H$3:$H$502&amp;""),SCD_Data!$H$3:$H$502)&lt;=IFERROR(DATEVALUE(A398&amp;""),A398))*(IFERROR(DATEVALUE(SCD_Data!$I$3:$I$502&amp;""),SCD_Data!$I$3:$I$502)&gt;=IFERROR(DATEVALUE(A398&amp;""),A398))*(ROW(SCD_Data!$A$3:$A$502)-2))),"—"))</f>
        <v/>
      </c>
      <c r="I398" s="25" t="str">
        <f aca="false">IF(A398="","",IFERROR(INDEX(SCD_Data!$D$3:$D$502,SUMPRODUCT((SCD_Data!$A$3:$A$502=B398)*(IFERROR(DATEVALUE(SCD_Data!$H$3:$H$502&amp;""),SCD_Data!$H$3:$H$502)&lt;=IFERROR(DATEVALUE(A398&amp;""),A398))*(IFERROR(DATEVALUE(SCD_Data!$I$3:$I$502&amp;""),SCD_Data!$I$3:$I$502)&gt;=IFERROR(DATEVALUE(A398&amp;""),A398))*(ROW(SCD_Data!$A$3:$A$502)-2))),"—"))</f>
        <v/>
      </c>
      <c r="J398" s="26" t="str">
        <f aca="false">IF(A398="","",IFERROR(INDEX(SCD_Data!$E$3:$E$502,SUMPRODUCT((SCD_Data!$A$3:$A$502=B398)*(IFERROR(DATEVALUE(SCD_Data!$H$3:$H$502&amp;""),SCD_Data!$H$3:$H$502)&lt;=IFERROR(DATEVALUE(A398&amp;""),A398))*(IFERROR(DATEVALUE(SCD_Data!$I$3:$I$502&amp;""),SCD_Data!$I$3:$I$502)&gt;=IFERROR(DATEVALUE(A398&amp;""),A398))*(ROW(SCD_Data!$A$3:$A$502)-2))),"—"))</f>
        <v/>
      </c>
      <c r="K398" s="25" t="str">
        <f aca="false">IF(A398="","",IFERROR(INDEX(SCD_Data!$F$3:$F$502,SUMPRODUCT((SCD_Data!$A$3:$A$502=B398)*(IFERROR(DATEVALUE(SCD_Data!$H$3:$H$502&amp;""),SCD_Data!$H$3:$H$502)&lt;=IFERROR(DATEVALUE(A398&amp;""),A398))*(IFERROR(DATEVALUE(SCD_Data!$I$3:$I$502&amp;""),SCD_Data!$I$3:$I$502)&gt;=IFERROR(DATEVALUE(A398&amp;""),A398))*(ROW(SCD_Data!$A$3:$A$502)-2))),"—"))</f>
        <v/>
      </c>
      <c r="L398" s="25" t="str">
        <f aca="false">IF(A398="","",IFERROR(INDEX(SCD_Data!$G$3:$G$502,SUMPRODUCT((SCD_Data!$A$3:$A$502=B398)*(IFERROR(DATEVALUE(SCD_Data!$H$3:$H$502&amp;""),SCD_Data!$H$3:$H$502)&lt;=IFERROR(DATEVALUE(A398&amp;""),A398))*(IFERROR(DATEVALUE(SCD_Data!$I$3:$I$502&amp;""),SCD_Data!$I$3:$I$502)&gt;=IFERROR(DATEVALUE(A398&amp;""),A398))*(ROW(SCD_Data!$A$3:$A$502)-2))),"—"))</f>
        <v/>
      </c>
      <c r="M398" s="27" t="str">
        <f aca="false">IF(A398="","",IF(H398="—","—",IF(C398&amp;""=H398&amp;"","✓","✗")))</f>
        <v/>
      </c>
      <c r="N398" s="27" t="str">
        <f aca="false">IF(A398="","",IF(H398="—","—",IF(D398&amp;""=I398&amp;"","✓","✗")))</f>
        <v/>
      </c>
      <c r="O398" s="27" t="str">
        <f aca="false">IF(A398="","",IF(H398="—","—",IF(ABS(E398-J398)&lt;0.01,"✓","✗")))</f>
        <v/>
      </c>
      <c r="P398" s="27" t="str">
        <f aca="false">IF(A398="","",IF(H398="—","—",IF(F398&amp;""=K398&amp;"","✓","✗")))</f>
        <v/>
      </c>
      <c r="Q398" s="27" t="str">
        <f aca="false">IF(A398="","",IF(H398="—","—",IF(G398&amp;""=L398&amp;"","✓","✗")))</f>
        <v/>
      </c>
      <c r="R398" s="27" t="str">
        <f aca="false">IF(A398="","",IF(COUNTIF(M398:Q398,"—")=5,"⚠ NO SCD ROW",IF(COUNTIF(M398:Q398,"✗")&gt;0,"❌ MISMATCH","✅ MATCH")))</f>
        <v/>
      </c>
    </row>
    <row r="399" customFormat="false" ht="15" hidden="false" customHeight="true" outlineLevel="0" collapsed="false">
      <c r="A399" s="22" t="str">
        <f aca="false">IF(Daily_Data!A398="","",Daily_Data!A398)</f>
        <v/>
      </c>
      <c r="B399" s="23" t="str">
        <f aca="false">IF(Daily_Data!B398="","",Daily_Data!B398)</f>
        <v/>
      </c>
      <c r="C399" s="23" t="str">
        <f aca="false">IF(A399="","",Daily_Data!C398)</f>
        <v/>
      </c>
      <c r="D399" s="23" t="str">
        <f aca="false">IF(A399="","",Daily_Data!D398)</f>
        <v/>
      </c>
      <c r="E399" s="24" t="str">
        <f aca="false">IF(A399="","",Daily_Data!E398)</f>
        <v/>
      </c>
      <c r="F399" s="23" t="str">
        <f aca="false">IF(A399="","",Daily_Data!F398)</f>
        <v/>
      </c>
      <c r="G399" s="23" t="str">
        <f aca="false">IF(A399="","",Daily_Data!G398)</f>
        <v/>
      </c>
      <c r="H399" s="25" t="str">
        <f aca="false">IF(A399="","",IFERROR(INDEX(SCD_Data!$C$3:$C$502,SUMPRODUCT((SCD_Data!$A$3:$A$502=B399)*(IFERROR(DATEVALUE(SCD_Data!$H$3:$H$502&amp;""),SCD_Data!$H$3:$H$502)&lt;=IFERROR(DATEVALUE(A399&amp;""),A399))*(IFERROR(DATEVALUE(SCD_Data!$I$3:$I$502&amp;""),SCD_Data!$I$3:$I$502)&gt;=IFERROR(DATEVALUE(A399&amp;""),A399))*(ROW(SCD_Data!$A$3:$A$502)-2))),"—"))</f>
        <v/>
      </c>
      <c r="I399" s="25" t="str">
        <f aca="false">IF(A399="","",IFERROR(INDEX(SCD_Data!$D$3:$D$502,SUMPRODUCT((SCD_Data!$A$3:$A$502=B399)*(IFERROR(DATEVALUE(SCD_Data!$H$3:$H$502&amp;""),SCD_Data!$H$3:$H$502)&lt;=IFERROR(DATEVALUE(A399&amp;""),A399))*(IFERROR(DATEVALUE(SCD_Data!$I$3:$I$502&amp;""),SCD_Data!$I$3:$I$502)&gt;=IFERROR(DATEVALUE(A399&amp;""),A399))*(ROW(SCD_Data!$A$3:$A$502)-2))),"—"))</f>
        <v/>
      </c>
      <c r="J399" s="26" t="str">
        <f aca="false">IF(A399="","",IFERROR(INDEX(SCD_Data!$E$3:$E$502,SUMPRODUCT((SCD_Data!$A$3:$A$502=B399)*(IFERROR(DATEVALUE(SCD_Data!$H$3:$H$502&amp;""),SCD_Data!$H$3:$H$502)&lt;=IFERROR(DATEVALUE(A399&amp;""),A399))*(IFERROR(DATEVALUE(SCD_Data!$I$3:$I$502&amp;""),SCD_Data!$I$3:$I$502)&gt;=IFERROR(DATEVALUE(A399&amp;""),A399))*(ROW(SCD_Data!$A$3:$A$502)-2))),"—"))</f>
        <v/>
      </c>
      <c r="K399" s="25" t="str">
        <f aca="false">IF(A399="","",IFERROR(INDEX(SCD_Data!$F$3:$F$502,SUMPRODUCT((SCD_Data!$A$3:$A$502=B399)*(IFERROR(DATEVALUE(SCD_Data!$H$3:$H$502&amp;""),SCD_Data!$H$3:$H$502)&lt;=IFERROR(DATEVALUE(A399&amp;""),A399))*(IFERROR(DATEVALUE(SCD_Data!$I$3:$I$502&amp;""),SCD_Data!$I$3:$I$502)&gt;=IFERROR(DATEVALUE(A399&amp;""),A399))*(ROW(SCD_Data!$A$3:$A$502)-2))),"—"))</f>
        <v/>
      </c>
      <c r="L399" s="25" t="str">
        <f aca="false">IF(A399="","",IFERROR(INDEX(SCD_Data!$G$3:$G$502,SUMPRODUCT((SCD_Data!$A$3:$A$502=B399)*(IFERROR(DATEVALUE(SCD_Data!$H$3:$H$502&amp;""),SCD_Data!$H$3:$H$502)&lt;=IFERROR(DATEVALUE(A399&amp;""),A399))*(IFERROR(DATEVALUE(SCD_Data!$I$3:$I$502&amp;""),SCD_Data!$I$3:$I$502)&gt;=IFERROR(DATEVALUE(A399&amp;""),A399))*(ROW(SCD_Data!$A$3:$A$502)-2))),"—"))</f>
        <v/>
      </c>
      <c r="M399" s="27" t="str">
        <f aca="false">IF(A399="","",IF(H399="—","—",IF(C399&amp;""=H399&amp;"","✓","✗")))</f>
        <v/>
      </c>
      <c r="N399" s="27" t="str">
        <f aca="false">IF(A399="","",IF(H399="—","—",IF(D399&amp;""=I399&amp;"","✓","✗")))</f>
        <v/>
      </c>
      <c r="O399" s="27" t="str">
        <f aca="false">IF(A399="","",IF(H399="—","—",IF(ABS(E399-J399)&lt;0.01,"✓","✗")))</f>
        <v/>
      </c>
      <c r="P399" s="27" t="str">
        <f aca="false">IF(A399="","",IF(H399="—","—",IF(F399&amp;""=K399&amp;"","✓","✗")))</f>
        <v/>
      </c>
      <c r="Q399" s="27" t="str">
        <f aca="false">IF(A399="","",IF(H399="—","—",IF(G399&amp;""=L399&amp;"","✓","✗")))</f>
        <v/>
      </c>
      <c r="R399" s="27" t="str">
        <f aca="false">IF(A399="","",IF(COUNTIF(M399:Q399,"—")=5,"⚠ NO SCD ROW",IF(COUNTIF(M399:Q399,"✗")&gt;0,"❌ MISMATCH","✅ MATCH")))</f>
        <v/>
      </c>
    </row>
    <row r="400" customFormat="false" ht="15" hidden="false" customHeight="true" outlineLevel="0" collapsed="false">
      <c r="A400" s="22" t="str">
        <f aca="false">IF(Daily_Data!A399="","",Daily_Data!A399)</f>
        <v/>
      </c>
      <c r="B400" s="23" t="str">
        <f aca="false">IF(Daily_Data!B399="","",Daily_Data!B399)</f>
        <v/>
      </c>
      <c r="C400" s="23" t="str">
        <f aca="false">IF(A400="","",Daily_Data!C399)</f>
        <v/>
      </c>
      <c r="D400" s="23" t="str">
        <f aca="false">IF(A400="","",Daily_Data!D399)</f>
        <v/>
      </c>
      <c r="E400" s="24" t="str">
        <f aca="false">IF(A400="","",Daily_Data!E399)</f>
        <v/>
      </c>
      <c r="F400" s="23" t="str">
        <f aca="false">IF(A400="","",Daily_Data!F399)</f>
        <v/>
      </c>
      <c r="G400" s="23" t="str">
        <f aca="false">IF(A400="","",Daily_Data!G399)</f>
        <v/>
      </c>
      <c r="H400" s="25" t="str">
        <f aca="false">IF(A400="","",IFERROR(INDEX(SCD_Data!$C$3:$C$502,SUMPRODUCT((SCD_Data!$A$3:$A$502=B400)*(IFERROR(DATEVALUE(SCD_Data!$H$3:$H$502&amp;""),SCD_Data!$H$3:$H$502)&lt;=IFERROR(DATEVALUE(A400&amp;""),A400))*(IFERROR(DATEVALUE(SCD_Data!$I$3:$I$502&amp;""),SCD_Data!$I$3:$I$502)&gt;=IFERROR(DATEVALUE(A400&amp;""),A400))*(ROW(SCD_Data!$A$3:$A$502)-2))),"—"))</f>
        <v/>
      </c>
      <c r="I400" s="25" t="str">
        <f aca="false">IF(A400="","",IFERROR(INDEX(SCD_Data!$D$3:$D$502,SUMPRODUCT((SCD_Data!$A$3:$A$502=B400)*(IFERROR(DATEVALUE(SCD_Data!$H$3:$H$502&amp;""),SCD_Data!$H$3:$H$502)&lt;=IFERROR(DATEVALUE(A400&amp;""),A400))*(IFERROR(DATEVALUE(SCD_Data!$I$3:$I$502&amp;""),SCD_Data!$I$3:$I$502)&gt;=IFERROR(DATEVALUE(A400&amp;""),A400))*(ROW(SCD_Data!$A$3:$A$502)-2))),"—"))</f>
        <v/>
      </c>
      <c r="J400" s="26" t="str">
        <f aca="false">IF(A400="","",IFERROR(INDEX(SCD_Data!$E$3:$E$502,SUMPRODUCT((SCD_Data!$A$3:$A$502=B400)*(IFERROR(DATEVALUE(SCD_Data!$H$3:$H$502&amp;""),SCD_Data!$H$3:$H$502)&lt;=IFERROR(DATEVALUE(A400&amp;""),A400))*(IFERROR(DATEVALUE(SCD_Data!$I$3:$I$502&amp;""),SCD_Data!$I$3:$I$502)&gt;=IFERROR(DATEVALUE(A400&amp;""),A400))*(ROW(SCD_Data!$A$3:$A$502)-2))),"—"))</f>
        <v/>
      </c>
      <c r="K400" s="25" t="str">
        <f aca="false">IF(A400="","",IFERROR(INDEX(SCD_Data!$F$3:$F$502,SUMPRODUCT((SCD_Data!$A$3:$A$502=B400)*(IFERROR(DATEVALUE(SCD_Data!$H$3:$H$502&amp;""),SCD_Data!$H$3:$H$502)&lt;=IFERROR(DATEVALUE(A400&amp;""),A400))*(IFERROR(DATEVALUE(SCD_Data!$I$3:$I$502&amp;""),SCD_Data!$I$3:$I$502)&gt;=IFERROR(DATEVALUE(A400&amp;""),A400))*(ROW(SCD_Data!$A$3:$A$502)-2))),"—"))</f>
        <v/>
      </c>
      <c r="L400" s="25" t="str">
        <f aca="false">IF(A400="","",IFERROR(INDEX(SCD_Data!$G$3:$G$502,SUMPRODUCT((SCD_Data!$A$3:$A$502=B400)*(IFERROR(DATEVALUE(SCD_Data!$H$3:$H$502&amp;""),SCD_Data!$H$3:$H$502)&lt;=IFERROR(DATEVALUE(A400&amp;""),A400))*(IFERROR(DATEVALUE(SCD_Data!$I$3:$I$502&amp;""),SCD_Data!$I$3:$I$502)&gt;=IFERROR(DATEVALUE(A400&amp;""),A400))*(ROW(SCD_Data!$A$3:$A$502)-2))),"—"))</f>
        <v/>
      </c>
      <c r="M400" s="27" t="str">
        <f aca="false">IF(A400="","",IF(H400="—","—",IF(C400&amp;""=H400&amp;"","✓","✗")))</f>
        <v/>
      </c>
      <c r="N400" s="27" t="str">
        <f aca="false">IF(A400="","",IF(H400="—","—",IF(D400&amp;""=I400&amp;"","✓","✗")))</f>
        <v/>
      </c>
      <c r="O400" s="27" t="str">
        <f aca="false">IF(A400="","",IF(H400="—","—",IF(ABS(E400-J400)&lt;0.01,"✓","✗")))</f>
        <v/>
      </c>
      <c r="P400" s="27" t="str">
        <f aca="false">IF(A400="","",IF(H400="—","—",IF(F400&amp;""=K400&amp;"","✓","✗")))</f>
        <v/>
      </c>
      <c r="Q400" s="27" t="str">
        <f aca="false">IF(A400="","",IF(H400="—","—",IF(G400&amp;""=L400&amp;"","✓","✗")))</f>
        <v/>
      </c>
      <c r="R400" s="27" t="str">
        <f aca="false">IF(A400="","",IF(COUNTIF(M400:Q400,"—")=5,"⚠ NO SCD ROW",IF(COUNTIF(M400:Q400,"✗")&gt;0,"❌ MISMATCH","✅ MATCH")))</f>
        <v/>
      </c>
    </row>
    <row r="401" customFormat="false" ht="15" hidden="false" customHeight="true" outlineLevel="0" collapsed="false">
      <c r="A401" s="22" t="str">
        <f aca="false">IF(Daily_Data!A400="","",Daily_Data!A400)</f>
        <v/>
      </c>
      <c r="B401" s="23" t="str">
        <f aca="false">IF(Daily_Data!B400="","",Daily_Data!B400)</f>
        <v/>
      </c>
      <c r="C401" s="23" t="str">
        <f aca="false">IF(A401="","",Daily_Data!C400)</f>
        <v/>
      </c>
      <c r="D401" s="23" t="str">
        <f aca="false">IF(A401="","",Daily_Data!D400)</f>
        <v/>
      </c>
      <c r="E401" s="24" t="str">
        <f aca="false">IF(A401="","",Daily_Data!E400)</f>
        <v/>
      </c>
      <c r="F401" s="23" t="str">
        <f aca="false">IF(A401="","",Daily_Data!F400)</f>
        <v/>
      </c>
      <c r="G401" s="23" t="str">
        <f aca="false">IF(A401="","",Daily_Data!G400)</f>
        <v/>
      </c>
      <c r="H401" s="25" t="str">
        <f aca="false">IF(A401="","",IFERROR(INDEX(SCD_Data!$C$3:$C$502,SUMPRODUCT((SCD_Data!$A$3:$A$502=B401)*(IFERROR(DATEVALUE(SCD_Data!$H$3:$H$502&amp;""),SCD_Data!$H$3:$H$502)&lt;=IFERROR(DATEVALUE(A401&amp;""),A401))*(IFERROR(DATEVALUE(SCD_Data!$I$3:$I$502&amp;""),SCD_Data!$I$3:$I$502)&gt;=IFERROR(DATEVALUE(A401&amp;""),A401))*(ROW(SCD_Data!$A$3:$A$502)-2))),"—"))</f>
        <v/>
      </c>
      <c r="I401" s="25" t="str">
        <f aca="false">IF(A401="","",IFERROR(INDEX(SCD_Data!$D$3:$D$502,SUMPRODUCT((SCD_Data!$A$3:$A$502=B401)*(IFERROR(DATEVALUE(SCD_Data!$H$3:$H$502&amp;""),SCD_Data!$H$3:$H$502)&lt;=IFERROR(DATEVALUE(A401&amp;""),A401))*(IFERROR(DATEVALUE(SCD_Data!$I$3:$I$502&amp;""),SCD_Data!$I$3:$I$502)&gt;=IFERROR(DATEVALUE(A401&amp;""),A401))*(ROW(SCD_Data!$A$3:$A$502)-2))),"—"))</f>
        <v/>
      </c>
      <c r="J401" s="26" t="str">
        <f aca="false">IF(A401="","",IFERROR(INDEX(SCD_Data!$E$3:$E$502,SUMPRODUCT((SCD_Data!$A$3:$A$502=B401)*(IFERROR(DATEVALUE(SCD_Data!$H$3:$H$502&amp;""),SCD_Data!$H$3:$H$502)&lt;=IFERROR(DATEVALUE(A401&amp;""),A401))*(IFERROR(DATEVALUE(SCD_Data!$I$3:$I$502&amp;""),SCD_Data!$I$3:$I$502)&gt;=IFERROR(DATEVALUE(A401&amp;""),A401))*(ROW(SCD_Data!$A$3:$A$502)-2))),"—"))</f>
        <v/>
      </c>
      <c r="K401" s="25" t="str">
        <f aca="false">IF(A401="","",IFERROR(INDEX(SCD_Data!$F$3:$F$502,SUMPRODUCT((SCD_Data!$A$3:$A$502=B401)*(IFERROR(DATEVALUE(SCD_Data!$H$3:$H$502&amp;""),SCD_Data!$H$3:$H$502)&lt;=IFERROR(DATEVALUE(A401&amp;""),A401))*(IFERROR(DATEVALUE(SCD_Data!$I$3:$I$502&amp;""),SCD_Data!$I$3:$I$502)&gt;=IFERROR(DATEVALUE(A401&amp;""),A401))*(ROW(SCD_Data!$A$3:$A$502)-2))),"—"))</f>
        <v/>
      </c>
      <c r="L401" s="25" t="str">
        <f aca="false">IF(A401="","",IFERROR(INDEX(SCD_Data!$G$3:$G$502,SUMPRODUCT((SCD_Data!$A$3:$A$502=B401)*(IFERROR(DATEVALUE(SCD_Data!$H$3:$H$502&amp;""),SCD_Data!$H$3:$H$502)&lt;=IFERROR(DATEVALUE(A401&amp;""),A401))*(IFERROR(DATEVALUE(SCD_Data!$I$3:$I$502&amp;""),SCD_Data!$I$3:$I$502)&gt;=IFERROR(DATEVALUE(A401&amp;""),A401))*(ROW(SCD_Data!$A$3:$A$502)-2))),"—"))</f>
        <v/>
      </c>
      <c r="M401" s="27" t="str">
        <f aca="false">IF(A401="","",IF(H401="—","—",IF(C401&amp;""=H401&amp;"","✓","✗")))</f>
        <v/>
      </c>
      <c r="N401" s="27" t="str">
        <f aca="false">IF(A401="","",IF(H401="—","—",IF(D401&amp;""=I401&amp;"","✓","✗")))</f>
        <v/>
      </c>
      <c r="O401" s="27" t="str">
        <f aca="false">IF(A401="","",IF(H401="—","—",IF(ABS(E401-J401)&lt;0.01,"✓","✗")))</f>
        <v/>
      </c>
      <c r="P401" s="27" t="str">
        <f aca="false">IF(A401="","",IF(H401="—","—",IF(F401&amp;""=K401&amp;"","✓","✗")))</f>
        <v/>
      </c>
      <c r="Q401" s="27" t="str">
        <f aca="false">IF(A401="","",IF(H401="—","—",IF(G401&amp;""=L401&amp;"","✓","✗")))</f>
        <v/>
      </c>
      <c r="R401" s="27" t="str">
        <f aca="false">IF(A401="","",IF(COUNTIF(M401:Q401,"—")=5,"⚠ NO SCD ROW",IF(COUNTIF(M401:Q401,"✗")&gt;0,"❌ MISMATCH","✅ MATCH")))</f>
        <v/>
      </c>
    </row>
    <row r="402" customFormat="false" ht="15" hidden="false" customHeight="true" outlineLevel="0" collapsed="false">
      <c r="A402" s="22" t="str">
        <f aca="false">IF(Daily_Data!A401="","",Daily_Data!A401)</f>
        <v/>
      </c>
      <c r="B402" s="23" t="str">
        <f aca="false">IF(Daily_Data!B401="","",Daily_Data!B401)</f>
        <v/>
      </c>
      <c r="C402" s="23" t="str">
        <f aca="false">IF(A402="","",Daily_Data!C401)</f>
        <v/>
      </c>
      <c r="D402" s="23" t="str">
        <f aca="false">IF(A402="","",Daily_Data!D401)</f>
        <v/>
      </c>
      <c r="E402" s="24" t="str">
        <f aca="false">IF(A402="","",Daily_Data!E401)</f>
        <v/>
      </c>
      <c r="F402" s="23" t="str">
        <f aca="false">IF(A402="","",Daily_Data!F401)</f>
        <v/>
      </c>
      <c r="G402" s="23" t="str">
        <f aca="false">IF(A402="","",Daily_Data!G401)</f>
        <v/>
      </c>
      <c r="H402" s="25" t="str">
        <f aca="false">IF(A402="","",IFERROR(INDEX(SCD_Data!$C$3:$C$502,SUMPRODUCT((SCD_Data!$A$3:$A$502=B402)*(IFERROR(DATEVALUE(SCD_Data!$H$3:$H$502&amp;""),SCD_Data!$H$3:$H$502)&lt;=IFERROR(DATEVALUE(A402&amp;""),A402))*(IFERROR(DATEVALUE(SCD_Data!$I$3:$I$502&amp;""),SCD_Data!$I$3:$I$502)&gt;=IFERROR(DATEVALUE(A402&amp;""),A402))*(ROW(SCD_Data!$A$3:$A$502)-2))),"—"))</f>
        <v/>
      </c>
      <c r="I402" s="25" t="str">
        <f aca="false">IF(A402="","",IFERROR(INDEX(SCD_Data!$D$3:$D$502,SUMPRODUCT((SCD_Data!$A$3:$A$502=B402)*(IFERROR(DATEVALUE(SCD_Data!$H$3:$H$502&amp;""),SCD_Data!$H$3:$H$502)&lt;=IFERROR(DATEVALUE(A402&amp;""),A402))*(IFERROR(DATEVALUE(SCD_Data!$I$3:$I$502&amp;""),SCD_Data!$I$3:$I$502)&gt;=IFERROR(DATEVALUE(A402&amp;""),A402))*(ROW(SCD_Data!$A$3:$A$502)-2))),"—"))</f>
        <v/>
      </c>
      <c r="J402" s="26" t="str">
        <f aca="false">IF(A402="","",IFERROR(INDEX(SCD_Data!$E$3:$E$502,SUMPRODUCT((SCD_Data!$A$3:$A$502=B402)*(IFERROR(DATEVALUE(SCD_Data!$H$3:$H$502&amp;""),SCD_Data!$H$3:$H$502)&lt;=IFERROR(DATEVALUE(A402&amp;""),A402))*(IFERROR(DATEVALUE(SCD_Data!$I$3:$I$502&amp;""),SCD_Data!$I$3:$I$502)&gt;=IFERROR(DATEVALUE(A402&amp;""),A402))*(ROW(SCD_Data!$A$3:$A$502)-2))),"—"))</f>
        <v/>
      </c>
      <c r="K402" s="25" t="str">
        <f aca="false">IF(A402="","",IFERROR(INDEX(SCD_Data!$F$3:$F$502,SUMPRODUCT((SCD_Data!$A$3:$A$502=B402)*(IFERROR(DATEVALUE(SCD_Data!$H$3:$H$502&amp;""),SCD_Data!$H$3:$H$502)&lt;=IFERROR(DATEVALUE(A402&amp;""),A402))*(IFERROR(DATEVALUE(SCD_Data!$I$3:$I$502&amp;""),SCD_Data!$I$3:$I$502)&gt;=IFERROR(DATEVALUE(A402&amp;""),A402))*(ROW(SCD_Data!$A$3:$A$502)-2))),"—"))</f>
        <v/>
      </c>
      <c r="L402" s="25" t="str">
        <f aca="false">IF(A402="","",IFERROR(INDEX(SCD_Data!$G$3:$G$502,SUMPRODUCT((SCD_Data!$A$3:$A$502=B402)*(IFERROR(DATEVALUE(SCD_Data!$H$3:$H$502&amp;""),SCD_Data!$H$3:$H$502)&lt;=IFERROR(DATEVALUE(A402&amp;""),A402))*(IFERROR(DATEVALUE(SCD_Data!$I$3:$I$502&amp;""),SCD_Data!$I$3:$I$502)&gt;=IFERROR(DATEVALUE(A402&amp;""),A402))*(ROW(SCD_Data!$A$3:$A$502)-2))),"—"))</f>
        <v/>
      </c>
      <c r="M402" s="27" t="str">
        <f aca="false">IF(A402="","",IF(H402="—","—",IF(C402&amp;""=H402&amp;"","✓","✗")))</f>
        <v/>
      </c>
      <c r="N402" s="27" t="str">
        <f aca="false">IF(A402="","",IF(H402="—","—",IF(D402&amp;""=I402&amp;"","✓","✗")))</f>
        <v/>
      </c>
      <c r="O402" s="27" t="str">
        <f aca="false">IF(A402="","",IF(H402="—","—",IF(ABS(E402-J402)&lt;0.01,"✓","✗")))</f>
        <v/>
      </c>
      <c r="P402" s="27" t="str">
        <f aca="false">IF(A402="","",IF(H402="—","—",IF(F402&amp;""=K402&amp;"","✓","✗")))</f>
        <v/>
      </c>
      <c r="Q402" s="27" t="str">
        <f aca="false">IF(A402="","",IF(H402="—","—",IF(G402&amp;""=L402&amp;"","✓","✗")))</f>
        <v/>
      </c>
      <c r="R402" s="27" t="str">
        <f aca="false">IF(A402="","",IF(COUNTIF(M402:Q402,"—")=5,"⚠ NO SCD ROW",IF(COUNTIF(M402:Q402,"✗")&gt;0,"❌ MISMATCH","✅ MATCH")))</f>
        <v/>
      </c>
    </row>
    <row r="403" customFormat="false" ht="15" hidden="false" customHeight="true" outlineLevel="0" collapsed="false">
      <c r="A403" s="22" t="str">
        <f aca="false">IF(Daily_Data!A402="","",Daily_Data!A402)</f>
        <v/>
      </c>
      <c r="B403" s="23" t="str">
        <f aca="false">IF(Daily_Data!B402="","",Daily_Data!B402)</f>
        <v/>
      </c>
      <c r="C403" s="23" t="str">
        <f aca="false">IF(A403="","",Daily_Data!C402)</f>
        <v/>
      </c>
      <c r="D403" s="23" t="str">
        <f aca="false">IF(A403="","",Daily_Data!D402)</f>
        <v/>
      </c>
      <c r="E403" s="24" t="str">
        <f aca="false">IF(A403="","",Daily_Data!E402)</f>
        <v/>
      </c>
      <c r="F403" s="23" t="str">
        <f aca="false">IF(A403="","",Daily_Data!F402)</f>
        <v/>
      </c>
      <c r="G403" s="23" t="str">
        <f aca="false">IF(A403="","",Daily_Data!G402)</f>
        <v/>
      </c>
      <c r="H403" s="25" t="str">
        <f aca="false">IF(A403="","",IFERROR(INDEX(SCD_Data!$C$3:$C$502,SUMPRODUCT((SCD_Data!$A$3:$A$502=B403)*(IFERROR(DATEVALUE(SCD_Data!$H$3:$H$502&amp;""),SCD_Data!$H$3:$H$502)&lt;=IFERROR(DATEVALUE(A403&amp;""),A403))*(IFERROR(DATEVALUE(SCD_Data!$I$3:$I$502&amp;""),SCD_Data!$I$3:$I$502)&gt;=IFERROR(DATEVALUE(A403&amp;""),A403))*(ROW(SCD_Data!$A$3:$A$502)-2))),"—"))</f>
        <v/>
      </c>
      <c r="I403" s="25" t="str">
        <f aca="false">IF(A403="","",IFERROR(INDEX(SCD_Data!$D$3:$D$502,SUMPRODUCT((SCD_Data!$A$3:$A$502=B403)*(IFERROR(DATEVALUE(SCD_Data!$H$3:$H$502&amp;""),SCD_Data!$H$3:$H$502)&lt;=IFERROR(DATEVALUE(A403&amp;""),A403))*(IFERROR(DATEVALUE(SCD_Data!$I$3:$I$502&amp;""),SCD_Data!$I$3:$I$502)&gt;=IFERROR(DATEVALUE(A403&amp;""),A403))*(ROW(SCD_Data!$A$3:$A$502)-2))),"—"))</f>
        <v/>
      </c>
      <c r="J403" s="26" t="str">
        <f aca="false">IF(A403="","",IFERROR(INDEX(SCD_Data!$E$3:$E$502,SUMPRODUCT((SCD_Data!$A$3:$A$502=B403)*(IFERROR(DATEVALUE(SCD_Data!$H$3:$H$502&amp;""),SCD_Data!$H$3:$H$502)&lt;=IFERROR(DATEVALUE(A403&amp;""),A403))*(IFERROR(DATEVALUE(SCD_Data!$I$3:$I$502&amp;""),SCD_Data!$I$3:$I$502)&gt;=IFERROR(DATEVALUE(A403&amp;""),A403))*(ROW(SCD_Data!$A$3:$A$502)-2))),"—"))</f>
        <v/>
      </c>
      <c r="K403" s="25" t="str">
        <f aca="false">IF(A403="","",IFERROR(INDEX(SCD_Data!$F$3:$F$502,SUMPRODUCT((SCD_Data!$A$3:$A$502=B403)*(IFERROR(DATEVALUE(SCD_Data!$H$3:$H$502&amp;""),SCD_Data!$H$3:$H$502)&lt;=IFERROR(DATEVALUE(A403&amp;""),A403))*(IFERROR(DATEVALUE(SCD_Data!$I$3:$I$502&amp;""),SCD_Data!$I$3:$I$502)&gt;=IFERROR(DATEVALUE(A403&amp;""),A403))*(ROW(SCD_Data!$A$3:$A$502)-2))),"—"))</f>
        <v/>
      </c>
      <c r="L403" s="25" t="str">
        <f aca="false">IF(A403="","",IFERROR(INDEX(SCD_Data!$G$3:$G$502,SUMPRODUCT((SCD_Data!$A$3:$A$502=B403)*(IFERROR(DATEVALUE(SCD_Data!$H$3:$H$502&amp;""),SCD_Data!$H$3:$H$502)&lt;=IFERROR(DATEVALUE(A403&amp;""),A403))*(IFERROR(DATEVALUE(SCD_Data!$I$3:$I$502&amp;""),SCD_Data!$I$3:$I$502)&gt;=IFERROR(DATEVALUE(A403&amp;""),A403))*(ROW(SCD_Data!$A$3:$A$502)-2))),"—"))</f>
        <v/>
      </c>
      <c r="M403" s="27" t="str">
        <f aca="false">IF(A403="","",IF(H403="—","—",IF(C403&amp;""=H403&amp;"","✓","✗")))</f>
        <v/>
      </c>
      <c r="N403" s="27" t="str">
        <f aca="false">IF(A403="","",IF(H403="—","—",IF(D403&amp;""=I403&amp;"","✓","✗")))</f>
        <v/>
      </c>
      <c r="O403" s="27" t="str">
        <f aca="false">IF(A403="","",IF(H403="—","—",IF(ABS(E403-J403)&lt;0.01,"✓","✗")))</f>
        <v/>
      </c>
      <c r="P403" s="27" t="str">
        <f aca="false">IF(A403="","",IF(H403="—","—",IF(F403&amp;""=K403&amp;"","✓","✗")))</f>
        <v/>
      </c>
      <c r="Q403" s="27" t="str">
        <f aca="false">IF(A403="","",IF(H403="—","—",IF(G403&amp;""=L403&amp;"","✓","✗")))</f>
        <v/>
      </c>
      <c r="R403" s="27" t="str">
        <f aca="false">IF(A403="","",IF(COUNTIF(M403:Q403,"—")=5,"⚠ NO SCD ROW",IF(COUNTIF(M403:Q403,"✗")&gt;0,"❌ MISMATCH","✅ MATCH")))</f>
        <v/>
      </c>
    </row>
    <row r="404" customFormat="false" ht="15" hidden="false" customHeight="true" outlineLevel="0" collapsed="false">
      <c r="A404" s="22" t="str">
        <f aca="false">IF(Daily_Data!A403="","",Daily_Data!A403)</f>
        <v/>
      </c>
      <c r="B404" s="23" t="str">
        <f aca="false">IF(Daily_Data!B403="","",Daily_Data!B403)</f>
        <v/>
      </c>
      <c r="C404" s="23" t="str">
        <f aca="false">IF(A404="","",Daily_Data!C403)</f>
        <v/>
      </c>
      <c r="D404" s="23" t="str">
        <f aca="false">IF(A404="","",Daily_Data!D403)</f>
        <v/>
      </c>
      <c r="E404" s="24" t="str">
        <f aca="false">IF(A404="","",Daily_Data!E403)</f>
        <v/>
      </c>
      <c r="F404" s="23" t="str">
        <f aca="false">IF(A404="","",Daily_Data!F403)</f>
        <v/>
      </c>
      <c r="G404" s="23" t="str">
        <f aca="false">IF(A404="","",Daily_Data!G403)</f>
        <v/>
      </c>
      <c r="H404" s="25" t="str">
        <f aca="false">IF(A404="","",IFERROR(INDEX(SCD_Data!$C$3:$C$502,SUMPRODUCT((SCD_Data!$A$3:$A$502=B404)*(IFERROR(DATEVALUE(SCD_Data!$H$3:$H$502&amp;""),SCD_Data!$H$3:$H$502)&lt;=IFERROR(DATEVALUE(A404&amp;""),A404))*(IFERROR(DATEVALUE(SCD_Data!$I$3:$I$502&amp;""),SCD_Data!$I$3:$I$502)&gt;=IFERROR(DATEVALUE(A404&amp;""),A404))*(ROW(SCD_Data!$A$3:$A$502)-2))),"—"))</f>
        <v/>
      </c>
      <c r="I404" s="25" t="str">
        <f aca="false">IF(A404="","",IFERROR(INDEX(SCD_Data!$D$3:$D$502,SUMPRODUCT((SCD_Data!$A$3:$A$502=B404)*(IFERROR(DATEVALUE(SCD_Data!$H$3:$H$502&amp;""),SCD_Data!$H$3:$H$502)&lt;=IFERROR(DATEVALUE(A404&amp;""),A404))*(IFERROR(DATEVALUE(SCD_Data!$I$3:$I$502&amp;""),SCD_Data!$I$3:$I$502)&gt;=IFERROR(DATEVALUE(A404&amp;""),A404))*(ROW(SCD_Data!$A$3:$A$502)-2))),"—"))</f>
        <v/>
      </c>
      <c r="J404" s="26" t="str">
        <f aca="false">IF(A404="","",IFERROR(INDEX(SCD_Data!$E$3:$E$502,SUMPRODUCT((SCD_Data!$A$3:$A$502=B404)*(IFERROR(DATEVALUE(SCD_Data!$H$3:$H$502&amp;""),SCD_Data!$H$3:$H$502)&lt;=IFERROR(DATEVALUE(A404&amp;""),A404))*(IFERROR(DATEVALUE(SCD_Data!$I$3:$I$502&amp;""),SCD_Data!$I$3:$I$502)&gt;=IFERROR(DATEVALUE(A404&amp;""),A404))*(ROW(SCD_Data!$A$3:$A$502)-2))),"—"))</f>
        <v/>
      </c>
      <c r="K404" s="25" t="str">
        <f aca="false">IF(A404="","",IFERROR(INDEX(SCD_Data!$F$3:$F$502,SUMPRODUCT((SCD_Data!$A$3:$A$502=B404)*(IFERROR(DATEVALUE(SCD_Data!$H$3:$H$502&amp;""),SCD_Data!$H$3:$H$502)&lt;=IFERROR(DATEVALUE(A404&amp;""),A404))*(IFERROR(DATEVALUE(SCD_Data!$I$3:$I$502&amp;""),SCD_Data!$I$3:$I$502)&gt;=IFERROR(DATEVALUE(A404&amp;""),A404))*(ROW(SCD_Data!$A$3:$A$502)-2))),"—"))</f>
        <v/>
      </c>
      <c r="L404" s="25" t="str">
        <f aca="false">IF(A404="","",IFERROR(INDEX(SCD_Data!$G$3:$G$502,SUMPRODUCT((SCD_Data!$A$3:$A$502=B404)*(IFERROR(DATEVALUE(SCD_Data!$H$3:$H$502&amp;""),SCD_Data!$H$3:$H$502)&lt;=IFERROR(DATEVALUE(A404&amp;""),A404))*(IFERROR(DATEVALUE(SCD_Data!$I$3:$I$502&amp;""),SCD_Data!$I$3:$I$502)&gt;=IFERROR(DATEVALUE(A404&amp;""),A404))*(ROW(SCD_Data!$A$3:$A$502)-2))),"—"))</f>
        <v/>
      </c>
      <c r="M404" s="27" t="str">
        <f aca="false">IF(A404="","",IF(H404="—","—",IF(C404&amp;""=H404&amp;"","✓","✗")))</f>
        <v/>
      </c>
      <c r="N404" s="27" t="str">
        <f aca="false">IF(A404="","",IF(H404="—","—",IF(D404&amp;""=I404&amp;"","✓","✗")))</f>
        <v/>
      </c>
      <c r="O404" s="27" t="str">
        <f aca="false">IF(A404="","",IF(H404="—","—",IF(ABS(E404-J404)&lt;0.01,"✓","✗")))</f>
        <v/>
      </c>
      <c r="P404" s="27" t="str">
        <f aca="false">IF(A404="","",IF(H404="—","—",IF(F404&amp;""=K404&amp;"","✓","✗")))</f>
        <v/>
      </c>
      <c r="Q404" s="27" t="str">
        <f aca="false">IF(A404="","",IF(H404="—","—",IF(G404&amp;""=L404&amp;"","✓","✗")))</f>
        <v/>
      </c>
      <c r="R404" s="27" t="str">
        <f aca="false">IF(A404="","",IF(COUNTIF(M404:Q404,"—")=5,"⚠ NO SCD ROW",IF(COUNTIF(M404:Q404,"✗")&gt;0,"❌ MISMATCH","✅ MATCH")))</f>
        <v/>
      </c>
    </row>
    <row r="405" customFormat="false" ht="15" hidden="false" customHeight="true" outlineLevel="0" collapsed="false">
      <c r="A405" s="22" t="str">
        <f aca="false">IF(Daily_Data!A404="","",Daily_Data!A404)</f>
        <v/>
      </c>
      <c r="B405" s="23" t="str">
        <f aca="false">IF(Daily_Data!B404="","",Daily_Data!B404)</f>
        <v/>
      </c>
      <c r="C405" s="23" t="str">
        <f aca="false">IF(A405="","",Daily_Data!C404)</f>
        <v/>
      </c>
      <c r="D405" s="23" t="str">
        <f aca="false">IF(A405="","",Daily_Data!D404)</f>
        <v/>
      </c>
      <c r="E405" s="24" t="str">
        <f aca="false">IF(A405="","",Daily_Data!E404)</f>
        <v/>
      </c>
      <c r="F405" s="23" t="str">
        <f aca="false">IF(A405="","",Daily_Data!F404)</f>
        <v/>
      </c>
      <c r="G405" s="23" t="str">
        <f aca="false">IF(A405="","",Daily_Data!G404)</f>
        <v/>
      </c>
      <c r="H405" s="25" t="str">
        <f aca="false">IF(A405="","",IFERROR(INDEX(SCD_Data!$C$3:$C$502,SUMPRODUCT((SCD_Data!$A$3:$A$502=B405)*(IFERROR(DATEVALUE(SCD_Data!$H$3:$H$502&amp;""),SCD_Data!$H$3:$H$502)&lt;=IFERROR(DATEVALUE(A405&amp;""),A405))*(IFERROR(DATEVALUE(SCD_Data!$I$3:$I$502&amp;""),SCD_Data!$I$3:$I$502)&gt;=IFERROR(DATEVALUE(A405&amp;""),A405))*(ROW(SCD_Data!$A$3:$A$502)-2))),"—"))</f>
        <v/>
      </c>
      <c r="I405" s="25" t="str">
        <f aca="false">IF(A405="","",IFERROR(INDEX(SCD_Data!$D$3:$D$502,SUMPRODUCT((SCD_Data!$A$3:$A$502=B405)*(IFERROR(DATEVALUE(SCD_Data!$H$3:$H$502&amp;""),SCD_Data!$H$3:$H$502)&lt;=IFERROR(DATEVALUE(A405&amp;""),A405))*(IFERROR(DATEVALUE(SCD_Data!$I$3:$I$502&amp;""),SCD_Data!$I$3:$I$502)&gt;=IFERROR(DATEVALUE(A405&amp;""),A405))*(ROW(SCD_Data!$A$3:$A$502)-2))),"—"))</f>
        <v/>
      </c>
      <c r="J405" s="26" t="str">
        <f aca="false">IF(A405="","",IFERROR(INDEX(SCD_Data!$E$3:$E$502,SUMPRODUCT((SCD_Data!$A$3:$A$502=B405)*(IFERROR(DATEVALUE(SCD_Data!$H$3:$H$502&amp;""),SCD_Data!$H$3:$H$502)&lt;=IFERROR(DATEVALUE(A405&amp;""),A405))*(IFERROR(DATEVALUE(SCD_Data!$I$3:$I$502&amp;""),SCD_Data!$I$3:$I$502)&gt;=IFERROR(DATEVALUE(A405&amp;""),A405))*(ROW(SCD_Data!$A$3:$A$502)-2))),"—"))</f>
        <v/>
      </c>
      <c r="K405" s="25" t="str">
        <f aca="false">IF(A405="","",IFERROR(INDEX(SCD_Data!$F$3:$F$502,SUMPRODUCT((SCD_Data!$A$3:$A$502=B405)*(IFERROR(DATEVALUE(SCD_Data!$H$3:$H$502&amp;""),SCD_Data!$H$3:$H$502)&lt;=IFERROR(DATEVALUE(A405&amp;""),A405))*(IFERROR(DATEVALUE(SCD_Data!$I$3:$I$502&amp;""),SCD_Data!$I$3:$I$502)&gt;=IFERROR(DATEVALUE(A405&amp;""),A405))*(ROW(SCD_Data!$A$3:$A$502)-2))),"—"))</f>
        <v/>
      </c>
      <c r="L405" s="25" t="str">
        <f aca="false">IF(A405="","",IFERROR(INDEX(SCD_Data!$G$3:$G$502,SUMPRODUCT((SCD_Data!$A$3:$A$502=B405)*(IFERROR(DATEVALUE(SCD_Data!$H$3:$H$502&amp;""),SCD_Data!$H$3:$H$502)&lt;=IFERROR(DATEVALUE(A405&amp;""),A405))*(IFERROR(DATEVALUE(SCD_Data!$I$3:$I$502&amp;""),SCD_Data!$I$3:$I$502)&gt;=IFERROR(DATEVALUE(A405&amp;""),A405))*(ROW(SCD_Data!$A$3:$A$502)-2))),"—"))</f>
        <v/>
      </c>
      <c r="M405" s="27" t="str">
        <f aca="false">IF(A405="","",IF(H405="—","—",IF(C405&amp;""=H405&amp;"","✓","✗")))</f>
        <v/>
      </c>
      <c r="N405" s="27" t="str">
        <f aca="false">IF(A405="","",IF(H405="—","—",IF(D405&amp;""=I405&amp;"","✓","✗")))</f>
        <v/>
      </c>
      <c r="O405" s="27" t="str">
        <f aca="false">IF(A405="","",IF(H405="—","—",IF(ABS(E405-J405)&lt;0.01,"✓","✗")))</f>
        <v/>
      </c>
      <c r="P405" s="27" t="str">
        <f aca="false">IF(A405="","",IF(H405="—","—",IF(F405&amp;""=K405&amp;"","✓","✗")))</f>
        <v/>
      </c>
      <c r="Q405" s="27" t="str">
        <f aca="false">IF(A405="","",IF(H405="—","—",IF(G405&amp;""=L405&amp;"","✓","✗")))</f>
        <v/>
      </c>
      <c r="R405" s="27" t="str">
        <f aca="false">IF(A405="","",IF(COUNTIF(M405:Q405,"—")=5,"⚠ NO SCD ROW",IF(COUNTIF(M405:Q405,"✗")&gt;0,"❌ MISMATCH","✅ MATCH")))</f>
        <v/>
      </c>
    </row>
    <row r="406" customFormat="false" ht="15" hidden="false" customHeight="true" outlineLevel="0" collapsed="false">
      <c r="A406" s="22" t="str">
        <f aca="false">IF(Daily_Data!A405="","",Daily_Data!A405)</f>
        <v/>
      </c>
      <c r="B406" s="23" t="str">
        <f aca="false">IF(Daily_Data!B405="","",Daily_Data!B405)</f>
        <v/>
      </c>
      <c r="C406" s="23" t="str">
        <f aca="false">IF(A406="","",Daily_Data!C405)</f>
        <v/>
      </c>
      <c r="D406" s="23" t="str">
        <f aca="false">IF(A406="","",Daily_Data!D405)</f>
        <v/>
      </c>
      <c r="E406" s="24" t="str">
        <f aca="false">IF(A406="","",Daily_Data!E405)</f>
        <v/>
      </c>
      <c r="F406" s="23" t="str">
        <f aca="false">IF(A406="","",Daily_Data!F405)</f>
        <v/>
      </c>
      <c r="G406" s="23" t="str">
        <f aca="false">IF(A406="","",Daily_Data!G405)</f>
        <v/>
      </c>
      <c r="H406" s="25" t="str">
        <f aca="false">IF(A406="","",IFERROR(INDEX(SCD_Data!$C$3:$C$502,SUMPRODUCT((SCD_Data!$A$3:$A$502=B406)*(IFERROR(DATEVALUE(SCD_Data!$H$3:$H$502&amp;""),SCD_Data!$H$3:$H$502)&lt;=IFERROR(DATEVALUE(A406&amp;""),A406))*(IFERROR(DATEVALUE(SCD_Data!$I$3:$I$502&amp;""),SCD_Data!$I$3:$I$502)&gt;=IFERROR(DATEVALUE(A406&amp;""),A406))*(ROW(SCD_Data!$A$3:$A$502)-2))),"—"))</f>
        <v/>
      </c>
      <c r="I406" s="25" t="str">
        <f aca="false">IF(A406="","",IFERROR(INDEX(SCD_Data!$D$3:$D$502,SUMPRODUCT((SCD_Data!$A$3:$A$502=B406)*(IFERROR(DATEVALUE(SCD_Data!$H$3:$H$502&amp;""),SCD_Data!$H$3:$H$502)&lt;=IFERROR(DATEVALUE(A406&amp;""),A406))*(IFERROR(DATEVALUE(SCD_Data!$I$3:$I$502&amp;""),SCD_Data!$I$3:$I$502)&gt;=IFERROR(DATEVALUE(A406&amp;""),A406))*(ROW(SCD_Data!$A$3:$A$502)-2))),"—"))</f>
        <v/>
      </c>
      <c r="J406" s="26" t="str">
        <f aca="false">IF(A406="","",IFERROR(INDEX(SCD_Data!$E$3:$E$502,SUMPRODUCT((SCD_Data!$A$3:$A$502=B406)*(IFERROR(DATEVALUE(SCD_Data!$H$3:$H$502&amp;""),SCD_Data!$H$3:$H$502)&lt;=IFERROR(DATEVALUE(A406&amp;""),A406))*(IFERROR(DATEVALUE(SCD_Data!$I$3:$I$502&amp;""),SCD_Data!$I$3:$I$502)&gt;=IFERROR(DATEVALUE(A406&amp;""),A406))*(ROW(SCD_Data!$A$3:$A$502)-2))),"—"))</f>
        <v/>
      </c>
      <c r="K406" s="25" t="str">
        <f aca="false">IF(A406="","",IFERROR(INDEX(SCD_Data!$F$3:$F$502,SUMPRODUCT((SCD_Data!$A$3:$A$502=B406)*(IFERROR(DATEVALUE(SCD_Data!$H$3:$H$502&amp;""),SCD_Data!$H$3:$H$502)&lt;=IFERROR(DATEVALUE(A406&amp;""),A406))*(IFERROR(DATEVALUE(SCD_Data!$I$3:$I$502&amp;""),SCD_Data!$I$3:$I$502)&gt;=IFERROR(DATEVALUE(A406&amp;""),A406))*(ROW(SCD_Data!$A$3:$A$502)-2))),"—"))</f>
        <v/>
      </c>
      <c r="L406" s="25" t="str">
        <f aca="false">IF(A406="","",IFERROR(INDEX(SCD_Data!$G$3:$G$502,SUMPRODUCT((SCD_Data!$A$3:$A$502=B406)*(IFERROR(DATEVALUE(SCD_Data!$H$3:$H$502&amp;""),SCD_Data!$H$3:$H$502)&lt;=IFERROR(DATEVALUE(A406&amp;""),A406))*(IFERROR(DATEVALUE(SCD_Data!$I$3:$I$502&amp;""),SCD_Data!$I$3:$I$502)&gt;=IFERROR(DATEVALUE(A406&amp;""),A406))*(ROW(SCD_Data!$A$3:$A$502)-2))),"—"))</f>
        <v/>
      </c>
      <c r="M406" s="27" t="str">
        <f aca="false">IF(A406="","",IF(H406="—","—",IF(C406&amp;""=H406&amp;"","✓","✗")))</f>
        <v/>
      </c>
      <c r="N406" s="27" t="str">
        <f aca="false">IF(A406="","",IF(H406="—","—",IF(D406&amp;""=I406&amp;"","✓","✗")))</f>
        <v/>
      </c>
      <c r="O406" s="27" t="str">
        <f aca="false">IF(A406="","",IF(H406="—","—",IF(ABS(E406-J406)&lt;0.01,"✓","✗")))</f>
        <v/>
      </c>
      <c r="P406" s="27" t="str">
        <f aca="false">IF(A406="","",IF(H406="—","—",IF(F406&amp;""=K406&amp;"","✓","✗")))</f>
        <v/>
      </c>
      <c r="Q406" s="27" t="str">
        <f aca="false">IF(A406="","",IF(H406="—","—",IF(G406&amp;""=L406&amp;"","✓","✗")))</f>
        <v/>
      </c>
      <c r="R406" s="27" t="str">
        <f aca="false">IF(A406="","",IF(COUNTIF(M406:Q406,"—")=5,"⚠ NO SCD ROW",IF(COUNTIF(M406:Q406,"✗")&gt;0,"❌ MISMATCH","✅ MATCH")))</f>
        <v/>
      </c>
    </row>
    <row r="407" customFormat="false" ht="15" hidden="false" customHeight="true" outlineLevel="0" collapsed="false">
      <c r="A407" s="22" t="str">
        <f aca="false">IF(Daily_Data!A406="","",Daily_Data!A406)</f>
        <v/>
      </c>
      <c r="B407" s="23" t="str">
        <f aca="false">IF(Daily_Data!B406="","",Daily_Data!B406)</f>
        <v/>
      </c>
      <c r="C407" s="23" t="str">
        <f aca="false">IF(A407="","",Daily_Data!C406)</f>
        <v/>
      </c>
      <c r="D407" s="23" t="str">
        <f aca="false">IF(A407="","",Daily_Data!D406)</f>
        <v/>
      </c>
      <c r="E407" s="24" t="str">
        <f aca="false">IF(A407="","",Daily_Data!E406)</f>
        <v/>
      </c>
      <c r="F407" s="23" t="str">
        <f aca="false">IF(A407="","",Daily_Data!F406)</f>
        <v/>
      </c>
      <c r="G407" s="23" t="str">
        <f aca="false">IF(A407="","",Daily_Data!G406)</f>
        <v/>
      </c>
      <c r="H407" s="25" t="str">
        <f aca="false">IF(A407="","",IFERROR(INDEX(SCD_Data!$C$3:$C$502,SUMPRODUCT((SCD_Data!$A$3:$A$502=B407)*(IFERROR(DATEVALUE(SCD_Data!$H$3:$H$502&amp;""),SCD_Data!$H$3:$H$502)&lt;=IFERROR(DATEVALUE(A407&amp;""),A407))*(IFERROR(DATEVALUE(SCD_Data!$I$3:$I$502&amp;""),SCD_Data!$I$3:$I$502)&gt;=IFERROR(DATEVALUE(A407&amp;""),A407))*(ROW(SCD_Data!$A$3:$A$502)-2))),"—"))</f>
        <v/>
      </c>
      <c r="I407" s="25" t="str">
        <f aca="false">IF(A407="","",IFERROR(INDEX(SCD_Data!$D$3:$D$502,SUMPRODUCT((SCD_Data!$A$3:$A$502=B407)*(IFERROR(DATEVALUE(SCD_Data!$H$3:$H$502&amp;""),SCD_Data!$H$3:$H$502)&lt;=IFERROR(DATEVALUE(A407&amp;""),A407))*(IFERROR(DATEVALUE(SCD_Data!$I$3:$I$502&amp;""),SCD_Data!$I$3:$I$502)&gt;=IFERROR(DATEVALUE(A407&amp;""),A407))*(ROW(SCD_Data!$A$3:$A$502)-2))),"—"))</f>
        <v/>
      </c>
      <c r="J407" s="26" t="str">
        <f aca="false">IF(A407="","",IFERROR(INDEX(SCD_Data!$E$3:$E$502,SUMPRODUCT((SCD_Data!$A$3:$A$502=B407)*(IFERROR(DATEVALUE(SCD_Data!$H$3:$H$502&amp;""),SCD_Data!$H$3:$H$502)&lt;=IFERROR(DATEVALUE(A407&amp;""),A407))*(IFERROR(DATEVALUE(SCD_Data!$I$3:$I$502&amp;""),SCD_Data!$I$3:$I$502)&gt;=IFERROR(DATEVALUE(A407&amp;""),A407))*(ROW(SCD_Data!$A$3:$A$502)-2))),"—"))</f>
        <v/>
      </c>
      <c r="K407" s="25" t="str">
        <f aca="false">IF(A407="","",IFERROR(INDEX(SCD_Data!$F$3:$F$502,SUMPRODUCT((SCD_Data!$A$3:$A$502=B407)*(IFERROR(DATEVALUE(SCD_Data!$H$3:$H$502&amp;""),SCD_Data!$H$3:$H$502)&lt;=IFERROR(DATEVALUE(A407&amp;""),A407))*(IFERROR(DATEVALUE(SCD_Data!$I$3:$I$502&amp;""),SCD_Data!$I$3:$I$502)&gt;=IFERROR(DATEVALUE(A407&amp;""),A407))*(ROW(SCD_Data!$A$3:$A$502)-2))),"—"))</f>
        <v/>
      </c>
      <c r="L407" s="25" t="str">
        <f aca="false">IF(A407="","",IFERROR(INDEX(SCD_Data!$G$3:$G$502,SUMPRODUCT((SCD_Data!$A$3:$A$502=B407)*(IFERROR(DATEVALUE(SCD_Data!$H$3:$H$502&amp;""),SCD_Data!$H$3:$H$502)&lt;=IFERROR(DATEVALUE(A407&amp;""),A407))*(IFERROR(DATEVALUE(SCD_Data!$I$3:$I$502&amp;""),SCD_Data!$I$3:$I$502)&gt;=IFERROR(DATEVALUE(A407&amp;""),A407))*(ROW(SCD_Data!$A$3:$A$502)-2))),"—"))</f>
        <v/>
      </c>
      <c r="M407" s="27" t="str">
        <f aca="false">IF(A407="","",IF(H407="—","—",IF(C407&amp;""=H407&amp;"","✓","✗")))</f>
        <v/>
      </c>
      <c r="N407" s="27" t="str">
        <f aca="false">IF(A407="","",IF(H407="—","—",IF(D407&amp;""=I407&amp;"","✓","✗")))</f>
        <v/>
      </c>
      <c r="O407" s="27" t="str">
        <f aca="false">IF(A407="","",IF(H407="—","—",IF(ABS(E407-J407)&lt;0.01,"✓","✗")))</f>
        <v/>
      </c>
      <c r="P407" s="27" t="str">
        <f aca="false">IF(A407="","",IF(H407="—","—",IF(F407&amp;""=K407&amp;"","✓","✗")))</f>
        <v/>
      </c>
      <c r="Q407" s="27" t="str">
        <f aca="false">IF(A407="","",IF(H407="—","—",IF(G407&amp;""=L407&amp;"","✓","✗")))</f>
        <v/>
      </c>
      <c r="R407" s="27" t="str">
        <f aca="false">IF(A407="","",IF(COUNTIF(M407:Q407,"—")=5,"⚠ NO SCD ROW",IF(COUNTIF(M407:Q407,"✗")&gt;0,"❌ MISMATCH","✅ MATCH")))</f>
        <v/>
      </c>
    </row>
    <row r="408" customFormat="false" ht="15" hidden="false" customHeight="true" outlineLevel="0" collapsed="false">
      <c r="A408" s="22" t="str">
        <f aca="false">IF(Daily_Data!A407="","",Daily_Data!A407)</f>
        <v/>
      </c>
      <c r="B408" s="23" t="str">
        <f aca="false">IF(Daily_Data!B407="","",Daily_Data!B407)</f>
        <v/>
      </c>
      <c r="C408" s="23" t="str">
        <f aca="false">IF(A408="","",Daily_Data!C407)</f>
        <v/>
      </c>
      <c r="D408" s="23" t="str">
        <f aca="false">IF(A408="","",Daily_Data!D407)</f>
        <v/>
      </c>
      <c r="E408" s="24" t="str">
        <f aca="false">IF(A408="","",Daily_Data!E407)</f>
        <v/>
      </c>
      <c r="F408" s="23" t="str">
        <f aca="false">IF(A408="","",Daily_Data!F407)</f>
        <v/>
      </c>
      <c r="G408" s="23" t="str">
        <f aca="false">IF(A408="","",Daily_Data!G407)</f>
        <v/>
      </c>
      <c r="H408" s="25" t="str">
        <f aca="false">IF(A408="","",IFERROR(INDEX(SCD_Data!$C$3:$C$502,SUMPRODUCT((SCD_Data!$A$3:$A$502=B408)*(IFERROR(DATEVALUE(SCD_Data!$H$3:$H$502&amp;""),SCD_Data!$H$3:$H$502)&lt;=IFERROR(DATEVALUE(A408&amp;""),A408))*(IFERROR(DATEVALUE(SCD_Data!$I$3:$I$502&amp;""),SCD_Data!$I$3:$I$502)&gt;=IFERROR(DATEVALUE(A408&amp;""),A408))*(ROW(SCD_Data!$A$3:$A$502)-2))),"—"))</f>
        <v/>
      </c>
      <c r="I408" s="25" t="str">
        <f aca="false">IF(A408="","",IFERROR(INDEX(SCD_Data!$D$3:$D$502,SUMPRODUCT((SCD_Data!$A$3:$A$502=B408)*(IFERROR(DATEVALUE(SCD_Data!$H$3:$H$502&amp;""),SCD_Data!$H$3:$H$502)&lt;=IFERROR(DATEVALUE(A408&amp;""),A408))*(IFERROR(DATEVALUE(SCD_Data!$I$3:$I$502&amp;""),SCD_Data!$I$3:$I$502)&gt;=IFERROR(DATEVALUE(A408&amp;""),A408))*(ROW(SCD_Data!$A$3:$A$502)-2))),"—"))</f>
        <v/>
      </c>
      <c r="J408" s="26" t="str">
        <f aca="false">IF(A408="","",IFERROR(INDEX(SCD_Data!$E$3:$E$502,SUMPRODUCT((SCD_Data!$A$3:$A$502=B408)*(IFERROR(DATEVALUE(SCD_Data!$H$3:$H$502&amp;""),SCD_Data!$H$3:$H$502)&lt;=IFERROR(DATEVALUE(A408&amp;""),A408))*(IFERROR(DATEVALUE(SCD_Data!$I$3:$I$502&amp;""),SCD_Data!$I$3:$I$502)&gt;=IFERROR(DATEVALUE(A408&amp;""),A408))*(ROW(SCD_Data!$A$3:$A$502)-2))),"—"))</f>
        <v/>
      </c>
      <c r="K408" s="25" t="str">
        <f aca="false">IF(A408="","",IFERROR(INDEX(SCD_Data!$F$3:$F$502,SUMPRODUCT((SCD_Data!$A$3:$A$502=B408)*(IFERROR(DATEVALUE(SCD_Data!$H$3:$H$502&amp;""),SCD_Data!$H$3:$H$502)&lt;=IFERROR(DATEVALUE(A408&amp;""),A408))*(IFERROR(DATEVALUE(SCD_Data!$I$3:$I$502&amp;""),SCD_Data!$I$3:$I$502)&gt;=IFERROR(DATEVALUE(A408&amp;""),A408))*(ROW(SCD_Data!$A$3:$A$502)-2))),"—"))</f>
        <v/>
      </c>
      <c r="L408" s="25" t="str">
        <f aca="false">IF(A408="","",IFERROR(INDEX(SCD_Data!$G$3:$G$502,SUMPRODUCT((SCD_Data!$A$3:$A$502=B408)*(IFERROR(DATEVALUE(SCD_Data!$H$3:$H$502&amp;""),SCD_Data!$H$3:$H$502)&lt;=IFERROR(DATEVALUE(A408&amp;""),A408))*(IFERROR(DATEVALUE(SCD_Data!$I$3:$I$502&amp;""),SCD_Data!$I$3:$I$502)&gt;=IFERROR(DATEVALUE(A408&amp;""),A408))*(ROW(SCD_Data!$A$3:$A$502)-2))),"—"))</f>
        <v/>
      </c>
      <c r="M408" s="27" t="str">
        <f aca="false">IF(A408="","",IF(H408="—","—",IF(C408&amp;""=H408&amp;"","✓","✗")))</f>
        <v/>
      </c>
      <c r="N408" s="27" t="str">
        <f aca="false">IF(A408="","",IF(H408="—","—",IF(D408&amp;""=I408&amp;"","✓","✗")))</f>
        <v/>
      </c>
      <c r="O408" s="27" t="str">
        <f aca="false">IF(A408="","",IF(H408="—","—",IF(ABS(E408-J408)&lt;0.01,"✓","✗")))</f>
        <v/>
      </c>
      <c r="P408" s="27" t="str">
        <f aca="false">IF(A408="","",IF(H408="—","—",IF(F408&amp;""=K408&amp;"","✓","✗")))</f>
        <v/>
      </c>
      <c r="Q408" s="27" t="str">
        <f aca="false">IF(A408="","",IF(H408="—","—",IF(G408&amp;""=L408&amp;"","✓","✗")))</f>
        <v/>
      </c>
      <c r="R408" s="27" t="str">
        <f aca="false">IF(A408="","",IF(COUNTIF(M408:Q408,"—")=5,"⚠ NO SCD ROW",IF(COUNTIF(M408:Q408,"✗")&gt;0,"❌ MISMATCH","✅ MATCH")))</f>
        <v/>
      </c>
    </row>
    <row r="409" customFormat="false" ht="15" hidden="false" customHeight="true" outlineLevel="0" collapsed="false">
      <c r="A409" s="22" t="str">
        <f aca="false">IF(Daily_Data!A408="","",Daily_Data!A408)</f>
        <v/>
      </c>
      <c r="B409" s="23" t="str">
        <f aca="false">IF(Daily_Data!B408="","",Daily_Data!B408)</f>
        <v/>
      </c>
      <c r="C409" s="23" t="str">
        <f aca="false">IF(A409="","",Daily_Data!C408)</f>
        <v/>
      </c>
      <c r="D409" s="23" t="str">
        <f aca="false">IF(A409="","",Daily_Data!D408)</f>
        <v/>
      </c>
      <c r="E409" s="24" t="str">
        <f aca="false">IF(A409="","",Daily_Data!E408)</f>
        <v/>
      </c>
      <c r="F409" s="23" t="str">
        <f aca="false">IF(A409="","",Daily_Data!F408)</f>
        <v/>
      </c>
      <c r="G409" s="23" t="str">
        <f aca="false">IF(A409="","",Daily_Data!G408)</f>
        <v/>
      </c>
      <c r="H409" s="25" t="str">
        <f aca="false">IF(A409="","",IFERROR(INDEX(SCD_Data!$C$3:$C$502,SUMPRODUCT((SCD_Data!$A$3:$A$502=B409)*(IFERROR(DATEVALUE(SCD_Data!$H$3:$H$502&amp;""),SCD_Data!$H$3:$H$502)&lt;=IFERROR(DATEVALUE(A409&amp;""),A409))*(IFERROR(DATEVALUE(SCD_Data!$I$3:$I$502&amp;""),SCD_Data!$I$3:$I$502)&gt;=IFERROR(DATEVALUE(A409&amp;""),A409))*(ROW(SCD_Data!$A$3:$A$502)-2))),"—"))</f>
        <v/>
      </c>
      <c r="I409" s="25" t="str">
        <f aca="false">IF(A409="","",IFERROR(INDEX(SCD_Data!$D$3:$D$502,SUMPRODUCT((SCD_Data!$A$3:$A$502=B409)*(IFERROR(DATEVALUE(SCD_Data!$H$3:$H$502&amp;""),SCD_Data!$H$3:$H$502)&lt;=IFERROR(DATEVALUE(A409&amp;""),A409))*(IFERROR(DATEVALUE(SCD_Data!$I$3:$I$502&amp;""),SCD_Data!$I$3:$I$502)&gt;=IFERROR(DATEVALUE(A409&amp;""),A409))*(ROW(SCD_Data!$A$3:$A$502)-2))),"—"))</f>
        <v/>
      </c>
      <c r="J409" s="26" t="str">
        <f aca="false">IF(A409="","",IFERROR(INDEX(SCD_Data!$E$3:$E$502,SUMPRODUCT((SCD_Data!$A$3:$A$502=B409)*(IFERROR(DATEVALUE(SCD_Data!$H$3:$H$502&amp;""),SCD_Data!$H$3:$H$502)&lt;=IFERROR(DATEVALUE(A409&amp;""),A409))*(IFERROR(DATEVALUE(SCD_Data!$I$3:$I$502&amp;""),SCD_Data!$I$3:$I$502)&gt;=IFERROR(DATEVALUE(A409&amp;""),A409))*(ROW(SCD_Data!$A$3:$A$502)-2))),"—"))</f>
        <v/>
      </c>
      <c r="K409" s="25" t="str">
        <f aca="false">IF(A409="","",IFERROR(INDEX(SCD_Data!$F$3:$F$502,SUMPRODUCT((SCD_Data!$A$3:$A$502=B409)*(IFERROR(DATEVALUE(SCD_Data!$H$3:$H$502&amp;""),SCD_Data!$H$3:$H$502)&lt;=IFERROR(DATEVALUE(A409&amp;""),A409))*(IFERROR(DATEVALUE(SCD_Data!$I$3:$I$502&amp;""),SCD_Data!$I$3:$I$502)&gt;=IFERROR(DATEVALUE(A409&amp;""),A409))*(ROW(SCD_Data!$A$3:$A$502)-2))),"—"))</f>
        <v/>
      </c>
      <c r="L409" s="25" t="str">
        <f aca="false">IF(A409="","",IFERROR(INDEX(SCD_Data!$G$3:$G$502,SUMPRODUCT((SCD_Data!$A$3:$A$502=B409)*(IFERROR(DATEVALUE(SCD_Data!$H$3:$H$502&amp;""),SCD_Data!$H$3:$H$502)&lt;=IFERROR(DATEVALUE(A409&amp;""),A409))*(IFERROR(DATEVALUE(SCD_Data!$I$3:$I$502&amp;""),SCD_Data!$I$3:$I$502)&gt;=IFERROR(DATEVALUE(A409&amp;""),A409))*(ROW(SCD_Data!$A$3:$A$502)-2))),"—"))</f>
        <v/>
      </c>
      <c r="M409" s="27" t="str">
        <f aca="false">IF(A409="","",IF(H409="—","—",IF(C409&amp;""=H409&amp;"","✓","✗")))</f>
        <v/>
      </c>
      <c r="N409" s="27" t="str">
        <f aca="false">IF(A409="","",IF(H409="—","—",IF(D409&amp;""=I409&amp;"","✓","✗")))</f>
        <v/>
      </c>
      <c r="O409" s="27" t="str">
        <f aca="false">IF(A409="","",IF(H409="—","—",IF(ABS(E409-J409)&lt;0.01,"✓","✗")))</f>
        <v/>
      </c>
      <c r="P409" s="27" t="str">
        <f aca="false">IF(A409="","",IF(H409="—","—",IF(F409&amp;""=K409&amp;"","✓","✗")))</f>
        <v/>
      </c>
      <c r="Q409" s="27" t="str">
        <f aca="false">IF(A409="","",IF(H409="—","—",IF(G409&amp;""=L409&amp;"","✓","✗")))</f>
        <v/>
      </c>
      <c r="R409" s="27" t="str">
        <f aca="false">IF(A409="","",IF(COUNTIF(M409:Q409,"—")=5,"⚠ NO SCD ROW",IF(COUNTIF(M409:Q409,"✗")&gt;0,"❌ MISMATCH","✅ MATCH")))</f>
        <v/>
      </c>
    </row>
    <row r="410" customFormat="false" ht="15" hidden="false" customHeight="true" outlineLevel="0" collapsed="false">
      <c r="A410" s="22" t="str">
        <f aca="false">IF(Daily_Data!A409="","",Daily_Data!A409)</f>
        <v/>
      </c>
      <c r="B410" s="23" t="str">
        <f aca="false">IF(Daily_Data!B409="","",Daily_Data!B409)</f>
        <v/>
      </c>
      <c r="C410" s="23" t="str">
        <f aca="false">IF(A410="","",Daily_Data!C409)</f>
        <v/>
      </c>
      <c r="D410" s="23" t="str">
        <f aca="false">IF(A410="","",Daily_Data!D409)</f>
        <v/>
      </c>
      <c r="E410" s="24" t="str">
        <f aca="false">IF(A410="","",Daily_Data!E409)</f>
        <v/>
      </c>
      <c r="F410" s="23" t="str">
        <f aca="false">IF(A410="","",Daily_Data!F409)</f>
        <v/>
      </c>
      <c r="G410" s="23" t="str">
        <f aca="false">IF(A410="","",Daily_Data!G409)</f>
        <v/>
      </c>
      <c r="H410" s="25" t="str">
        <f aca="false">IF(A410="","",IFERROR(INDEX(SCD_Data!$C$3:$C$502,SUMPRODUCT((SCD_Data!$A$3:$A$502=B410)*(IFERROR(DATEVALUE(SCD_Data!$H$3:$H$502&amp;""),SCD_Data!$H$3:$H$502)&lt;=IFERROR(DATEVALUE(A410&amp;""),A410))*(IFERROR(DATEVALUE(SCD_Data!$I$3:$I$502&amp;""),SCD_Data!$I$3:$I$502)&gt;=IFERROR(DATEVALUE(A410&amp;""),A410))*(ROW(SCD_Data!$A$3:$A$502)-2))),"—"))</f>
        <v/>
      </c>
      <c r="I410" s="25" t="str">
        <f aca="false">IF(A410="","",IFERROR(INDEX(SCD_Data!$D$3:$D$502,SUMPRODUCT((SCD_Data!$A$3:$A$502=B410)*(IFERROR(DATEVALUE(SCD_Data!$H$3:$H$502&amp;""),SCD_Data!$H$3:$H$502)&lt;=IFERROR(DATEVALUE(A410&amp;""),A410))*(IFERROR(DATEVALUE(SCD_Data!$I$3:$I$502&amp;""),SCD_Data!$I$3:$I$502)&gt;=IFERROR(DATEVALUE(A410&amp;""),A410))*(ROW(SCD_Data!$A$3:$A$502)-2))),"—"))</f>
        <v/>
      </c>
      <c r="J410" s="26" t="str">
        <f aca="false">IF(A410="","",IFERROR(INDEX(SCD_Data!$E$3:$E$502,SUMPRODUCT((SCD_Data!$A$3:$A$502=B410)*(IFERROR(DATEVALUE(SCD_Data!$H$3:$H$502&amp;""),SCD_Data!$H$3:$H$502)&lt;=IFERROR(DATEVALUE(A410&amp;""),A410))*(IFERROR(DATEVALUE(SCD_Data!$I$3:$I$502&amp;""),SCD_Data!$I$3:$I$502)&gt;=IFERROR(DATEVALUE(A410&amp;""),A410))*(ROW(SCD_Data!$A$3:$A$502)-2))),"—"))</f>
        <v/>
      </c>
      <c r="K410" s="25" t="str">
        <f aca="false">IF(A410="","",IFERROR(INDEX(SCD_Data!$F$3:$F$502,SUMPRODUCT((SCD_Data!$A$3:$A$502=B410)*(IFERROR(DATEVALUE(SCD_Data!$H$3:$H$502&amp;""),SCD_Data!$H$3:$H$502)&lt;=IFERROR(DATEVALUE(A410&amp;""),A410))*(IFERROR(DATEVALUE(SCD_Data!$I$3:$I$502&amp;""),SCD_Data!$I$3:$I$502)&gt;=IFERROR(DATEVALUE(A410&amp;""),A410))*(ROW(SCD_Data!$A$3:$A$502)-2))),"—"))</f>
        <v/>
      </c>
      <c r="L410" s="25" t="str">
        <f aca="false">IF(A410="","",IFERROR(INDEX(SCD_Data!$G$3:$G$502,SUMPRODUCT((SCD_Data!$A$3:$A$502=B410)*(IFERROR(DATEVALUE(SCD_Data!$H$3:$H$502&amp;""),SCD_Data!$H$3:$H$502)&lt;=IFERROR(DATEVALUE(A410&amp;""),A410))*(IFERROR(DATEVALUE(SCD_Data!$I$3:$I$502&amp;""),SCD_Data!$I$3:$I$502)&gt;=IFERROR(DATEVALUE(A410&amp;""),A410))*(ROW(SCD_Data!$A$3:$A$502)-2))),"—"))</f>
        <v/>
      </c>
      <c r="M410" s="27" t="str">
        <f aca="false">IF(A410="","",IF(H410="—","—",IF(C410&amp;""=H410&amp;"","✓","✗")))</f>
        <v/>
      </c>
      <c r="N410" s="27" t="str">
        <f aca="false">IF(A410="","",IF(H410="—","—",IF(D410&amp;""=I410&amp;"","✓","✗")))</f>
        <v/>
      </c>
      <c r="O410" s="27" t="str">
        <f aca="false">IF(A410="","",IF(H410="—","—",IF(ABS(E410-J410)&lt;0.01,"✓","✗")))</f>
        <v/>
      </c>
      <c r="P410" s="27" t="str">
        <f aca="false">IF(A410="","",IF(H410="—","—",IF(F410&amp;""=K410&amp;"","✓","✗")))</f>
        <v/>
      </c>
      <c r="Q410" s="27" t="str">
        <f aca="false">IF(A410="","",IF(H410="—","—",IF(G410&amp;""=L410&amp;"","✓","✗")))</f>
        <v/>
      </c>
      <c r="R410" s="27" t="str">
        <f aca="false">IF(A410="","",IF(COUNTIF(M410:Q410,"—")=5,"⚠ NO SCD ROW",IF(COUNTIF(M410:Q410,"✗")&gt;0,"❌ MISMATCH","✅ MATCH")))</f>
        <v/>
      </c>
    </row>
    <row r="411" customFormat="false" ht="15" hidden="false" customHeight="true" outlineLevel="0" collapsed="false">
      <c r="A411" s="22" t="str">
        <f aca="false">IF(Daily_Data!A410="","",Daily_Data!A410)</f>
        <v/>
      </c>
      <c r="B411" s="23" t="str">
        <f aca="false">IF(Daily_Data!B410="","",Daily_Data!B410)</f>
        <v/>
      </c>
      <c r="C411" s="23" t="str">
        <f aca="false">IF(A411="","",Daily_Data!C410)</f>
        <v/>
      </c>
      <c r="D411" s="23" t="str">
        <f aca="false">IF(A411="","",Daily_Data!D410)</f>
        <v/>
      </c>
      <c r="E411" s="24" t="str">
        <f aca="false">IF(A411="","",Daily_Data!E410)</f>
        <v/>
      </c>
      <c r="F411" s="23" t="str">
        <f aca="false">IF(A411="","",Daily_Data!F410)</f>
        <v/>
      </c>
      <c r="G411" s="23" t="str">
        <f aca="false">IF(A411="","",Daily_Data!G410)</f>
        <v/>
      </c>
      <c r="H411" s="25" t="str">
        <f aca="false">IF(A411="","",IFERROR(INDEX(SCD_Data!$C$3:$C$502,SUMPRODUCT((SCD_Data!$A$3:$A$502=B411)*(IFERROR(DATEVALUE(SCD_Data!$H$3:$H$502&amp;""),SCD_Data!$H$3:$H$502)&lt;=IFERROR(DATEVALUE(A411&amp;""),A411))*(IFERROR(DATEVALUE(SCD_Data!$I$3:$I$502&amp;""),SCD_Data!$I$3:$I$502)&gt;=IFERROR(DATEVALUE(A411&amp;""),A411))*(ROW(SCD_Data!$A$3:$A$502)-2))),"—"))</f>
        <v/>
      </c>
      <c r="I411" s="25" t="str">
        <f aca="false">IF(A411="","",IFERROR(INDEX(SCD_Data!$D$3:$D$502,SUMPRODUCT((SCD_Data!$A$3:$A$502=B411)*(IFERROR(DATEVALUE(SCD_Data!$H$3:$H$502&amp;""),SCD_Data!$H$3:$H$502)&lt;=IFERROR(DATEVALUE(A411&amp;""),A411))*(IFERROR(DATEVALUE(SCD_Data!$I$3:$I$502&amp;""),SCD_Data!$I$3:$I$502)&gt;=IFERROR(DATEVALUE(A411&amp;""),A411))*(ROW(SCD_Data!$A$3:$A$502)-2))),"—"))</f>
        <v/>
      </c>
      <c r="J411" s="26" t="str">
        <f aca="false">IF(A411="","",IFERROR(INDEX(SCD_Data!$E$3:$E$502,SUMPRODUCT((SCD_Data!$A$3:$A$502=B411)*(IFERROR(DATEVALUE(SCD_Data!$H$3:$H$502&amp;""),SCD_Data!$H$3:$H$502)&lt;=IFERROR(DATEVALUE(A411&amp;""),A411))*(IFERROR(DATEVALUE(SCD_Data!$I$3:$I$502&amp;""),SCD_Data!$I$3:$I$502)&gt;=IFERROR(DATEVALUE(A411&amp;""),A411))*(ROW(SCD_Data!$A$3:$A$502)-2))),"—"))</f>
        <v/>
      </c>
      <c r="K411" s="25" t="str">
        <f aca="false">IF(A411="","",IFERROR(INDEX(SCD_Data!$F$3:$F$502,SUMPRODUCT((SCD_Data!$A$3:$A$502=B411)*(IFERROR(DATEVALUE(SCD_Data!$H$3:$H$502&amp;""),SCD_Data!$H$3:$H$502)&lt;=IFERROR(DATEVALUE(A411&amp;""),A411))*(IFERROR(DATEVALUE(SCD_Data!$I$3:$I$502&amp;""),SCD_Data!$I$3:$I$502)&gt;=IFERROR(DATEVALUE(A411&amp;""),A411))*(ROW(SCD_Data!$A$3:$A$502)-2))),"—"))</f>
        <v/>
      </c>
      <c r="L411" s="25" t="str">
        <f aca="false">IF(A411="","",IFERROR(INDEX(SCD_Data!$G$3:$G$502,SUMPRODUCT((SCD_Data!$A$3:$A$502=B411)*(IFERROR(DATEVALUE(SCD_Data!$H$3:$H$502&amp;""),SCD_Data!$H$3:$H$502)&lt;=IFERROR(DATEVALUE(A411&amp;""),A411))*(IFERROR(DATEVALUE(SCD_Data!$I$3:$I$502&amp;""),SCD_Data!$I$3:$I$502)&gt;=IFERROR(DATEVALUE(A411&amp;""),A411))*(ROW(SCD_Data!$A$3:$A$502)-2))),"—"))</f>
        <v/>
      </c>
      <c r="M411" s="27" t="str">
        <f aca="false">IF(A411="","",IF(H411="—","—",IF(C411&amp;""=H411&amp;"","✓","✗")))</f>
        <v/>
      </c>
      <c r="N411" s="27" t="str">
        <f aca="false">IF(A411="","",IF(H411="—","—",IF(D411&amp;""=I411&amp;"","✓","✗")))</f>
        <v/>
      </c>
      <c r="O411" s="27" t="str">
        <f aca="false">IF(A411="","",IF(H411="—","—",IF(ABS(E411-J411)&lt;0.01,"✓","✗")))</f>
        <v/>
      </c>
      <c r="P411" s="27" t="str">
        <f aca="false">IF(A411="","",IF(H411="—","—",IF(F411&amp;""=K411&amp;"","✓","✗")))</f>
        <v/>
      </c>
      <c r="Q411" s="27" t="str">
        <f aca="false">IF(A411="","",IF(H411="—","—",IF(G411&amp;""=L411&amp;"","✓","✗")))</f>
        <v/>
      </c>
      <c r="R411" s="27" t="str">
        <f aca="false">IF(A411="","",IF(COUNTIF(M411:Q411,"—")=5,"⚠ NO SCD ROW",IF(COUNTIF(M411:Q411,"✗")&gt;0,"❌ MISMATCH","✅ MATCH")))</f>
        <v/>
      </c>
    </row>
    <row r="412" customFormat="false" ht="15" hidden="false" customHeight="true" outlineLevel="0" collapsed="false">
      <c r="A412" s="22" t="str">
        <f aca="false">IF(Daily_Data!A411="","",Daily_Data!A411)</f>
        <v/>
      </c>
      <c r="B412" s="23" t="str">
        <f aca="false">IF(Daily_Data!B411="","",Daily_Data!B411)</f>
        <v/>
      </c>
      <c r="C412" s="23" t="str">
        <f aca="false">IF(A412="","",Daily_Data!C411)</f>
        <v/>
      </c>
      <c r="D412" s="23" t="str">
        <f aca="false">IF(A412="","",Daily_Data!D411)</f>
        <v/>
      </c>
      <c r="E412" s="24" t="str">
        <f aca="false">IF(A412="","",Daily_Data!E411)</f>
        <v/>
      </c>
      <c r="F412" s="23" t="str">
        <f aca="false">IF(A412="","",Daily_Data!F411)</f>
        <v/>
      </c>
      <c r="G412" s="23" t="str">
        <f aca="false">IF(A412="","",Daily_Data!G411)</f>
        <v/>
      </c>
      <c r="H412" s="25" t="str">
        <f aca="false">IF(A412="","",IFERROR(INDEX(SCD_Data!$C$3:$C$502,SUMPRODUCT((SCD_Data!$A$3:$A$502=B412)*(IFERROR(DATEVALUE(SCD_Data!$H$3:$H$502&amp;""),SCD_Data!$H$3:$H$502)&lt;=IFERROR(DATEVALUE(A412&amp;""),A412))*(IFERROR(DATEVALUE(SCD_Data!$I$3:$I$502&amp;""),SCD_Data!$I$3:$I$502)&gt;=IFERROR(DATEVALUE(A412&amp;""),A412))*(ROW(SCD_Data!$A$3:$A$502)-2))),"—"))</f>
        <v/>
      </c>
      <c r="I412" s="25" t="str">
        <f aca="false">IF(A412="","",IFERROR(INDEX(SCD_Data!$D$3:$D$502,SUMPRODUCT((SCD_Data!$A$3:$A$502=B412)*(IFERROR(DATEVALUE(SCD_Data!$H$3:$H$502&amp;""),SCD_Data!$H$3:$H$502)&lt;=IFERROR(DATEVALUE(A412&amp;""),A412))*(IFERROR(DATEVALUE(SCD_Data!$I$3:$I$502&amp;""),SCD_Data!$I$3:$I$502)&gt;=IFERROR(DATEVALUE(A412&amp;""),A412))*(ROW(SCD_Data!$A$3:$A$502)-2))),"—"))</f>
        <v/>
      </c>
      <c r="J412" s="26" t="str">
        <f aca="false">IF(A412="","",IFERROR(INDEX(SCD_Data!$E$3:$E$502,SUMPRODUCT((SCD_Data!$A$3:$A$502=B412)*(IFERROR(DATEVALUE(SCD_Data!$H$3:$H$502&amp;""),SCD_Data!$H$3:$H$502)&lt;=IFERROR(DATEVALUE(A412&amp;""),A412))*(IFERROR(DATEVALUE(SCD_Data!$I$3:$I$502&amp;""),SCD_Data!$I$3:$I$502)&gt;=IFERROR(DATEVALUE(A412&amp;""),A412))*(ROW(SCD_Data!$A$3:$A$502)-2))),"—"))</f>
        <v/>
      </c>
      <c r="K412" s="25" t="str">
        <f aca="false">IF(A412="","",IFERROR(INDEX(SCD_Data!$F$3:$F$502,SUMPRODUCT((SCD_Data!$A$3:$A$502=B412)*(IFERROR(DATEVALUE(SCD_Data!$H$3:$H$502&amp;""),SCD_Data!$H$3:$H$502)&lt;=IFERROR(DATEVALUE(A412&amp;""),A412))*(IFERROR(DATEVALUE(SCD_Data!$I$3:$I$502&amp;""),SCD_Data!$I$3:$I$502)&gt;=IFERROR(DATEVALUE(A412&amp;""),A412))*(ROW(SCD_Data!$A$3:$A$502)-2))),"—"))</f>
        <v/>
      </c>
      <c r="L412" s="25" t="str">
        <f aca="false">IF(A412="","",IFERROR(INDEX(SCD_Data!$G$3:$G$502,SUMPRODUCT((SCD_Data!$A$3:$A$502=B412)*(IFERROR(DATEVALUE(SCD_Data!$H$3:$H$502&amp;""),SCD_Data!$H$3:$H$502)&lt;=IFERROR(DATEVALUE(A412&amp;""),A412))*(IFERROR(DATEVALUE(SCD_Data!$I$3:$I$502&amp;""),SCD_Data!$I$3:$I$502)&gt;=IFERROR(DATEVALUE(A412&amp;""),A412))*(ROW(SCD_Data!$A$3:$A$502)-2))),"—"))</f>
        <v/>
      </c>
      <c r="M412" s="27" t="str">
        <f aca="false">IF(A412="","",IF(H412="—","—",IF(C412&amp;""=H412&amp;"","✓","✗")))</f>
        <v/>
      </c>
      <c r="N412" s="27" t="str">
        <f aca="false">IF(A412="","",IF(H412="—","—",IF(D412&amp;""=I412&amp;"","✓","✗")))</f>
        <v/>
      </c>
      <c r="O412" s="27" t="str">
        <f aca="false">IF(A412="","",IF(H412="—","—",IF(ABS(E412-J412)&lt;0.01,"✓","✗")))</f>
        <v/>
      </c>
      <c r="P412" s="27" t="str">
        <f aca="false">IF(A412="","",IF(H412="—","—",IF(F412&amp;""=K412&amp;"","✓","✗")))</f>
        <v/>
      </c>
      <c r="Q412" s="27" t="str">
        <f aca="false">IF(A412="","",IF(H412="—","—",IF(G412&amp;""=L412&amp;"","✓","✗")))</f>
        <v/>
      </c>
      <c r="R412" s="27" t="str">
        <f aca="false">IF(A412="","",IF(COUNTIF(M412:Q412,"—")=5,"⚠ NO SCD ROW",IF(COUNTIF(M412:Q412,"✗")&gt;0,"❌ MISMATCH","✅ MATCH")))</f>
        <v/>
      </c>
    </row>
    <row r="413" customFormat="false" ht="15" hidden="false" customHeight="true" outlineLevel="0" collapsed="false">
      <c r="A413" s="22" t="str">
        <f aca="false">IF(Daily_Data!A412="","",Daily_Data!A412)</f>
        <v/>
      </c>
      <c r="B413" s="23" t="str">
        <f aca="false">IF(Daily_Data!B412="","",Daily_Data!B412)</f>
        <v/>
      </c>
      <c r="C413" s="23" t="str">
        <f aca="false">IF(A413="","",Daily_Data!C412)</f>
        <v/>
      </c>
      <c r="D413" s="23" t="str">
        <f aca="false">IF(A413="","",Daily_Data!D412)</f>
        <v/>
      </c>
      <c r="E413" s="24" t="str">
        <f aca="false">IF(A413="","",Daily_Data!E412)</f>
        <v/>
      </c>
      <c r="F413" s="23" t="str">
        <f aca="false">IF(A413="","",Daily_Data!F412)</f>
        <v/>
      </c>
      <c r="G413" s="23" t="str">
        <f aca="false">IF(A413="","",Daily_Data!G412)</f>
        <v/>
      </c>
      <c r="H413" s="25" t="str">
        <f aca="false">IF(A413="","",IFERROR(INDEX(SCD_Data!$C$3:$C$502,SUMPRODUCT((SCD_Data!$A$3:$A$502=B413)*(IFERROR(DATEVALUE(SCD_Data!$H$3:$H$502&amp;""),SCD_Data!$H$3:$H$502)&lt;=IFERROR(DATEVALUE(A413&amp;""),A413))*(IFERROR(DATEVALUE(SCD_Data!$I$3:$I$502&amp;""),SCD_Data!$I$3:$I$502)&gt;=IFERROR(DATEVALUE(A413&amp;""),A413))*(ROW(SCD_Data!$A$3:$A$502)-2))),"—"))</f>
        <v/>
      </c>
      <c r="I413" s="25" t="str">
        <f aca="false">IF(A413="","",IFERROR(INDEX(SCD_Data!$D$3:$D$502,SUMPRODUCT((SCD_Data!$A$3:$A$502=B413)*(IFERROR(DATEVALUE(SCD_Data!$H$3:$H$502&amp;""),SCD_Data!$H$3:$H$502)&lt;=IFERROR(DATEVALUE(A413&amp;""),A413))*(IFERROR(DATEVALUE(SCD_Data!$I$3:$I$502&amp;""),SCD_Data!$I$3:$I$502)&gt;=IFERROR(DATEVALUE(A413&amp;""),A413))*(ROW(SCD_Data!$A$3:$A$502)-2))),"—"))</f>
        <v/>
      </c>
      <c r="J413" s="26" t="str">
        <f aca="false">IF(A413="","",IFERROR(INDEX(SCD_Data!$E$3:$E$502,SUMPRODUCT((SCD_Data!$A$3:$A$502=B413)*(IFERROR(DATEVALUE(SCD_Data!$H$3:$H$502&amp;""),SCD_Data!$H$3:$H$502)&lt;=IFERROR(DATEVALUE(A413&amp;""),A413))*(IFERROR(DATEVALUE(SCD_Data!$I$3:$I$502&amp;""),SCD_Data!$I$3:$I$502)&gt;=IFERROR(DATEVALUE(A413&amp;""),A413))*(ROW(SCD_Data!$A$3:$A$502)-2))),"—"))</f>
        <v/>
      </c>
      <c r="K413" s="25" t="str">
        <f aca="false">IF(A413="","",IFERROR(INDEX(SCD_Data!$F$3:$F$502,SUMPRODUCT((SCD_Data!$A$3:$A$502=B413)*(IFERROR(DATEVALUE(SCD_Data!$H$3:$H$502&amp;""),SCD_Data!$H$3:$H$502)&lt;=IFERROR(DATEVALUE(A413&amp;""),A413))*(IFERROR(DATEVALUE(SCD_Data!$I$3:$I$502&amp;""),SCD_Data!$I$3:$I$502)&gt;=IFERROR(DATEVALUE(A413&amp;""),A413))*(ROW(SCD_Data!$A$3:$A$502)-2))),"—"))</f>
        <v/>
      </c>
      <c r="L413" s="25" t="str">
        <f aca="false">IF(A413="","",IFERROR(INDEX(SCD_Data!$G$3:$G$502,SUMPRODUCT((SCD_Data!$A$3:$A$502=B413)*(IFERROR(DATEVALUE(SCD_Data!$H$3:$H$502&amp;""),SCD_Data!$H$3:$H$502)&lt;=IFERROR(DATEVALUE(A413&amp;""),A413))*(IFERROR(DATEVALUE(SCD_Data!$I$3:$I$502&amp;""),SCD_Data!$I$3:$I$502)&gt;=IFERROR(DATEVALUE(A413&amp;""),A413))*(ROW(SCD_Data!$A$3:$A$502)-2))),"—"))</f>
        <v/>
      </c>
      <c r="M413" s="27" t="str">
        <f aca="false">IF(A413="","",IF(H413="—","—",IF(C413&amp;""=H413&amp;"","✓","✗")))</f>
        <v/>
      </c>
      <c r="N413" s="27" t="str">
        <f aca="false">IF(A413="","",IF(H413="—","—",IF(D413&amp;""=I413&amp;"","✓","✗")))</f>
        <v/>
      </c>
      <c r="O413" s="27" t="str">
        <f aca="false">IF(A413="","",IF(H413="—","—",IF(ABS(E413-J413)&lt;0.01,"✓","✗")))</f>
        <v/>
      </c>
      <c r="P413" s="27" t="str">
        <f aca="false">IF(A413="","",IF(H413="—","—",IF(F413&amp;""=K413&amp;"","✓","✗")))</f>
        <v/>
      </c>
      <c r="Q413" s="27" t="str">
        <f aca="false">IF(A413="","",IF(H413="—","—",IF(G413&amp;""=L413&amp;"","✓","✗")))</f>
        <v/>
      </c>
      <c r="R413" s="27" t="str">
        <f aca="false">IF(A413="","",IF(COUNTIF(M413:Q413,"—")=5,"⚠ NO SCD ROW",IF(COUNTIF(M413:Q413,"✗")&gt;0,"❌ MISMATCH","✅ MATCH")))</f>
        <v/>
      </c>
    </row>
    <row r="414" customFormat="false" ht="15" hidden="false" customHeight="true" outlineLevel="0" collapsed="false">
      <c r="A414" s="22" t="str">
        <f aca="false">IF(Daily_Data!A413="","",Daily_Data!A413)</f>
        <v/>
      </c>
      <c r="B414" s="23" t="str">
        <f aca="false">IF(Daily_Data!B413="","",Daily_Data!B413)</f>
        <v/>
      </c>
      <c r="C414" s="23" t="str">
        <f aca="false">IF(A414="","",Daily_Data!C413)</f>
        <v/>
      </c>
      <c r="D414" s="23" t="str">
        <f aca="false">IF(A414="","",Daily_Data!D413)</f>
        <v/>
      </c>
      <c r="E414" s="24" t="str">
        <f aca="false">IF(A414="","",Daily_Data!E413)</f>
        <v/>
      </c>
      <c r="F414" s="23" t="str">
        <f aca="false">IF(A414="","",Daily_Data!F413)</f>
        <v/>
      </c>
      <c r="G414" s="23" t="str">
        <f aca="false">IF(A414="","",Daily_Data!G413)</f>
        <v/>
      </c>
      <c r="H414" s="25" t="str">
        <f aca="false">IF(A414="","",IFERROR(INDEX(SCD_Data!$C$3:$C$502,SUMPRODUCT((SCD_Data!$A$3:$A$502=B414)*(IFERROR(DATEVALUE(SCD_Data!$H$3:$H$502&amp;""),SCD_Data!$H$3:$H$502)&lt;=IFERROR(DATEVALUE(A414&amp;""),A414))*(IFERROR(DATEVALUE(SCD_Data!$I$3:$I$502&amp;""),SCD_Data!$I$3:$I$502)&gt;=IFERROR(DATEVALUE(A414&amp;""),A414))*(ROW(SCD_Data!$A$3:$A$502)-2))),"—"))</f>
        <v/>
      </c>
      <c r="I414" s="25" t="str">
        <f aca="false">IF(A414="","",IFERROR(INDEX(SCD_Data!$D$3:$D$502,SUMPRODUCT((SCD_Data!$A$3:$A$502=B414)*(IFERROR(DATEVALUE(SCD_Data!$H$3:$H$502&amp;""),SCD_Data!$H$3:$H$502)&lt;=IFERROR(DATEVALUE(A414&amp;""),A414))*(IFERROR(DATEVALUE(SCD_Data!$I$3:$I$502&amp;""),SCD_Data!$I$3:$I$502)&gt;=IFERROR(DATEVALUE(A414&amp;""),A414))*(ROW(SCD_Data!$A$3:$A$502)-2))),"—"))</f>
        <v/>
      </c>
      <c r="J414" s="26" t="str">
        <f aca="false">IF(A414="","",IFERROR(INDEX(SCD_Data!$E$3:$E$502,SUMPRODUCT((SCD_Data!$A$3:$A$502=B414)*(IFERROR(DATEVALUE(SCD_Data!$H$3:$H$502&amp;""),SCD_Data!$H$3:$H$502)&lt;=IFERROR(DATEVALUE(A414&amp;""),A414))*(IFERROR(DATEVALUE(SCD_Data!$I$3:$I$502&amp;""),SCD_Data!$I$3:$I$502)&gt;=IFERROR(DATEVALUE(A414&amp;""),A414))*(ROW(SCD_Data!$A$3:$A$502)-2))),"—"))</f>
        <v/>
      </c>
      <c r="K414" s="25" t="str">
        <f aca="false">IF(A414="","",IFERROR(INDEX(SCD_Data!$F$3:$F$502,SUMPRODUCT((SCD_Data!$A$3:$A$502=B414)*(IFERROR(DATEVALUE(SCD_Data!$H$3:$H$502&amp;""),SCD_Data!$H$3:$H$502)&lt;=IFERROR(DATEVALUE(A414&amp;""),A414))*(IFERROR(DATEVALUE(SCD_Data!$I$3:$I$502&amp;""),SCD_Data!$I$3:$I$502)&gt;=IFERROR(DATEVALUE(A414&amp;""),A414))*(ROW(SCD_Data!$A$3:$A$502)-2))),"—"))</f>
        <v/>
      </c>
      <c r="L414" s="25" t="str">
        <f aca="false">IF(A414="","",IFERROR(INDEX(SCD_Data!$G$3:$G$502,SUMPRODUCT((SCD_Data!$A$3:$A$502=B414)*(IFERROR(DATEVALUE(SCD_Data!$H$3:$H$502&amp;""),SCD_Data!$H$3:$H$502)&lt;=IFERROR(DATEVALUE(A414&amp;""),A414))*(IFERROR(DATEVALUE(SCD_Data!$I$3:$I$502&amp;""),SCD_Data!$I$3:$I$502)&gt;=IFERROR(DATEVALUE(A414&amp;""),A414))*(ROW(SCD_Data!$A$3:$A$502)-2))),"—"))</f>
        <v/>
      </c>
      <c r="M414" s="27" t="str">
        <f aca="false">IF(A414="","",IF(H414="—","—",IF(C414&amp;""=H414&amp;"","✓","✗")))</f>
        <v/>
      </c>
      <c r="N414" s="27" t="str">
        <f aca="false">IF(A414="","",IF(H414="—","—",IF(D414&amp;""=I414&amp;"","✓","✗")))</f>
        <v/>
      </c>
      <c r="O414" s="27" t="str">
        <f aca="false">IF(A414="","",IF(H414="—","—",IF(ABS(E414-J414)&lt;0.01,"✓","✗")))</f>
        <v/>
      </c>
      <c r="P414" s="27" t="str">
        <f aca="false">IF(A414="","",IF(H414="—","—",IF(F414&amp;""=K414&amp;"","✓","✗")))</f>
        <v/>
      </c>
      <c r="Q414" s="27" t="str">
        <f aca="false">IF(A414="","",IF(H414="—","—",IF(G414&amp;""=L414&amp;"","✓","✗")))</f>
        <v/>
      </c>
      <c r="R414" s="27" t="str">
        <f aca="false">IF(A414="","",IF(COUNTIF(M414:Q414,"—")=5,"⚠ NO SCD ROW",IF(COUNTIF(M414:Q414,"✗")&gt;0,"❌ MISMATCH","✅ MATCH")))</f>
        <v/>
      </c>
    </row>
    <row r="415" customFormat="false" ht="15" hidden="false" customHeight="true" outlineLevel="0" collapsed="false">
      <c r="A415" s="22" t="str">
        <f aca="false">IF(Daily_Data!A414="","",Daily_Data!A414)</f>
        <v/>
      </c>
      <c r="B415" s="23" t="str">
        <f aca="false">IF(Daily_Data!B414="","",Daily_Data!B414)</f>
        <v/>
      </c>
      <c r="C415" s="23" t="str">
        <f aca="false">IF(A415="","",Daily_Data!C414)</f>
        <v/>
      </c>
      <c r="D415" s="23" t="str">
        <f aca="false">IF(A415="","",Daily_Data!D414)</f>
        <v/>
      </c>
      <c r="E415" s="24" t="str">
        <f aca="false">IF(A415="","",Daily_Data!E414)</f>
        <v/>
      </c>
      <c r="F415" s="23" t="str">
        <f aca="false">IF(A415="","",Daily_Data!F414)</f>
        <v/>
      </c>
      <c r="G415" s="23" t="str">
        <f aca="false">IF(A415="","",Daily_Data!G414)</f>
        <v/>
      </c>
      <c r="H415" s="25" t="str">
        <f aca="false">IF(A415="","",IFERROR(INDEX(SCD_Data!$C$3:$C$502,SUMPRODUCT((SCD_Data!$A$3:$A$502=B415)*(IFERROR(DATEVALUE(SCD_Data!$H$3:$H$502&amp;""),SCD_Data!$H$3:$H$502)&lt;=IFERROR(DATEVALUE(A415&amp;""),A415))*(IFERROR(DATEVALUE(SCD_Data!$I$3:$I$502&amp;""),SCD_Data!$I$3:$I$502)&gt;=IFERROR(DATEVALUE(A415&amp;""),A415))*(ROW(SCD_Data!$A$3:$A$502)-2))),"—"))</f>
        <v/>
      </c>
      <c r="I415" s="25" t="str">
        <f aca="false">IF(A415="","",IFERROR(INDEX(SCD_Data!$D$3:$D$502,SUMPRODUCT((SCD_Data!$A$3:$A$502=B415)*(IFERROR(DATEVALUE(SCD_Data!$H$3:$H$502&amp;""),SCD_Data!$H$3:$H$502)&lt;=IFERROR(DATEVALUE(A415&amp;""),A415))*(IFERROR(DATEVALUE(SCD_Data!$I$3:$I$502&amp;""),SCD_Data!$I$3:$I$502)&gt;=IFERROR(DATEVALUE(A415&amp;""),A415))*(ROW(SCD_Data!$A$3:$A$502)-2))),"—"))</f>
        <v/>
      </c>
      <c r="J415" s="26" t="str">
        <f aca="false">IF(A415="","",IFERROR(INDEX(SCD_Data!$E$3:$E$502,SUMPRODUCT((SCD_Data!$A$3:$A$502=B415)*(IFERROR(DATEVALUE(SCD_Data!$H$3:$H$502&amp;""),SCD_Data!$H$3:$H$502)&lt;=IFERROR(DATEVALUE(A415&amp;""),A415))*(IFERROR(DATEVALUE(SCD_Data!$I$3:$I$502&amp;""),SCD_Data!$I$3:$I$502)&gt;=IFERROR(DATEVALUE(A415&amp;""),A415))*(ROW(SCD_Data!$A$3:$A$502)-2))),"—"))</f>
        <v/>
      </c>
      <c r="K415" s="25" t="str">
        <f aca="false">IF(A415="","",IFERROR(INDEX(SCD_Data!$F$3:$F$502,SUMPRODUCT((SCD_Data!$A$3:$A$502=B415)*(IFERROR(DATEVALUE(SCD_Data!$H$3:$H$502&amp;""),SCD_Data!$H$3:$H$502)&lt;=IFERROR(DATEVALUE(A415&amp;""),A415))*(IFERROR(DATEVALUE(SCD_Data!$I$3:$I$502&amp;""),SCD_Data!$I$3:$I$502)&gt;=IFERROR(DATEVALUE(A415&amp;""),A415))*(ROW(SCD_Data!$A$3:$A$502)-2))),"—"))</f>
        <v/>
      </c>
      <c r="L415" s="25" t="str">
        <f aca="false">IF(A415="","",IFERROR(INDEX(SCD_Data!$G$3:$G$502,SUMPRODUCT((SCD_Data!$A$3:$A$502=B415)*(IFERROR(DATEVALUE(SCD_Data!$H$3:$H$502&amp;""),SCD_Data!$H$3:$H$502)&lt;=IFERROR(DATEVALUE(A415&amp;""),A415))*(IFERROR(DATEVALUE(SCD_Data!$I$3:$I$502&amp;""),SCD_Data!$I$3:$I$502)&gt;=IFERROR(DATEVALUE(A415&amp;""),A415))*(ROW(SCD_Data!$A$3:$A$502)-2))),"—"))</f>
        <v/>
      </c>
      <c r="M415" s="27" t="str">
        <f aca="false">IF(A415="","",IF(H415="—","—",IF(C415&amp;""=H415&amp;"","✓","✗")))</f>
        <v/>
      </c>
      <c r="N415" s="27" t="str">
        <f aca="false">IF(A415="","",IF(H415="—","—",IF(D415&amp;""=I415&amp;"","✓","✗")))</f>
        <v/>
      </c>
      <c r="O415" s="27" t="str">
        <f aca="false">IF(A415="","",IF(H415="—","—",IF(ABS(E415-J415)&lt;0.01,"✓","✗")))</f>
        <v/>
      </c>
      <c r="P415" s="27" t="str">
        <f aca="false">IF(A415="","",IF(H415="—","—",IF(F415&amp;""=K415&amp;"","✓","✗")))</f>
        <v/>
      </c>
      <c r="Q415" s="27" t="str">
        <f aca="false">IF(A415="","",IF(H415="—","—",IF(G415&amp;""=L415&amp;"","✓","✗")))</f>
        <v/>
      </c>
      <c r="R415" s="27" t="str">
        <f aca="false">IF(A415="","",IF(COUNTIF(M415:Q415,"—")=5,"⚠ NO SCD ROW",IF(COUNTIF(M415:Q415,"✗")&gt;0,"❌ MISMATCH","✅ MATCH")))</f>
        <v/>
      </c>
    </row>
    <row r="416" customFormat="false" ht="15" hidden="false" customHeight="true" outlineLevel="0" collapsed="false">
      <c r="A416" s="22" t="str">
        <f aca="false">IF(Daily_Data!A415="","",Daily_Data!A415)</f>
        <v/>
      </c>
      <c r="B416" s="23" t="str">
        <f aca="false">IF(Daily_Data!B415="","",Daily_Data!B415)</f>
        <v/>
      </c>
      <c r="C416" s="23" t="str">
        <f aca="false">IF(A416="","",Daily_Data!C415)</f>
        <v/>
      </c>
      <c r="D416" s="23" t="str">
        <f aca="false">IF(A416="","",Daily_Data!D415)</f>
        <v/>
      </c>
      <c r="E416" s="24" t="str">
        <f aca="false">IF(A416="","",Daily_Data!E415)</f>
        <v/>
      </c>
      <c r="F416" s="23" t="str">
        <f aca="false">IF(A416="","",Daily_Data!F415)</f>
        <v/>
      </c>
      <c r="G416" s="23" t="str">
        <f aca="false">IF(A416="","",Daily_Data!G415)</f>
        <v/>
      </c>
      <c r="H416" s="25" t="str">
        <f aca="false">IF(A416="","",IFERROR(INDEX(SCD_Data!$C$3:$C$502,SUMPRODUCT((SCD_Data!$A$3:$A$502=B416)*(IFERROR(DATEVALUE(SCD_Data!$H$3:$H$502&amp;""),SCD_Data!$H$3:$H$502)&lt;=IFERROR(DATEVALUE(A416&amp;""),A416))*(IFERROR(DATEVALUE(SCD_Data!$I$3:$I$502&amp;""),SCD_Data!$I$3:$I$502)&gt;=IFERROR(DATEVALUE(A416&amp;""),A416))*(ROW(SCD_Data!$A$3:$A$502)-2))),"—"))</f>
        <v/>
      </c>
      <c r="I416" s="25" t="str">
        <f aca="false">IF(A416="","",IFERROR(INDEX(SCD_Data!$D$3:$D$502,SUMPRODUCT((SCD_Data!$A$3:$A$502=B416)*(IFERROR(DATEVALUE(SCD_Data!$H$3:$H$502&amp;""),SCD_Data!$H$3:$H$502)&lt;=IFERROR(DATEVALUE(A416&amp;""),A416))*(IFERROR(DATEVALUE(SCD_Data!$I$3:$I$502&amp;""),SCD_Data!$I$3:$I$502)&gt;=IFERROR(DATEVALUE(A416&amp;""),A416))*(ROW(SCD_Data!$A$3:$A$502)-2))),"—"))</f>
        <v/>
      </c>
      <c r="J416" s="26" t="str">
        <f aca="false">IF(A416="","",IFERROR(INDEX(SCD_Data!$E$3:$E$502,SUMPRODUCT((SCD_Data!$A$3:$A$502=B416)*(IFERROR(DATEVALUE(SCD_Data!$H$3:$H$502&amp;""),SCD_Data!$H$3:$H$502)&lt;=IFERROR(DATEVALUE(A416&amp;""),A416))*(IFERROR(DATEVALUE(SCD_Data!$I$3:$I$502&amp;""),SCD_Data!$I$3:$I$502)&gt;=IFERROR(DATEVALUE(A416&amp;""),A416))*(ROW(SCD_Data!$A$3:$A$502)-2))),"—"))</f>
        <v/>
      </c>
      <c r="K416" s="25" t="str">
        <f aca="false">IF(A416="","",IFERROR(INDEX(SCD_Data!$F$3:$F$502,SUMPRODUCT((SCD_Data!$A$3:$A$502=B416)*(IFERROR(DATEVALUE(SCD_Data!$H$3:$H$502&amp;""),SCD_Data!$H$3:$H$502)&lt;=IFERROR(DATEVALUE(A416&amp;""),A416))*(IFERROR(DATEVALUE(SCD_Data!$I$3:$I$502&amp;""),SCD_Data!$I$3:$I$502)&gt;=IFERROR(DATEVALUE(A416&amp;""),A416))*(ROW(SCD_Data!$A$3:$A$502)-2))),"—"))</f>
        <v/>
      </c>
      <c r="L416" s="25" t="str">
        <f aca="false">IF(A416="","",IFERROR(INDEX(SCD_Data!$G$3:$G$502,SUMPRODUCT((SCD_Data!$A$3:$A$502=B416)*(IFERROR(DATEVALUE(SCD_Data!$H$3:$H$502&amp;""),SCD_Data!$H$3:$H$502)&lt;=IFERROR(DATEVALUE(A416&amp;""),A416))*(IFERROR(DATEVALUE(SCD_Data!$I$3:$I$502&amp;""),SCD_Data!$I$3:$I$502)&gt;=IFERROR(DATEVALUE(A416&amp;""),A416))*(ROW(SCD_Data!$A$3:$A$502)-2))),"—"))</f>
        <v/>
      </c>
      <c r="M416" s="27" t="str">
        <f aca="false">IF(A416="","",IF(H416="—","—",IF(C416&amp;""=H416&amp;"","✓","✗")))</f>
        <v/>
      </c>
      <c r="N416" s="27" t="str">
        <f aca="false">IF(A416="","",IF(H416="—","—",IF(D416&amp;""=I416&amp;"","✓","✗")))</f>
        <v/>
      </c>
      <c r="O416" s="27" t="str">
        <f aca="false">IF(A416="","",IF(H416="—","—",IF(ABS(E416-J416)&lt;0.01,"✓","✗")))</f>
        <v/>
      </c>
      <c r="P416" s="27" t="str">
        <f aca="false">IF(A416="","",IF(H416="—","—",IF(F416&amp;""=K416&amp;"","✓","✗")))</f>
        <v/>
      </c>
      <c r="Q416" s="27" t="str">
        <f aca="false">IF(A416="","",IF(H416="—","—",IF(G416&amp;""=L416&amp;"","✓","✗")))</f>
        <v/>
      </c>
      <c r="R416" s="27" t="str">
        <f aca="false">IF(A416="","",IF(COUNTIF(M416:Q416,"—")=5,"⚠ NO SCD ROW",IF(COUNTIF(M416:Q416,"✗")&gt;0,"❌ MISMATCH","✅ MATCH")))</f>
        <v/>
      </c>
    </row>
    <row r="417" customFormat="false" ht="15" hidden="false" customHeight="true" outlineLevel="0" collapsed="false">
      <c r="A417" s="22" t="str">
        <f aca="false">IF(Daily_Data!A416="","",Daily_Data!A416)</f>
        <v/>
      </c>
      <c r="B417" s="23" t="str">
        <f aca="false">IF(Daily_Data!B416="","",Daily_Data!B416)</f>
        <v/>
      </c>
      <c r="C417" s="23" t="str">
        <f aca="false">IF(A417="","",Daily_Data!C416)</f>
        <v/>
      </c>
      <c r="D417" s="23" t="str">
        <f aca="false">IF(A417="","",Daily_Data!D416)</f>
        <v/>
      </c>
      <c r="E417" s="24" t="str">
        <f aca="false">IF(A417="","",Daily_Data!E416)</f>
        <v/>
      </c>
      <c r="F417" s="23" t="str">
        <f aca="false">IF(A417="","",Daily_Data!F416)</f>
        <v/>
      </c>
      <c r="G417" s="23" t="str">
        <f aca="false">IF(A417="","",Daily_Data!G416)</f>
        <v/>
      </c>
      <c r="H417" s="25" t="str">
        <f aca="false">IF(A417="","",IFERROR(INDEX(SCD_Data!$C$3:$C$502,SUMPRODUCT((SCD_Data!$A$3:$A$502=B417)*(IFERROR(DATEVALUE(SCD_Data!$H$3:$H$502&amp;""),SCD_Data!$H$3:$H$502)&lt;=IFERROR(DATEVALUE(A417&amp;""),A417))*(IFERROR(DATEVALUE(SCD_Data!$I$3:$I$502&amp;""),SCD_Data!$I$3:$I$502)&gt;=IFERROR(DATEVALUE(A417&amp;""),A417))*(ROW(SCD_Data!$A$3:$A$502)-2))),"—"))</f>
        <v/>
      </c>
      <c r="I417" s="25" t="str">
        <f aca="false">IF(A417="","",IFERROR(INDEX(SCD_Data!$D$3:$D$502,SUMPRODUCT((SCD_Data!$A$3:$A$502=B417)*(IFERROR(DATEVALUE(SCD_Data!$H$3:$H$502&amp;""),SCD_Data!$H$3:$H$502)&lt;=IFERROR(DATEVALUE(A417&amp;""),A417))*(IFERROR(DATEVALUE(SCD_Data!$I$3:$I$502&amp;""),SCD_Data!$I$3:$I$502)&gt;=IFERROR(DATEVALUE(A417&amp;""),A417))*(ROW(SCD_Data!$A$3:$A$502)-2))),"—"))</f>
        <v/>
      </c>
      <c r="J417" s="26" t="str">
        <f aca="false">IF(A417="","",IFERROR(INDEX(SCD_Data!$E$3:$E$502,SUMPRODUCT((SCD_Data!$A$3:$A$502=B417)*(IFERROR(DATEVALUE(SCD_Data!$H$3:$H$502&amp;""),SCD_Data!$H$3:$H$502)&lt;=IFERROR(DATEVALUE(A417&amp;""),A417))*(IFERROR(DATEVALUE(SCD_Data!$I$3:$I$502&amp;""),SCD_Data!$I$3:$I$502)&gt;=IFERROR(DATEVALUE(A417&amp;""),A417))*(ROW(SCD_Data!$A$3:$A$502)-2))),"—"))</f>
        <v/>
      </c>
      <c r="K417" s="25" t="str">
        <f aca="false">IF(A417="","",IFERROR(INDEX(SCD_Data!$F$3:$F$502,SUMPRODUCT((SCD_Data!$A$3:$A$502=B417)*(IFERROR(DATEVALUE(SCD_Data!$H$3:$H$502&amp;""),SCD_Data!$H$3:$H$502)&lt;=IFERROR(DATEVALUE(A417&amp;""),A417))*(IFERROR(DATEVALUE(SCD_Data!$I$3:$I$502&amp;""),SCD_Data!$I$3:$I$502)&gt;=IFERROR(DATEVALUE(A417&amp;""),A417))*(ROW(SCD_Data!$A$3:$A$502)-2))),"—"))</f>
        <v/>
      </c>
      <c r="L417" s="25" t="str">
        <f aca="false">IF(A417="","",IFERROR(INDEX(SCD_Data!$G$3:$G$502,SUMPRODUCT((SCD_Data!$A$3:$A$502=B417)*(IFERROR(DATEVALUE(SCD_Data!$H$3:$H$502&amp;""),SCD_Data!$H$3:$H$502)&lt;=IFERROR(DATEVALUE(A417&amp;""),A417))*(IFERROR(DATEVALUE(SCD_Data!$I$3:$I$502&amp;""),SCD_Data!$I$3:$I$502)&gt;=IFERROR(DATEVALUE(A417&amp;""),A417))*(ROW(SCD_Data!$A$3:$A$502)-2))),"—"))</f>
        <v/>
      </c>
      <c r="M417" s="27" t="str">
        <f aca="false">IF(A417="","",IF(H417="—","—",IF(C417&amp;""=H417&amp;"","✓","✗")))</f>
        <v/>
      </c>
      <c r="N417" s="27" t="str">
        <f aca="false">IF(A417="","",IF(H417="—","—",IF(D417&amp;""=I417&amp;"","✓","✗")))</f>
        <v/>
      </c>
      <c r="O417" s="27" t="str">
        <f aca="false">IF(A417="","",IF(H417="—","—",IF(ABS(E417-J417)&lt;0.01,"✓","✗")))</f>
        <v/>
      </c>
      <c r="P417" s="27" t="str">
        <f aca="false">IF(A417="","",IF(H417="—","—",IF(F417&amp;""=K417&amp;"","✓","✗")))</f>
        <v/>
      </c>
      <c r="Q417" s="27" t="str">
        <f aca="false">IF(A417="","",IF(H417="—","—",IF(G417&amp;""=L417&amp;"","✓","✗")))</f>
        <v/>
      </c>
      <c r="R417" s="27" t="str">
        <f aca="false">IF(A417="","",IF(COUNTIF(M417:Q417,"—")=5,"⚠ NO SCD ROW",IF(COUNTIF(M417:Q417,"✗")&gt;0,"❌ MISMATCH","✅ MATCH")))</f>
        <v/>
      </c>
    </row>
    <row r="418" customFormat="false" ht="15" hidden="false" customHeight="true" outlineLevel="0" collapsed="false">
      <c r="A418" s="22" t="str">
        <f aca="false">IF(Daily_Data!A417="","",Daily_Data!A417)</f>
        <v/>
      </c>
      <c r="B418" s="23" t="str">
        <f aca="false">IF(Daily_Data!B417="","",Daily_Data!B417)</f>
        <v/>
      </c>
      <c r="C418" s="23" t="str">
        <f aca="false">IF(A418="","",Daily_Data!C417)</f>
        <v/>
      </c>
      <c r="D418" s="23" t="str">
        <f aca="false">IF(A418="","",Daily_Data!D417)</f>
        <v/>
      </c>
      <c r="E418" s="24" t="str">
        <f aca="false">IF(A418="","",Daily_Data!E417)</f>
        <v/>
      </c>
      <c r="F418" s="23" t="str">
        <f aca="false">IF(A418="","",Daily_Data!F417)</f>
        <v/>
      </c>
      <c r="G418" s="23" t="str">
        <f aca="false">IF(A418="","",Daily_Data!G417)</f>
        <v/>
      </c>
      <c r="H418" s="25" t="str">
        <f aca="false">IF(A418="","",IFERROR(INDEX(SCD_Data!$C$3:$C$502,SUMPRODUCT((SCD_Data!$A$3:$A$502=B418)*(IFERROR(DATEVALUE(SCD_Data!$H$3:$H$502&amp;""),SCD_Data!$H$3:$H$502)&lt;=IFERROR(DATEVALUE(A418&amp;""),A418))*(IFERROR(DATEVALUE(SCD_Data!$I$3:$I$502&amp;""),SCD_Data!$I$3:$I$502)&gt;=IFERROR(DATEVALUE(A418&amp;""),A418))*(ROW(SCD_Data!$A$3:$A$502)-2))),"—"))</f>
        <v/>
      </c>
      <c r="I418" s="25" t="str">
        <f aca="false">IF(A418="","",IFERROR(INDEX(SCD_Data!$D$3:$D$502,SUMPRODUCT((SCD_Data!$A$3:$A$502=B418)*(IFERROR(DATEVALUE(SCD_Data!$H$3:$H$502&amp;""),SCD_Data!$H$3:$H$502)&lt;=IFERROR(DATEVALUE(A418&amp;""),A418))*(IFERROR(DATEVALUE(SCD_Data!$I$3:$I$502&amp;""),SCD_Data!$I$3:$I$502)&gt;=IFERROR(DATEVALUE(A418&amp;""),A418))*(ROW(SCD_Data!$A$3:$A$502)-2))),"—"))</f>
        <v/>
      </c>
      <c r="J418" s="26" t="str">
        <f aca="false">IF(A418="","",IFERROR(INDEX(SCD_Data!$E$3:$E$502,SUMPRODUCT((SCD_Data!$A$3:$A$502=B418)*(IFERROR(DATEVALUE(SCD_Data!$H$3:$H$502&amp;""),SCD_Data!$H$3:$H$502)&lt;=IFERROR(DATEVALUE(A418&amp;""),A418))*(IFERROR(DATEVALUE(SCD_Data!$I$3:$I$502&amp;""),SCD_Data!$I$3:$I$502)&gt;=IFERROR(DATEVALUE(A418&amp;""),A418))*(ROW(SCD_Data!$A$3:$A$502)-2))),"—"))</f>
        <v/>
      </c>
      <c r="K418" s="25" t="str">
        <f aca="false">IF(A418="","",IFERROR(INDEX(SCD_Data!$F$3:$F$502,SUMPRODUCT((SCD_Data!$A$3:$A$502=B418)*(IFERROR(DATEVALUE(SCD_Data!$H$3:$H$502&amp;""),SCD_Data!$H$3:$H$502)&lt;=IFERROR(DATEVALUE(A418&amp;""),A418))*(IFERROR(DATEVALUE(SCD_Data!$I$3:$I$502&amp;""),SCD_Data!$I$3:$I$502)&gt;=IFERROR(DATEVALUE(A418&amp;""),A418))*(ROW(SCD_Data!$A$3:$A$502)-2))),"—"))</f>
        <v/>
      </c>
      <c r="L418" s="25" t="str">
        <f aca="false">IF(A418="","",IFERROR(INDEX(SCD_Data!$G$3:$G$502,SUMPRODUCT((SCD_Data!$A$3:$A$502=B418)*(IFERROR(DATEVALUE(SCD_Data!$H$3:$H$502&amp;""),SCD_Data!$H$3:$H$502)&lt;=IFERROR(DATEVALUE(A418&amp;""),A418))*(IFERROR(DATEVALUE(SCD_Data!$I$3:$I$502&amp;""),SCD_Data!$I$3:$I$502)&gt;=IFERROR(DATEVALUE(A418&amp;""),A418))*(ROW(SCD_Data!$A$3:$A$502)-2))),"—"))</f>
        <v/>
      </c>
      <c r="M418" s="27" t="str">
        <f aca="false">IF(A418="","",IF(H418="—","—",IF(C418&amp;""=H418&amp;"","✓","✗")))</f>
        <v/>
      </c>
      <c r="N418" s="27" t="str">
        <f aca="false">IF(A418="","",IF(H418="—","—",IF(D418&amp;""=I418&amp;"","✓","✗")))</f>
        <v/>
      </c>
      <c r="O418" s="27" t="str">
        <f aca="false">IF(A418="","",IF(H418="—","—",IF(ABS(E418-J418)&lt;0.01,"✓","✗")))</f>
        <v/>
      </c>
      <c r="P418" s="27" t="str">
        <f aca="false">IF(A418="","",IF(H418="—","—",IF(F418&amp;""=K418&amp;"","✓","✗")))</f>
        <v/>
      </c>
      <c r="Q418" s="27" t="str">
        <f aca="false">IF(A418="","",IF(H418="—","—",IF(G418&amp;""=L418&amp;"","✓","✗")))</f>
        <v/>
      </c>
      <c r="R418" s="27" t="str">
        <f aca="false">IF(A418="","",IF(COUNTIF(M418:Q418,"—")=5,"⚠ NO SCD ROW",IF(COUNTIF(M418:Q418,"✗")&gt;0,"❌ MISMATCH","✅ MATCH")))</f>
        <v/>
      </c>
    </row>
    <row r="419" customFormat="false" ht="15" hidden="false" customHeight="true" outlineLevel="0" collapsed="false">
      <c r="A419" s="22" t="str">
        <f aca="false">IF(Daily_Data!A418="","",Daily_Data!A418)</f>
        <v/>
      </c>
      <c r="B419" s="23" t="str">
        <f aca="false">IF(Daily_Data!B418="","",Daily_Data!B418)</f>
        <v/>
      </c>
      <c r="C419" s="23" t="str">
        <f aca="false">IF(A419="","",Daily_Data!C418)</f>
        <v/>
      </c>
      <c r="D419" s="23" t="str">
        <f aca="false">IF(A419="","",Daily_Data!D418)</f>
        <v/>
      </c>
      <c r="E419" s="24" t="str">
        <f aca="false">IF(A419="","",Daily_Data!E418)</f>
        <v/>
      </c>
      <c r="F419" s="23" t="str">
        <f aca="false">IF(A419="","",Daily_Data!F418)</f>
        <v/>
      </c>
      <c r="G419" s="23" t="str">
        <f aca="false">IF(A419="","",Daily_Data!G418)</f>
        <v/>
      </c>
      <c r="H419" s="25" t="str">
        <f aca="false">IF(A419="","",IFERROR(INDEX(SCD_Data!$C$3:$C$502,SUMPRODUCT((SCD_Data!$A$3:$A$502=B419)*(IFERROR(DATEVALUE(SCD_Data!$H$3:$H$502&amp;""),SCD_Data!$H$3:$H$502)&lt;=IFERROR(DATEVALUE(A419&amp;""),A419))*(IFERROR(DATEVALUE(SCD_Data!$I$3:$I$502&amp;""),SCD_Data!$I$3:$I$502)&gt;=IFERROR(DATEVALUE(A419&amp;""),A419))*(ROW(SCD_Data!$A$3:$A$502)-2))),"—"))</f>
        <v/>
      </c>
      <c r="I419" s="25" t="str">
        <f aca="false">IF(A419="","",IFERROR(INDEX(SCD_Data!$D$3:$D$502,SUMPRODUCT((SCD_Data!$A$3:$A$502=B419)*(IFERROR(DATEVALUE(SCD_Data!$H$3:$H$502&amp;""),SCD_Data!$H$3:$H$502)&lt;=IFERROR(DATEVALUE(A419&amp;""),A419))*(IFERROR(DATEVALUE(SCD_Data!$I$3:$I$502&amp;""),SCD_Data!$I$3:$I$502)&gt;=IFERROR(DATEVALUE(A419&amp;""),A419))*(ROW(SCD_Data!$A$3:$A$502)-2))),"—"))</f>
        <v/>
      </c>
      <c r="J419" s="26" t="str">
        <f aca="false">IF(A419="","",IFERROR(INDEX(SCD_Data!$E$3:$E$502,SUMPRODUCT((SCD_Data!$A$3:$A$502=B419)*(IFERROR(DATEVALUE(SCD_Data!$H$3:$H$502&amp;""),SCD_Data!$H$3:$H$502)&lt;=IFERROR(DATEVALUE(A419&amp;""),A419))*(IFERROR(DATEVALUE(SCD_Data!$I$3:$I$502&amp;""),SCD_Data!$I$3:$I$502)&gt;=IFERROR(DATEVALUE(A419&amp;""),A419))*(ROW(SCD_Data!$A$3:$A$502)-2))),"—"))</f>
        <v/>
      </c>
      <c r="K419" s="25" t="str">
        <f aca="false">IF(A419="","",IFERROR(INDEX(SCD_Data!$F$3:$F$502,SUMPRODUCT((SCD_Data!$A$3:$A$502=B419)*(IFERROR(DATEVALUE(SCD_Data!$H$3:$H$502&amp;""),SCD_Data!$H$3:$H$502)&lt;=IFERROR(DATEVALUE(A419&amp;""),A419))*(IFERROR(DATEVALUE(SCD_Data!$I$3:$I$502&amp;""),SCD_Data!$I$3:$I$502)&gt;=IFERROR(DATEVALUE(A419&amp;""),A419))*(ROW(SCD_Data!$A$3:$A$502)-2))),"—"))</f>
        <v/>
      </c>
      <c r="L419" s="25" t="str">
        <f aca="false">IF(A419="","",IFERROR(INDEX(SCD_Data!$G$3:$G$502,SUMPRODUCT((SCD_Data!$A$3:$A$502=B419)*(IFERROR(DATEVALUE(SCD_Data!$H$3:$H$502&amp;""),SCD_Data!$H$3:$H$502)&lt;=IFERROR(DATEVALUE(A419&amp;""),A419))*(IFERROR(DATEVALUE(SCD_Data!$I$3:$I$502&amp;""),SCD_Data!$I$3:$I$502)&gt;=IFERROR(DATEVALUE(A419&amp;""),A419))*(ROW(SCD_Data!$A$3:$A$502)-2))),"—"))</f>
        <v/>
      </c>
      <c r="M419" s="27" t="str">
        <f aca="false">IF(A419="","",IF(H419="—","—",IF(C419&amp;""=H419&amp;"","✓","✗")))</f>
        <v/>
      </c>
      <c r="N419" s="27" t="str">
        <f aca="false">IF(A419="","",IF(H419="—","—",IF(D419&amp;""=I419&amp;"","✓","✗")))</f>
        <v/>
      </c>
      <c r="O419" s="27" t="str">
        <f aca="false">IF(A419="","",IF(H419="—","—",IF(ABS(E419-J419)&lt;0.01,"✓","✗")))</f>
        <v/>
      </c>
      <c r="P419" s="27" t="str">
        <f aca="false">IF(A419="","",IF(H419="—","—",IF(F419&amp;""=K419&amp;"","✓","✗")))</f>
        <v/>
      </c>
      <c r="Q419" s="27" t="str">
        <f aca="false">IF(A419="","",IF(H419="—","—",IF(G419&amp;""=L419&amp;"","✓","✗")))</f>
        <v/>
      </c>
      <c r="R419" s="27" t="str">
        <f aca="false">IF(A419="","",IF(COUNTIF(M419:Q419,"—")=5,"⚠ NO SCD ROW",IF(COUNTIF(M419:Q419,"✗")&gt;0,"❌ MISMATCH","✅ MATCH")))</f>
        <v/>
      </c>
    </row>
    <row r="420" customFormat="false" ht="15" hidden="false" customHeight="true" outlineLevel="0" collapsed="false">
      <c r="A420" s="22" t="str">
        <f aca="false">IF(Daily_Data!A419="","",Daily_Data!A419)</f>
        <v/>
      </c>
      <c r="B420" s="23" t="str">
        <f aca="false">IF(Daily_Data!B419="","",Daily_Data!B419)</f>
        <v/>
      </c>
      <c r="C420" s="23" t="str">
        <f aca="false">IF(A420="","",Daily_Data!C419)</f>
        <v/>
      </c>
      <c r="D420" s="23" t="str">
        <f aca="false">IF(A420="","",Daily_Data!D419)</f>
        <v/>
      </c>
      <c r="E420" s="24" t="str">
        <f aca="false">IF(A420="","",Daily_Data!E419)</f>
        <v/>
      </c>
      <c r="F420" s="23" t="str">
        <f aca="false">IF(A420="","",Daily_Data!F419)</f>
        <v/>
      </c>
      <c r="G420" s="23" t="str">
        <f aca="false">IF(A420="","",Daily_Data!G419)</f>
        <v/>
      </c>
      <c r="H420" s="25" t="str">
        <f aca="false">IF(A420="","",IFERROR(INDEX(SCD_Data!$C$3:$C$502,SUMPRODUCT((SCD_Data!$A$3:$A$502=B420)*(IFERROR(DATEVALUE(SCD_Data!$H$3:$H$502&amp;""),SCD_Data!$H$3:$H$502)&lt;=IFERROR(DATEVALUE(A420&amp;""),A420))*(IFERROR(DATEVALUE(SCD_Data!$I$3:$I$502&amp;""),SCD_Data!$I$3:$I$502)&gt;=IFERROR(DATEVALUE(A420&amp;""),A420))*(ROW(SCD_Data!$A$3:$A$502)-2))),"—"))</f>
        <v/>
      </c>
      <c r="I420" s="25" t="str">
        <f aca="false">IF(A420="","",IFERROR(INDEX(SCD_Data!$D$3:$D$502,SUMPRODUCT((SCD_Data!$A$3:$A$502=B420)*(IFERROR(DATEVALUE(SCD_Data!$H$3:$H$502&amp;""),SCD_Data!$H$3:$H$502)&lt;=IFERROR(DATEVALUE(A420&amp;""),A420))*(IFERROR(DATEVALUE(SCD_Data!$I$3:$I$502&amp;""),SCD_Data!$I$3:$I$502)&gt;=IFERROR(DATEVALUE(A420&amp;""),A420))*(ROW(SCD_Data!$A$3:$A$502)-2))),"—"))</f>
        <v/>
      </c>
      <c r="J420" s="26" t="str">
        <f aca="false">IF(A420="","",IFERROR(INDEX(SCD_Data!$E$3:$E$502,SUMPRODUCT((SCD_Data!$A$3:$A$502=B420)*(IFERROR(DATEVALUE(SCD_Data!$H$3:$H$502&amp;""),SCD_Data!$H$3:$H$502)&lt;=IFERROR(DATEVALUE(A420&amp;""),A420))*(IFERROR(DATEVALUE(SCD_Data!$I$3:$I$502&amp;""),SCD_Data!$I$3:$I$502)&gt;=IFERROR(DATEVALUE(A420&amp;""),A420))*(ROW(SCD_Data!$A$3:$A$502)-2))),"—"))</f>
        <v/>
      </c>
      <c r="K420" s="25" t="str">
        <f aca="false">IF(A420="","",IFERROR(INDEX(SCD_Data!$F$3:$F$502,SUMPRODUCT((SCD_Data!$A$3:$A$502=B420)*(IFERROR(DATEVALUE(SCD_Data!$H$3:$H$502&amp;""),SCD_Data!$H$3:$H$502)&lt;=IFERROR(DATEVALUE(A420&amp;""),A420))*(IFERROR(DATEVALUE(SCD_Data!$I$3:$I$502&amp;""),SCD_Data!$I$3:$I$502)&gt;=IFERROR(DATEVALUE(A420&amp;""),A420))*(ROW(SCD_Data!$A$3:$A$502)-2))),"—"))</f>
        <v/>
      </c>
      <c r="L420" s="25" t="str">
        <f aca="false">IF(A420="","",IFERROR(INDEX(SCD_Data!$G$3:$G$502,SUMPRODUCT((SCD_Data!$A$3:$A$502=B420)*(IFERROR(DATEVALUE(SCD_Data!$H$3:$H$502&amp;""),SCD_Data!$H$3:$H$502)&lt;=IFERROR(DATEVALUE(A420&amp;""),A420))*(IFERROR(DATEVALUE(SCD_Data!$I$3:$I$502&amp;""),SCD_Data!$I$3:$I$502)&gt;=IFERROR(DATEVALUE(A420&amp;""),A420))*(ROW(SCD_Data!$A$3:$A$502)-2))),"—"))</f>
        <v/>
      </c>
      <c r="M420" s="27" t="str">
        <f aca="false">IF(A420="","",IF(H420="—","—",IF(C420&amp;""=H420&amp;"","✓","✗")))</f>
        <v/>
      </c>
      <c r="N420" s="27" t="str">
        <f aca="false">IF(A420="","",IF(H420="—","—",IF(D420&amp;""=I420&amp;"","✓","✗")))</f>
        <v/>
      </c>
      <c r="O420" s="27" t="str">
        <f aca="false">IF(A420="","",IF(H420="—","—",IF(ABS(E420-J420)&lt;0.01,"✓","✗")))</f>
        <v/>
      </c>
      <c r="P420" s="27" t="str">
        <f aca="false">IF(A420="","",IF(H420="—","—",IF(F420&amp;""=K420&amp;"","✓","✗")))</f>
        <v/>
      </c>
      <c r="Q420" s="27" t="str">
        <f aca="false">IF(A420="","",IF(H420="—","—",IF(G420&amp;""=L420&amp;"","✓","✗")))</f>
        <v/>
      </c>
      <c r="R420" s="27" t="str">
        <f aca="false">IF(A420="","",IF(COUNTIF(M420:Q420,"—")=5,"⚠ NO SCD ROW",IF(COUNTIF(M420:Q420,"✗")&gt;0,"❌ MISMATCH","✅ MATCH")))</f>
        <v/>
      </c>
    </row>
    <row r="421" customFormat="false" ht="15" hidden="false" customHeight="true" outlineLevel="0" collapsed="false">
      <c r="A421" s="22" t="str">
        <f aca="false">IF(Daily_Data!A420="","",Daily_Data!A420)</f>
        <v/>
      </c>
      <c r="B421" s="23" t="str">
        <f aca="false">IF(Daily_Data!B420="","",Daily_Data!B420)</f>
        <v/>
      </c>
      <c r="C421" s="23" t="str">
        <f aca="false">IF(A421="","",Daily_Data!C420)</f>
        <v/>
      </c>
      <c r="D421" s="23" t="str">
        <f aca="false">IF(A421="","",Daily_Data!D420)</f>
        <v/>
      </c>
      <c r="E421" s="24" t="str">
        <f aca="false">IF(A421="","",Daily_Data!E420)</f>
        <v/>
      </c>
      <c r="F421" s="23" t="str">
        <f aca="false">IF(A421="","",Daily_Data!F420)</f>
        <v/>
      </c>
      <c r="G421" s="23" t="str">
        <f aca="false">IF(A421="","",Daily_Data!G420)</f>
        <v/>
      </c>
      <c r="H421" s="25" t="str">
        <f aca="false">IF(A421="","",IFERROR(INDEX(SCD_Data!$C$3:$C$502,SUMPRODUCT((SCD_Data!$A$3:$A$502=B421)*(IFERROR(DATEVALUE(SCD_Data!$H$3:$H$502&amp;""),SCD_Data!$H$3:$H$502)&lt;=IFERROR(DATEVALUE(A421&amp;""),A421))*(IFERROR(DATEVALUE(SCD_Data!$I$3:$I$502&amp;""),SCD_Data!$I$3:$I$502)&gt;=IFERROR(DATEVALUE(A421&amp;""),A421))*(ROW(SCD_Data!$A$3:$A$502)-2))),"—"))</f>
        <v/>
      </c>
      <c r="I421" s="25" t="str">
        <f aca="false">IF(A421="","",IFERROR(INDEX(SCD_Data!$D$3:$D$502,SUMPRODUCT((SCD_Data!$A$3:$A$502=B421)*(IFERROR(DATEVALUE(SCD_Data!$H$3:$H$502&amp;""),SCD_Data!$H$3:$H$502)&lt;=IFERROR(DATEVALUE(A421&amp;""),A421))*(IFERROR(DATEVALUE(SCD_Data!$I$3:$I$502&amp;""),SCD_Data!$I$3:$I$502)&gt;=IFERROR(DATEVALUE(A421&amp;""),A421))*(ROW(SCD_Data!$A$3:$A$502)-2))),"—"))</f>
        <v/>
      </c>
      <c r="J421" s="26" t="str">
        <f aca="false">IF(A421="","",IFERROR(INDEX(SCD_Data!$E$3:$E$502,SUMPRODUCT((SCD_Data!$A$3:$A$502=B421)*(IFERROR(DATEVALUE(SCD_Data!$H$3:$H$502&amp;""),SCD_Data!$H$3:$H$502)&lt;=IFERROR(DATEVALUE(A421&amp;""),A421))*(IFERROR(DATEVALUE(SCD_Data!$I$3:$I$502&amp;""),SCD_Data!$I$3:$I$502)&gt;=IFERROR(DATEVALUE(A421&amp;""),A421))*(ROW(SCD_Data!$A$3:$A$502)-2))),"—"))</f>
        <v/>
      </c>
      <c r="K421" s="25" t="str">
        <f aca="false">IF(A421="","",IFERROR(INDEX(SCD_Data!$F$3:$F$502,SUMPRODUCT((SCD_Data!$A$3:$A$502=B421)*(IFERROR(DATEVALUE(SCD_Data!$H$3:$H$502&amp;""),SCD_Data!$H$3:$H$502)&lt;=IFERROR(DATEVALUE(A421&amp;""),A421))*(IFERROR(DATEVALUE(SCD_Data!$I$3:$I$502&amp;""),SCD_Data!$I$3:$I$502)&gt;=IFERROR(DATEVALUE(A421&amp;""),A421))*(ROW(SCD_Data!$A$3:$A$502)-2))),"—"))</f>
        <v/>
      </c>
      <c r="L421" s="25" t="str">
        <f aca="false">IF(A421="","",IFERROR(INDEX(SCD_Data!$G$3:$G$502,SUMPRODUCT((SCD_Data!$A$3:$A$502=B421)*(IFERROR(DATEVALUE(SCD_Data!$H$3:$H$502&amp;""),SCD_Data!$H$3:$H$502)&lt;=IFERROR(DATEVALUE(A421&amp;""),A421))*(IFERROR(DATEVALUE(SCD_Data!$I$3:$I$502&amp;""),SCD_Data!$I$3:$I$502)&gt;=IFERROR(DATEVALUE(A421&amp;""),A421))*(ROW(SCD_Data!$A$3:$A$502)-2))),"—"))</f>
        <v/>
      </c>
      <c r="M421" s="27" t="str">
        <f aca="false">IF(A421="","",IF(H421="—","—",IF(C421&amp;""=H421&amp;"","✓","✗")))</f>
        <v/>
      </c>
      <c r="N421" s="27" t="str">
        <f aca="false">IF(A421="","",IF(H421="—","—",IF(D421&amp;""=I421&amp;"","✓","✗")))</f>
        <v/>
      </c>
      <c r="O421" s="27" t="str">
        <f aca="false">IF(A421="","",IF(H421="—","—",IF(ABS(E421-J421)&lt;0.01,"✓","✗")))</f>
        <v/>
      </c>
      <c r="P421" s="27" t="str">
        <f aca="false">IF(A421="","",IF(H421="—","—",IF(F421&amp;""=K421&amp;"","✓","✗")))</f>
        <v/>
      </c>
      <c r="Q421" s="27" t="str">
        <f aca="false">IF(A421="","",IF(H421="—","—",IF(G421&amp;""=L421&amp;"","✓","✗")))</f>
        <v/>
      </c>
      <c r="R421" s="27" t="str">
        <f aca="false">IF(A421="","",IF(COUNTIF(M421:Q421,"—")=5,"⚠ NO SCD ROW",IF(COUNTIF(M421:Q421,"✗")&gt;0,"❌ MISMATCH","✅ MATCH")))</f>
        <v/>
      </c>
    </row>
    <row r="422" customFormat="false" ht="15" hidden="false" customHeight="true" outlineLevel="0" collapsed="false">
      <c r="A422" s="22" t="str">
        <f aca="false">IF(Daily_Data!A421="","",Daily_Data!A421)</f>
        <v/>
      </c>
      <c r="B422" s="23" t="str">
        <f aca="false">IF(Daily_Data!B421="","",Daily_Data!B421)</f>
        <v/>
      </c>
      <c r="C422" s="23" t="str">
        <f aca="false">IF(A422="","",Daily_Data!C421)</f>
        <v/>
      </c>
      <c r="D422" s="23" t="str">
        <f aca="false">IF(A422="","",Daily_Data!D421)</f>
        <v/>
      </c>
      <c r="E422" s="24" t="str">
        <f aca="false">IF(A422="","",Daily_Data!E421)</f>
        <v/>
      </c>
      <c r="F422" s="23" t="str">
        <f aca="false">IF(A422="","",Daily_Data!F421)</f>
        <v/>
      </c>
      <c r="G422" s="23" t="str">
        <f aca="false">IF(A422="","",Daily_Data!G421)</f>
        <v/>
      </c>
      <c r="H422" s="25" t="str">
        <f aca="false">IF(A422="","",IFERROR(INDEX(SCD_Data!$C$3:$C$502,SUMPRODUCT((SCD_Data!$A$3:$A$502=B422)*(IFERROR(DATEVALUE(SCD_Data!$H$3:$H$502&amp;""),SCD_Data!$H$3:$H$502)&lt;=IFERROR(DATEVALUE(A422&amp;""),A422))*(IFERROR(DATEVALUE(SCD_Data!$I$3:$I$502&amp;""),SCD_Data!$I$3:$I$502)&gt;=IFERROR(DATEVALUE(A422&amp;""),A422))*(ROW(SCD_Data!$A$3:$A$502)-2))),"—"))</f>
        <v/>
      </c>
      <c r="I422" s="25" t="str">
        <f aca="false">IF(A422="","",IFERROR(INDEX(SCD_Data!$D$3:$D$502,SUMPRODUCT((SCD_Data!$A$3:$A$502=B422)*(IFERROR(DATEVALUE(SCD_Data!$H$3:$H$502&amp;""),SCD_Data!$H$3:$H$502)&lt;=IFERROR(DATEVALUE(A422&amp;""),A422))*(IFERROR(DATEVALUE(SCD_Data!$I$3:$I$502&amp;""),SCD_Data!$I$3:$I$502)&gt;=IFERROR(DATEVALUE(A422&amp;""),A422))*(ROW(SCD_Data!$A$3:$A$502)-2))),"—"))</f>
        <v/>
      </c>
      <c r="J422" s="26" t="str">
        <f aca="false">IF(A422="","",IFERROR(INDEX(SCD_Data!$E$3:$E$502,SUMPRODUCT((SCD_Data!$A$3:$A$502=B422)*(IFERROR(DATEVALUE(SCD_Data!$H$3:$H$502&amp;""),SCD_Data!$H$3:$H$502)&lt;=IFERROR(DATEVALUE(A422&amp;""),A422))*(IFERROR(DATEVALUE(SCD_Data!$I$3:$I$502&amp;""),SCD_Data!$I$3:$I$502)&gt;=IFERROR(DATEVALUE(A422&amp;""),A422))*(ROW(SCD_Data!$A$3:$A$502)-2))),"—"))</f>
        <v/>
      </c>
      <c r="K422" s="25" t="str">
        <f aca="false">IF(A422="","",IFERROR(INDEX(SCD_Data!$F$3:$F$502,SUMPRODUCT((SCD_Data!$A$3:$A$502=B422)*(IFERROR(DATEVALUE(SCD_Data!$H$3:$H$502&amp;""),SCD_Data!$H$3:$H$502)&lt;=IFERROR(DATEVALUE(A422&amp;""),A422))*(IFERROR(DATEVALUE(SCD_Data!$I$3:$I$502&amp;""),SCD_Data!$I$3:$I$502)&gt;=IFERROR(DATEVALUE(A422&amp;""),A422))*(ROW(SCD_Data!$A$3:$A$502)-2))),"—"))</f>
        <v/>
      </c>
      <c r="L422" s="25" t="str">
        <f aca="false">IF(A422="","",IFERROR(INDEX(SCD_Data!$G$3:$G$502,SUMPRODUCT((SCD_Data!$A$3:$A$502=B422)*(IFERROR(DATEVALUE(SCD_Data!$H$3:$H$502&amp;""),SCD_Data!$H$3:$H$502)&lt;=IFERROR(DATEVALUE(A422&amp;""),A422))*(IFERROR(DATEVALUE(SCD_Data!$I$3:$I$502&amp;""),SCD_Data!$I$3:$I$502)&gt;=IFERROR(DATEVALUE(A422&amp;""),A422))*(ROW(SCD_Data!$A$3:$A$502)-2))),"—"))</f>
        <v/>
      </c>
      <c r="M422" s="27" t="str">
        <f aca="false">IF(A422="","",IF(H422="—","—",IF(C422&amp;""=H422&amp;"","✓","✗")))</f>
        <v/>
      </c>
      <c r="N422" s="27" t="str">
        <f aca="false">IF(A422="","",IF(H422="—","—",IF(D422&amp;""=I422&amp;"","✓","✗")))</f>
        <v/>
      </c>
      <c r="O422" s="27" t="str">
        <f aca="false">IF(A422="","",IF(H422="—","—",IF(ABS(E422-J422)&lt;0.01,"✓","✗")))</f>
        <v/>
      </c>
      <c r="P422" s="27" t="str">
        <f aca="false">IF(A422="","",IF(H422="—","—",IF(F422&amp;""=K422&amp;"","✓","✗")))</f>
        <v/>
      </c>
      <c r="Q422" s="27" t="str">
        <f aca="false">IF(A422="","",IF(H422="—","—",IF(G422&amp;""=L422&amp;"","✓","✗")))</f>
        <v/>
      </c>
      <c r="R422" s="27" t="str">
        <f aca="false">IF(A422="","",IF(COUNTIF(M422:Q422,"—")=5,"⚠ NO SCD ROW",IF(COUNTIF(M422:Q422,"✗")&gt;0,"❌ MISMATCH","✅ MATCH")))</f>
        <v/>
      </c>
    </row>
    <row r="423" customFormat="false" ht="15" hidden="false" customHeight="true" outlineLevel="0" collapsed="false">
      <c r="A423" s="22" t="str">
        <f aca="false">IF(Daily_Data!A422="","",Daily_Data!A422)</f>
        <v/>
      </c>
      <c r="B423" s="23" t="str">
        <f aca="false">IF(Daily_Data!B422="","",Daily_Data!B422)</f>
        <v/>
      </c>
      <c r="C423" s="23" t="str">
        <f aca="false">IF(A423="","",Daily_Data!C422)</f>
        <v/>
      </c>
      <c r="D423" s="23" t="str">
        <f aca="false">IF(A423="","",Daily_Data!D422)</f>
        <v/>
      </c>
      <c r="E423" s="24" t="str">
        <f aca="false">IF(A423="","",Daily_Data!E422)</f>
        <v/>
      </c>
      <c r="F423" s="23" t="str">
        <f aca="false">IF(A423="","",Daily_Data!F422)</f>
        <v/>
      </c>
      <c r="G423" s="23" t="str">
        <f aca="false">IF(A423="","",Daily_Data!G422)</f>
        <v/>
      </c>
      <c r="H423" s="25" t="str">
        <f aca="false">IF(A423="","",IFERROR(INDEX(SCD_Data!$C$3:$C$502,SUMPRODUCT((SCD_Data!$A$3:$A$502=B423)*(IFERROR(DATEVALUE(SCD_Data!$H$3:$H$502&amp;""),SCD_Data!$H$3:$H$502)&lt;=IFERROR(DATEVALUE(A423&amp;""),A423))*(IFERROR(DATEVALUE(SCD_Data!$I$3:$I$502&amp;""),SCD_Data!$I$3:$I$502)&gt;=IFERROR(DATEVALUE(A423&amp;""),A423))*(ROW(SCD_Data!$A$3:$A$502)-2))),"—"))</f>
        <v/>
      </c>
      <c r="I423" s="25" t="str">
        <f aca="false">IF(A423="","",IFERROR(INDEX(SCD_Data!$D$3:$D$502,SUMPRODUCT((SCD_Data!$A$3:$A$502=B423)*(IFERROR(DATEVALUE(SCD_Data!$H$3:$H$502&amp;""),SCD_Data!$H$3:$H$502)&lt;=IFERROR(DATEVALUE(A423&amp;""),A423))*(IFERROR(DATEVALUE(SCD_Data!$I$3:$I$502&amp;""),SCD_Data!$I$3:$I$502)&gt;=IFERROR(DATEVALUE(A423&amp;""),A423))*(ROW(SCD_Data!$A$3:$A$502)-2))),"—"))</f>
        <v/>
      </c>
      <c r="J423" s="26" t="str">
        <f aca="false">IF(A423="","",IFERROR(INDEX(SCD_Data!$E$3:$E$502,SUMPRODUCT((SCD_Data!$A$3:$A$502=B423)*(IFERROR(DATEVALUE(SCD_Data!$H$3:$H$502&amp;""),SCD_Data!$H$3:$H$502)&lt;=IFERROR(DATEVALUE(A423&amp;""),A423))*(IFERROR(DATEVALUE(SCD_Data!$I$3:$I$502&amp;""),SCD_Data!$I$3:$I$502)&gt;=IFERROR(DATEVALUE(A423&amp;""),A423))*(ROW(SCD_Data!$A$3:$A$502)-2))),"—"))</f>
        <v/>
      </c>
      <c r="K423" s="25" t="str">
        <f aca="false">IF(A423="","",IFERROR(INDEX(SCD_Data!$F$3:$F$502,SUMPRODUCT((SCD_Data!$A$3:$A$502=B423)*(IFERROR(DATEVALUE(SCD_Data!$H$3:$H$502&amp;""),SCD_Data!$H$3:$H$502)&lt;=IFERROR(DATEVALUE(A423&amp;""),A423))*(IFERROR(DATEVALUE(SCD_Data!$I$3:$I$502&amp;""),SCD_Data!$I$3:$I$502)&gt;=IFERROR(DATEVALUE(A423&amp;""),A423))*(ROW(SCD_Data!$A$3:$A$502)-2))),"—"))</f>
        <v/>
      </c>
      <c r="L423" s="25" t="str">
        <f aca="false">IF(A423="","",IFERROR(INDEX(SCD_Data!$G$3:$G$502,SUMPRODUCT((SCD_Data!$A$3:$A$502=B423)*(IFERROR(DATEVALUE(SCD_Data!$H$3:$H$502&amp;""),SCD_Data!$H$3:$H$502)&lt;=IFERROR(DATEVALUE(A423&amp;""),A423))*(IFERROR(DATEVALUE(SCD_Data!$I$3:$I$502&amp;""),SCD_Data!$I$3:$I$502)&gt;=IFERROR(DATEVALUE(A423&amp;""),A423))*(ROW(SCD_Data!$A$3:$A$502)-2))),"—"))</f>
        <v/>
      </c>
      <c r="M423" s="27" t="str">
        <f aca="false">IF(A423="","",IF(H423="—","—",IF(C423&amp;""=H423&amp;"","✓","✗")))</f>
        <v/>
      </c>
      <c r="N423" s="27" t="str">
        <f aca="false">IF(A423="","",IF(H423="—","—",IF(D423&amp;""=I423&amp;"","✓","✗")))</f>
        <v/>
      </c>
      <c r="O423" s="27" t="str">
        <f aca="false">IF(A423="","",IF(H423="—","—",IF(ABS(E423-J423)&lt;0.01,"✓","✗")))</f>
        <v/>
      </c>
      <c r="P423" s="27" t="str">
        <f aca="false">IF(A423="","",IF(H423="—","—",IF(F423&amp;""=K423&amp;"","✓","✗")))</f>
        <v/>
      </c>
      <c r="Q423" s="27" t="str">
        <f aca="false">IF(A423="","",IF(H423="—","—",IF(G423&amp;""=L423&amp;"","✓","✗")))</f>
        <v/>
      </c>
      <c r="R423" s="27" t="str">
        <f aca="false">IF(A423="","",IF(COUNTIF(M423:Q423,"—")=5,"⚠ NO SCD ROW",IF(COUNTIF(M423:Q423,"✗")&gt;0,"❌ MISMATCH","✅ MATCH")))</f>
        <v/>
      </c>
    </row>
    <row r="424" customFormat="false" ht="15" hidden="false" customHeight="true" outlineLevel="0" collapsed="false">
      <c r="A424" s="22" t="str">
        <f aca="false">IF(Daily_Data!A423="","",Daily_Data!A423)</f>
        <v/>
      </c>
      <c r="B424" s="23" t="str">
        <f aca="false">IF(Daily_Data!B423="","",Daily_Data!B423)</f>
        <v/>
      </c>
      <c r="C424" s="23" t="str">
        <f aca="false">IF(A424="","",Daily_Data!C423)</f>
        <v/>
      </c>
      <c r="D424" s="23" t="str">
        <f aca="false">IF(A424="","",Daily_Data!D423)</f>
        <v/>
      </c>
      <c r="E424" s="24" t="str">
        <f aca="false">IF(A424="","",Daily_Data!E423)</f>
        <v/>
      </c>
      <c r="F424" s="23" t="str">
        <f aca="false">IF(A424="","",Daily_Data!F423)</f>
        <v/>
      </c>
      <c r="G424" s="23" t="str">
        <f aca="false">IF(A424="","",Daily_Data!G423)</f>
        <v/>
      </c>
      <c r="H424" s="25" t="str">
        <f aca="false">IF(A424="","",IFERROR(INDEX(SCD_Data!$C$3:$C$502,SUMPRODUCT((SCD_Data!$A$3:$A$502=B424)*(IFERROR(DATEVALUE(SCD_Data!$H$3:$H$502&amp;""),SCD_Data!$H$3:$H$502)&lt;=IFERROR(DATEVALUE(A424&amp;""),A424))*(IFERROR(DATEVALUE(SCD_Data!$I$3:$I$502&amp;""),SCD_Data!$I$3:$I$502)&gt;=IFERROR(DATEVALUE(A424&amp;""),A424))*(ROW(SCD_Data!$A$3:$A$502)-2))),"—"))</f>
        <v/>
      </c>
      <c r="I424" s="25" t="str">
        <f aca="false">IF(A424="","",IFERROR(INDEX(SCD_Data!$D$3:$D$502,SUMPRODUCT((SCD_Data!$A$3:$A$502=B424)*(IFERROR(DATEVALUE(SCD_Data!$H$3:$H$502&amp;""),SCD_Data!$H$3:$H$502)&lt;=IFERROR(DATEVALUE(A424&amp;""),A424))*(IFERROR(DATEVALUE(SCD_Data!$I$3:$I$502&amp;""),SCD_Data!$I$3:$I$502)&gt;=IFERROR(DATEVALUE(A424&amp;""),A424))*(ROW(SCD_Data!$A$3:$A$502)-2))),"—"))</f>
        <v/>
      </c>
      <c r="J424" s="26" t="str">
        <f aca="false">IF(A424="","",IFERROR(INDEX(SCD_Data!$E$3:$E$502,SUMPRODUCT((SCD_Data!$A$3:$A$502=B424)*(IFERROR(DATEVALUE(SCD_Data!$H$3:$H$502&amp;""),SCD_Data!$H$3:$H$502)&lt;=IFERROR(DATEVALUE(A424&amp;""),A424))*(IFERROR(DATEVALUE(SCD_Data!$I$3:$I$502&amp;""),SCD_Data!$I$3:$I$502)&gt;=IFERROR(DATEVALUE(A424&amp;""),A424))*(ROW(SCD_Data!$A$3:$A$502)-2))),"—"))</f>
        <v/>
      </c>
      <c r="K424" s="25" t="str">
        <f aca="false">IF(A424="","",IFERROR(INDEX(SCD_Data!$F$3:$F$502,SUMPRODUCT((SCD_Data!$A$3:$A$502=B424)*(IFERROR(DATEVALUE(SCD_Data!$H$3:$H$502&amp;""),SCD_Data!$H$3:$H$502)&lt;=IFERROR(DATEVALUE(A424&amp;""),A424))*(IFERROR(DATEVALUE(SCD_Data!$I$3:$I$502&amp;""),SCD_Data!$I$3:$I$502)&gt;=IFERROR(DATEVALUE(A424&amp;""),A424))*(ROW(SCD_Data!$A$3:$A$502)-2))),"—"))</f>
        <v/>
      </c>
      <c r="L424" s="25" t="str">
        <f aca="false">IF(A424="","",IFERROR(INDEX(SCD_Data!$G$3:$G$502,SUMPRODUCT((SCD_Data!$A$3:$A$502=B424)*(IFERROR(DATEVALUE(SCD_Data!$H$3:$H$502&amp;""),SCD_Data!$H$3:$H$502)&lt;=IFERROR(DATEVALUE(A424&amp;""),A424))*(IFERROR(DATEVALUE(SCD_Data!$I$3:$I$502&amp;""),SCD_Data!$I$3:$I$502)&gt;=IFERROR(DATEVALUE(A424&amp;""),A424))*(ROW(SCD_Data!$A$3:$A$502)-2))),"—"))</f>
        <v/>
      </c>
      <c r="M424" s="27" t="str">
        <f aca="false">IF(A424="","",IF(H424="—","—",IF(C424&amp;""=H424&amp;"","✓","✗")))</f>
        <v/>
      </c>
      <c r="N424" s="27" t="str">
        <f aca="false">IF(A424="","",IF(H424="—","—",IF(D424&amp;""=I424&amp;"","✓","✗")))</f>
        <v/>
      </c>
      <c r="O424" s="27" t="str">
        <f aca="false">IF(A424="","",IF(H424="—","—",IF(ABS(E424-J424)&lt;0.01,"✓","✗")))</f>
        <v/>
      </c>
      <c r="P424" s="27" t="str">
        <f aca="false">IF(A424="","",IF(H424="—","—",IF(F424&amp;""=K424&amp;"","✓","✗")))</f>
        <v/>
      </c>
      <c r="Q424" s="27" t="str">
        <f aca="false">IF(A424="","",IF(H424="—","—",IF(G424&amp;""=L424&amp;"","✓","✗")))</f>
        <v/>
      </c>
      <c r="R424" s="27" t="str">
        <f aca="false">IF(A424="","",IF(COUNTIF(M424:Q424,"—")=5,"⚠ NO SCD ROW",IF(COUNTIF(M424:Q424,"✗")&gt;0,"❌ MISMATCH","✅ MATCH")))</f>
        <v/>
      </c>
    </row>
    <row r="425" customFormat="false" ht="15" hidden="false" customHeight="true" outlineLevel="0" collapsed="false">
      <c r="A425" s="22" t="str">
        <f aca="false">IF(Daily_Data!A424="","",Daily_Data!A424)</f>
        <v/>
      </c>
      <c r="B425" s="23" t="str">
        <f aca="false">IF(Daily_Data!B424="","",Daily_Data!B424)</f>
        <v/>
      </c>
      <c r="C425" s="23" t="str">
        <f aca="false">IF(A425="","",Daily_Data!C424)</f>
        <v/>
      </c>
      <c r="D425" s="23" t="str">
        <f aca="false">IF(A425="","",Daily_Data!D424)</f>
        <v/>
      </c>
      <c r="E425" s="24" t="str">
        <f aca="false">IF(A425="","",Daily_Data!E424)</f>
        <v/>
      </c>
      <c r="F425" s="23" t="str">
        <f aca="false">IF(A425="","",Daily_Data!F424)</f>
        <v/>
      </c>
      <c r="G425" s="23" t="str">
        <f aca="false">IF(A425="","",Daily_Data!G424)</f>
        <v/>
      </c>
      <c r="H425" s="25" t="str">
        <f aca="false">IF(A425="","",IFERROR(INDEX(SCD_Data!$C$3:$C$502,SUMPRODUCT((SCD_Data!$A$3:$A$502=B425)*(IFERROR(DATEVALUE(SCD_Data!$H$3:$H$502&amp;""),SCD_Data!$H$3:$H$502)&lt;=IFERROR(DATEVALUE(A425&amp;""),A425))*(IFERROR(DATEVALUE(SCD_Data!$I$3:$I$502&amp;""),SCD_Data!$I$3:$I$502)&gt;=IFERROR(DATEVALUE(A425&amp;""),A425))*(ROW(SCD_Data!$A$3:$A$502)-2))),"—"))</f>
        <v/>
      </c>
      <c r="I425" s="25" t="str">
        <f aca="false">IF(A425="","",IFERROR(INDEX(SCD_Data!$D$3:$D$502,SUMPRODUCT((SCD_Data!$A$3:$A$502=B425)*(IFERROR(DATEVALUE(SCD_Data!$H$3:$H$502&amp;""),SCD_Data!$H$3:$H$502)&lt;=IFERROR(DATEVALUE(A425&amp;""),A425))*(IFERROR(DATEVALUE(SCD_Data!$I$3:$I$502&amp;""),SCD_Data!$I$3:$I$502)&gt;=IFERROR(DATEVALUE(A425&amp;""),A425))*(ROW(SCD_Data!$A$3:$A$502)-2))),"—"))</f>
        <v/>
      </c>
      <c r="J425" s="26" t="str">
        <f aca="false">IF(A425="","",IFERROR(INDEX(SCD_Data!$E$3:$E$502,SUMPRODUCT((SCD_Data!$A$3:$A$502=B425)*(IFERROR(DATEVALUE(SCD_Data!$H$3:$H$502&amp;""),SCD_Data!$H$3:$H$502)&lt;=IFERROR(DATEVALUE(A425&amp;""),A425))*(IFERROR(DATEVALUE(SCD_Data!$I$3:$I$502&amp;""),SCD_Data!$I$3:$I$502)&gt;=IFERROR(DATEVALUE(A425&amp;""),A425))*(ROW(SCD_Data!$A$3:$A$502)-2))),"—"))</f>
        <v/>
      </c>
      <c r="K425" s="25" t="str">
        <f aca="false">IF(A425="","",IFERROR(INDEX(SCD_Data!$F$3:$F$502,SUMPRODUCT((SCD_Data!$A$3:$A$502=B425)*(IFERROR(DATEVALUE(SCD_Data!$H$3:$H$502&amp;""),SCD_Data!$H$3:$H$502)&lt;=IFERROR(DATEVALUE(A425&amp;""),A425))*(IFERROR(DATEVALUE(SCD_Data!$I$3:$I$502&amp;""),SCD_Data!$I$3:$I$502)&gt;=IFERROR(DATEVALUE(A425&amp;""),A425))*(ROW(SCD_Data!$A$3:$A$502)-2))),"—"))</f>
        <v/>
      </c>
      <c r="L425" s="25" t="str">
        <f aca="false">IF(A425="","",IFERROR(INDEX(SCD_Data!$G$3:$G$502,SUMPRODUCT((SCD_Data!$A$3:$A$502=B425)*(IFERROR(DATEVALUE(SCD_Data!$H$3:$H$502&amp;""),SCD_Data!$H$3:$H$502)&lt;=IFERROR(DATEVALUE(A425&amp;""),A425))*(IFERROR(DATEVALUE(SCD_Data!$I$3:$I$502&amp;""),SCD_Data!$I$3:$I$502)&gt;=IFERROR(DATEVALUE(A425&amp;""),A425))*(ROW(SCD_Data!$A$3:$A$502)-2))),"—"))</f>
        <v/>
      </c>
      <c r="M425" s="27" t="str">
        <f aca="false">IF(A425="","",IF(H425="—","—",IF(C425&amp;""=H425&amp;"","✓","✗")))</f>
        <v/>
      </c>
      <c r="N425" s="27" t="str">
        <f aca="false">IF(A425="","",IF(H425="—","—",IF(D425&amp;""=I425&amp;"","✓","✗")))</f>
        <v/>
      </c>
      <c r="O425" s="27" t="str">
        <f aca="false">IF(A425="","",IF(H425="—","—",IF(ABS(E425-J425)&lt;0.01,"✓","✗")))</f>
        <v/>
      </c>
      <c r="P425" s="27" t="str">
        <f aca="false">IF(A425="","",IF(H425="—","—",IF(F425&amp;""=K425&amp;"","✓","✗")))</f>
        <v/>
      </c>
      <c r="Q425" s="27" t="str">
        <f aca="false">IF(A425="","",IF(H425="—","—",IF(G425&amp;""=L425&amp;"","✓","✗")))</f>
        <v/>
      </c>
      <c r="R425" s="27" t="str">
        <f aca="false">IF(A425="","",IF(COUNTIF(M425:Q425,"—")=5,"⚠ NO SCD ROW",IF(COUNTIF(M425:Q425,"✗")&gt;0,"❌ MISMATCH","✅ MATCH")))</f>
        <v/>
      </c>
    </row>
    <row r="426" customFormat="false" ht="15" hidden="false" customHeight="true" outlineLevel="0" collapsed="false">
      <c r="A426" s="22" t="str">
        <f aca="false">IF(Daily_Data!A425="","",Daily_Data!A425)</f>
        <v/>
      </c>
      <c r="B426" s="23" t="str">
        <f aca="false">IF(Daily_Data!B425="","",Daily_Data!B425)</f>
        <v/>
      </c>
      <c r="C426" s="23" t="str">
        <f aca="false">IF(A426="","",Daily_Data!C425)</f>
        <v/>
      </c>
      <c r="D426" s="23" t="str">
        <f aca="false">IF(A426="","",Daily_Data!D425)</f>
        <v/>
      </c>
      <c r="E426" s="24" t="str">
        <f aca="false">IF(A426="","",Daily_Data!E425)</f>
        <v/>
      </c>
      <c r="F426" s="23" t="str">
        <f aca="false">IF(A426="","",Daily_Data!F425)</f>
        <v/>
      </c>
      <c r="G426" s="23" t="str">
        <f aca="false">IF(A426="","",Daily_Data!G425)</f>
        <v/>
      </c>
      <c r="H426" s="25" t="str">
        <f aca="false">IF(A426="","",IFERROR(INDEX(SCD_Data!$C$3:$C$502,SUMPRODUCT((SCD_Data!$A$3:$A$502=B426)*(IFERROR(DATEVALUE(SCD_Data!$H$3:$H$502&amp;""),SCD_Data!$H$3:$H$502)&lt;=IFERROR(DATEVALUE(A426&amp;""),A426))*(IFERROR(DATEVALUE(SCD_Data!$I$3:$I$502&amp;""),SCD_Data!$I$3:$I$502)&gt;=IFERROR(DATEVALUE(A426&amp;""),A426))*(ROW(SCD_Data!$A$3:$A$502)-2))),"—"))</f>
        <v/>
      </c>
      <c r="I426" s="25" t="str">
        <f aca="false">IF(A426="","",IFERROR(INDEX(SCD_Data!$D$3:$D$502,SUMPRODUCT((SCD_Data!$A$3:$A$502=B426)*(IFERROR(DATEVALUE(SCD_Data!$H$3:$H$502&amp;""),SCD_Data!$H$3:$H$502)&lt;=IFERROR(DATEVALUE(A426&amp;""),A426))*(IFERROR(DATEVALUE(SCD_Data!$I$3:$I$502&amp;""),SCD_Data!$I$3:$I$502)&gt;=IFERROR(DATEVALUE(A426&amp;""),A426))*(ROW(SCD_Data!$A$3:$A$502)-2))),"—"))</f>
        <v/>
      </c>
      <c r="J426" s="26" t="str">
        <f aca="false">IF(A426="","",IFERROR(INDEX(SCD_Data!$E$3:$E$502,SUMPRODUCT((SCD_Data!$A$3:$A$502=B426)*(IFERROR(DATEVALUE(SCD_Data!$H$3:$H$502&amp;""),SCD_Data!$H$3:$H$502)&lt;=IFERROR(DATEVALUE(A426&amp;""),A426))*(IFERROR(DATEVALUE(SCD_Data!$I$3:$I$502&amp;""),SCD_Data!$I$3:$I$502)&gt;=IFERROR(DATEVALUE(A426&amp;""),A426))*(ROW(SCD_Data!$A$3:$A$502)-2))),"—"))</f>
        <v/>
      </c>
      <c r="K426" s="25" t="str">
        <f aca="false">IF(A426="","",IFERROR(INDEX(SCD_Data!$F$3:$F$502,SUMPRODUCT((SCD_Data!$A$3:$A$502=B426)*(IFERROR(DATEVALUE(SCD_Data!$H$3:$H$502&amp;""),SCD_Data!$H$3:$H$502)&lt;=IFERROR(DATEVALUE(A426&amp;""),A426))*(IFERROR(DATEVALUE(SCD_Data!$I$3:$I$502&amp;""),SCD_Data!$I$3:$I$502)&gt;=IFERROR(DATEVALUE(A426&amp;""),A426))*(ROW(SCD_Data!$A$3:$A$502)-2))),"—"))</f>
        <v/>
      </c>
      <c r="L426" s="25" t="str">
        <f aca="false">IF(A426="","",IFERROR(INDEX(SCD_Data!$G$3:$G$502,SUMPRODUCT((SCD_Data!$A$3:$A$502=B426)*(IFERROR(DATEVALUE(SCD_Data!$H$3:$H$502&amp;""),SCD_Data!$H$3:$H$502)&lt;=IFERROR(DATEVALUE(A426&amp;""),A426))*(IFERROR(DATEVALUE(SCD_Data!$I$3:$I$502&amp;""),SCD_Data!$I$3:$I$502)&gt;=IFERROR(DATEVALUE(A426&amp;""),A426))*(ROW(SCD_Data!$A$3:$A$502)-2))),"—"))</f>
        <v/>
      </c>
      <c r="M426" s="27" t="str">
        <f aca="false">IF(A426="","",IF(H426="—","—",IF(C426&amp;""=H426&amp;"","✓","✗")))</f>
        <v/>
      </c>
      <c r="N426" s="27" t="str">
        <f aca="false">IF(A426="","",IF(H426="—","—",IF(D426&amp;""=I426&amp;"","✓","✗")))</f>
        <v/>
      </c>
      <c r="O426" s="27" t="str">
        <f aca="false">IF(A426="","",IF(H426="—","—",IF(ABS(E426-J426)&lt;0.01,"✓","✗")))</f>
        <v/>
      </c>
      <c r="P426" s="27" t="str">
        <f aca="false">IF(A426="","",IF(H426="—","—",IF(F426&amp;""=K426&amp;"","✓","✗")))</f>
        <v/>
      </c>
      <c r="Q426" s="27" t="str">
        <f aca="false">IF(A426="","",IF(H426="—","—",IF(G426&amp;""=L426&amp;"","✓","✗")))</f>
        <v/>
      </c>
      <c r="R426" s="27" t="str">
        <f aca="false">IF(A426="","",IF(COUNTIF(M426:Q426,"—")=5,"⚠ NO SCD ROW",IF(COUNTIF(M426:Q426,"✗")&gt;0,"❌ MISMATCH","✅ MATCH")))</f>
        <v/>
      </c>
    </row>
    <row r="427" customFormat="false" ht="15" hidden="false" customHeight="true" outlineLevel="0" collapsed="false">
      <c r="A427" s="22" t="str">
        <f aca="false">IF(Daily_Data!A426="","",Daily_Data!A426)</f>
        <v/>
      </c>
      <c r="B427" s="23" t="str">
        <f aca="false">IF(Daily_Data!B426="","",Daily_Data!B426)</f>
        <v/>
      </c>
      <c r="C427" s="23" t="str">
        <f aca="false">IF(A427="","",Daily_Data!C426)</f>
        <v/>
      </c>
      <c r="D427" s="23" t="str">
        <f aca="false">IF(A427="","",Daily_Data!D426)</f>
        <v/>
      </c>
      <c r="E427" s="24" t="str">
        <f aca="false">IF(A427="","",Daily_Data!E426)</f>
        <v/>
      </c>
      <c r="F427" s="23" t="str">
        <f aca="false">IF(A427="","",Daily_Data!F426)</f>
        <v/>
      </c>
      <c r="G427" s="23" t="str">
        <f aca="false">IF(A427="","",Daily_Data!G426)</f>
        <v/>
      </c>
      <c r="H427" s="25" t="str">
        <f aca="false">IF(A427="","",IFERROR(INDEX(SCD_Data!$C$3:$C$502,SUMPRODUCT((SCD_Data!$A$3:$A$502=B427)*(IFERROR(DATEVALUE(SCD_Data!$H$3:$H$502&amp;""),SCD_Data!$H$3:$H$502)&lt;=IFERROR(DATEVALUE(A427&amp;""),A427))*(IFERROR(DATEVALUE(SCD_Data!$I$3:$I$502&amp;""),SCD_Data!$I$3:$I$502)&gt;=IFERROR(DATEVALUE(A427&amp;""),A427))*(ROW(SCD_Data!$A$3:$A$502)-2))),"—"))</f>
        <v/>
      </c>
      <c r="I427" s="25" t="str">
        <f aca="false">IF(A427="","",IFERROR(INDEX(SCD_Data!$D$3:$D$502,SUMPRODUCT((SCD_Data!$A$3:$A$502=B427)*(IFERROR(DATEVALUE(SCD_Data!$H$3:$H$502&amp;""),SCD_Data!$H$3:$H$502)&lt;=IFERROR(DATEVALUE(A427&amp;""),A427))*(IFERROR(DATEVALUE(SCD_Data!$I$3:$I$502&amp;""),SCD_Data!$I$3:$I$502)&gt;=IFERROR(DATEVALUE(A427&amp;""),A427))*(ROW(SCD_Data!$A$3:$A$502)-2))),"—"))</f>
        <v/>
      </c>
      <c r="J427" s="26" t="str">
        <f aca="false">IF(A427="","",IFERROR(INDEX(SCD_Data!$E$3:$E$502,SUMPRODUCT((SCD_Data!$A$3:$A$502=B427)*(IFERROR(DATEVALUE(SCD_Data!$H$3:$H$502&amp;""),SCD_Data!$H$3:$H$502)&lt;=IFERROR(DATEVALUE(A427&amp;""),A427))*(IFERROR(DATEVALUE(SCD_Data!$I$3:$I$502&amp;""),SCD_Data!$I$3:$I$502)&gt;=IFERROR(DATEVALUE(A427&amp;""),A427))*(ROW(SCD_Data!$A$3:$A$502)-2))),"—"))</f>
        <v/>
      </c>
      <c r="K427" s="25" t="str">
        <f aca="false">IF(A427="","",IFERROR(INDEX(SCD_Data!$F$3:$F$502,SUMPRODUCT((SCD_Data!$A$3:$A$502=B427)*(IFERROR(DATEVALUE(SCD_Data!$H$3:$H$502&amp;""),SCD_Data!$H$3:$H$502)&lt;=IFERROR(DATEVALUE(A427&amp;""),A427))*(IFERROR(DATEVALUE(SCD_Data!$I$3:$I$502&amp;""),SCD_Data!$I$3:$I$502)&gt;=IFERROR(DATEVALUE(A427&amp;""),A427))*(ROW(SCD_Data!$A$3:$A$502)-2))),"—"))</f>
        <v/>
      </c>
      <c r="L427" s="25" t="str">
        <f aca="false">IF(A427="","",IFERROR(INDEX(SCD_Data!$G$3:$G$502,SUMPRODUCT((SCD_Data!$A$3:$A$502=B427)*(IFERROR(DATEVALUE(SCD_Data!$H$3:$H$502&amp;""),SCD_Data!$H$3:$H$502)&lt;=IFERROR(DATEVALUE(A427&amp;""),A427))*(IFERROR(DATEVALUE(SCD_Data!$I$3:$I$502&amp;""),SCD_Data!$I$3:$I$502)&gt;=IFERROR(DATEVALUE(A427&amp;""),A427))*(ROW(SCD_Data!$A$3:$A$502)-2))),"—"))</f>
        <v/>
      </c>
      <c r="M427" s="27" t="str">
        <f aca="false">IF(A427="","",IF(H427="—","—",IF(C427&amp;""=H427&amp;"","✓","✗")))</f>
        <v/>
      </c>
      <c r="N427" s="27" t="str">
        <f aca="false">IF(A427="","",IF(H427="—","—",IF(D427&amp;""=I427&amp;"","✓","✗")))</f>
        <v/>
      </c>
      <c r="O427" s="27" t="str">
        <f aca="false">IF(A427="","",IF(H427="—","—",IF(ABS(E427-J427)&lt;0.01,"✓","✗")))</f>
        <v/>
      </c>
      <c r="P427" s="27" t="str">
        <f aca="false">IF(A427="","",IF(H427="—","—",IF(F427&amp;""=K427&amp;"","✓","✗")))</f>
        <v/>
      </c>
      <c r="Q427" s="27" t="str">
        <f aca="false">IF(A427="","",IF(H427="—","—",IF(G427&amp;""=L427&amp;"","✓","✗")))</f>
        <v/>
      </c>
      <c r="R427" s="27" t="str">
        <f aca="false">IF(A427="","",IF(COUNTIF(M427:Q427,"—")=5,"⚠ NO SCD ROW",IF(COUNTIF(M427:Q427,"✗")&gt;0,"❌ MISMATCH","✅ MATCH")))</f>
        <v/>
      </c>
    </row>
    <row r="428" customFormat="false" ht="15" hidden="false" customHeight="true" outlineLevel="0" collapsed="false">
      <c r="A428" s="22" t="str">
        <f aca="false">IF(Daily_Data!A427="","",Daily_Data!A427)</f>
        <v/>
      </c>
      <c r="B428" s="23" t="str">
        <f aca="false">IF(Daily_Data!B427="","",Daily_Data!B427)</f>
        <v/>
      </c>
      <c r="C428" s="23" t="str">
        <f aca="false">IF(A428="","",Daily_Data!C427)</f>
        <v/>
      </c>
      <c r="D428" s="23" t="str">
        <f aca="false">IF(A428="","",Daily_Data!D427)</f>
        <v/>
      </c>
      <c r="E428" s="24" t="str">
        <f aca="false">IF(A428="","",Daily_Data!E427)</f>
        <v/>
      </c>
      <c r="F428" s="23" t="str">
        <f aca="false">IF(A428="","",Daily_Data!F427)</f>
        <v/>
      </c>
      <c r="G428" s="23" t="str">
        <f aca="false">IF(A428="","",Daily_Data!G427)</f>
        <v/>
      </c>
      <c r="H428" s="25" t="str">
        <f aca="false">IF(A428="","",IFERROR(INDEX(SCD_Data!$C$3:$C$502,SUMPRODUCT((SCD_Data!$A$3:$A$502=B428)*(IFERROR(DATEVALUE(SCD_Data!$H$3:$H$502&amp;""),SCD_Data!$H$3:$H$502)&lt;=IFERROR(DATEVALUE(A428&amp;""),A428))*(IFERROR(DATEVALUE(SCD_Data!$I$3:$I$502&amp;""),SCD_Data!$I$3:$I$502)&gt;=IFERROR(DATEVALUE(A428&amp;""),A428))*(ROW(SCD_Data!$A$3:$A$502)-2))),"—"))</f>
        <v/>
      </c>
      <c r="I428" s="25" t="str">
        <f aca="false">IF(A428="","",IFERROR(INDEX(SCD_Data!$D$3:$D$502,SUMPRODUCT((SCD_Data!$A$3:$A$502=B428)*(IFERROR(DATEVALUE(SCD_Data!$H$3:$H$502&amp;""),SCD_Data!$H$3:$H$502)&lt;=IFERROR(DATEVALUE(A428&amp;""),A428))*(IFERROR(DATEVALUE(SCD_Data!$I$3:$I$502&amp;""),SCD_Data!$I$3:$I$502)&gt;=IFERROR(DATEVALUE(A428&amp;""),A428))*(ROW(SCD_Data!$A$3:$A$502)-2))),"—"))</f>
        <v/>
      </c>
      <c r="J428" s="26" t="str">
        <f aca="false">IF(A428="","",IFERROR(INDEX(SCD_Data!$E$3:$E$502,SUMPRODUCT((SCD_Data!$A$3:$A$502=B428)*(IFERROR(DATEVALUE(SCD_Data!$H$3:$H$502&amp;""),SCD_Data!$H$3:$H$502)&lt;=IFERROR(DATEVALUE(A428&amp;""),A428))*(IFERROR(DATEVALUE(SCD_Data!$I$3:$I$502&amp;""),SCD_Data!$I$3:$I$502)&gt;=IFERROR(DATEVALUE(A428&amp;""),A428))*(ROW(SCD_Data!$A$3:$A$502)-2))),"—"))</f>
        <v/>
      </c>
      <c r="K428" s="25" t="str">
        <f aca="false">IF(A428="","",IFERROR(INDEX(SCD_Data!$F$3:$F$502,SUMPRODUCT((SCD_Data!$A$3:$A$502=B428)*(IFERROR(DATEVALUE(SCD_Data!$H$3:$H$502&amp;""),SCD_Data!$H$3:$H$502)&lt;=IFERROR(DATEVALUE(A428&amp;""),A428))*(IFERROR(DATEVALUE(SCD_Data!$I$3:$I$502&amp;""),SCD_Data!$I$3:$I$502)&gt;=IFERROR(DATEVALUE(A428&amp;""),A428))*(ROW(SCD_Data!$A$3:$A$502)-2))),"—"))</f>
        <v/>
      </c>
      <c r="L428" s="25" t="str">
        <f aca="false">IF(A428="","",IFERROR(INDEX(SCD_Data!$G$3:$G$502,SUMPRODUCT((SCD_Data!$A$3:$A$502=B428)*(IFERROR(DATEVALUE(SCD_Data!$H$3:$H$502&amp;""),SCD_Data!$H$3:$H$502)&lt;=IFERROR(DATEVALUE(A428&amp;""),A428))*(IFERROR(DATEVALUE(SCD_Data!$I$3:$I$502&amp;""),SCD_Data!$I$3:$I$502)&gt;=IFERROR(DATEVALUE(A428&amp;""),A428))*(ROW(SCD_Data!$A$3:$A$502)-2))),"—"))</f>
        <v/>
      </c>
      <c r="M428" s="27" t="str">
        <f aca="false">IF(A428="","",IF(H428="—","—",IF(C428&amp;""=H428&amp;"","✓","✗")))</f>
        <v/>
      </c>
      <c r="N428" s="27" t="str">
        <f aca="false">IF(A428="","",IF(H428="—","—",IF(D428&amp;""=I428&amp;"","✓","✗")))</f>
        <v/>
      </c>
      <c r="O428" s="27" t="str">
        <f aca="false">IF(A428="","",IF(H428="—","—",IF(ABS(E428-J428)&lt;0.01,"✓","✗")))</f>
        <v/>
      </c>
      <c r="P428" s="27" t="str">
        <f aca="false">IF(A428="","",IF(H428="—","—",IF(F428&amp;""=K428&amp;"","✓","✗")))</f>
        <v/>
      </c>
      <c r="Q428" s="27" t="str">
        <f aca="false">IF(A428="","",IF(H428="—","—",IF(G428&amp;""=L428&amp;"","✓","✗")))</f>
        <v/>
      </c>
      <c r="R428" s="27" t="str">
        <f aca="false">IF(A428="","",IF(COUNTIF(M428:Q428,"—")=5,"⚠ NO SCD ROW",IF(COUNTIF(M428:Q428,"✗")&gt;0,"❌ MISMATCH","✅ MATCH")))</f>
        <v/>
      </c>
    </row>
    <row r="429" customFormat="false" ht="15" hidden="false" customHeight="true" outlineLevel="0" collapsed="false">
      <c r="A429" s="22" t="str">
        <f aca="false">IF(Daily_Data!A428="","",Daily_Data!A428)</f>
        <v/>
      </c>
      <c r="B429" s="23" t="str">
        <f aca="false">IF(Daily_Data!B428="","",Daily_Data!B428)</f>
        <v/>
      </c>
      <c r="C429" s="23" t="str">
        <f aca="false">IF(A429="","",Daily_Data!C428)</f>
        <v/>
      </c>
      <c r="D429" s="23" t="str">
        <f aca="false">IF(A429="","",Daily_Data!D428)</f>
        <v/>
      </c>
      <c r="E429" s="24" t="str">
        <f aca="false">IF(A429="","",Daily_Data!E428)</f>
        <v/>
      </c>
      <c r="F429" s="23" t="str">
        <f aca="false">IF(A429="","",Daily_Data!F428)</f>
        <v/>
      </c>
      <c r="G429" s="23" t="str">
        <f aca="false">IF(A429="","",Daily_Data!G428)</f>
        <v/>
      </c>
      <c r="H429" s="25" t="str">
        <f aca="false">IF(A429="","",IFERROR(INDEX(SCD_Data!$C$3:$C$502,SUMPRODUCT((SCD_Data!$A$3:$A$502=B429)*(IFERROR(DATEVALUE(SCD_Data!$H$3:$H$502&amp;""),SCD_Data!$H$3:$H$502)&lt;=IFERROR(DATEVALUE(A429&amp;""),A429))*(IFERROR(DATEVALUE(SCD_Data!$I$3:$I$502&amp;""),SCD_Data!$I$3:$I$502)&gt;=IFERROR(DATEVALUE(A429&amp;""),A429))*(ROW(SCD_Data!$A$3:$A$502)-2))),"—"))</f>
        <v/>
      </c>
      <c r="I429" s="25" t="str">
        <f aca="false">IF(A429="","",IFERROR(INDEX(SCD_Data!$D$3:$D$502,SUMPRODUCT((SCD_Data!$A$3:$A$502=B429)*(IFERROR(DATEVALUE(SCD_Data!$H$3:$H$502&amp;""),SCD_Data!$H$3:$H$502)&lt;=IFERROR(DATEVALUE(A429&amp;""),A429))*(IFERROR(DATEVALUE(SCD_Data!$I$3:$I$502&amp;""),SCD_Data!$I$3:$I$502)&gt;=IFERROR(DATEVALUE(A429&amp;""),A429))*(ROW(SCD_Data!$A$3:$A$502)-2))),"—"))</f>
        <v/>
      </c>
      <c r="J429" s="26" t="str">
        <f aca="false">IF(A429="","",IFERROR(INDEX(SCD_Data!$E$3:$E$502,SUMPRODUCT((SCD_Data!$A$3:$A$502=B429)*(IFERROR(DATEVALUE(SCD_Data!$H$3:$H$502&amp;""),SCD_Data!$H$3:$H$502)&lt;=IFERROR(DATEVALUE(A429&amp;""),A429))*(IFERROR(DATEVALUE(SCD_Data!$I$3:$I$502&amp;""),SCD_Data!$I$3:$I$502)&gt;=IFERROR(DATEVALUE(A429&amp;""),A429))*(ROW(SCD_Data!$A$3:$A$502)-2))),"—"))</f>
        <v/>
      </c>
      <c r="K429" s="25" t="str">
        <f aca="false">IF(A429="","",IFERROR(INDEX(SCD_Data!$F$3:$F$502,SUMPRODUCT((SCD_Data!$A$3:$A$502=B429)*(IFERROR(DATEVALUE(SCD_Data!$H$3:$H$502&amp;""),SCD_Data!$H$3:$H$502)&lt;=IFERROR(DATEVALUE(A429&amp;""),A429))*(IFERROR(DATEVALUE(SCD_Data!$I$3:$I$502&amp;""),SCD_Data!$I$3:$I$502)&gt;=IFERROR(DATEVALUE(A429&amp;""),A429))*(ROW(SCD_Data!$A$3:$A$502)-2))),"—"))</f>
        <v/>
      </c>
      <c r="L429" s="25" t="str">
        <f aca="false">IF(A429="","",IFERROR(INDEX(SCD_Data!$G$3:$G$502,SUMPRODUCT((SCD_Data!$A$3:$A$502=B429)*(IFERROR(DATEVALUE(SCD_Data!$H$3:$H$502&amp;""),SCD_Data!$H$3:$H$502)&lt;=IFERROR(DATEVALUE(A429&amp;""),A429))*(IFERROR(DATEVALUE(SCD_Data!$I$3:$I$502&amp;""),SCD_Data!$I$3:$I$502)&gt;=IFERROR(DATEVALUE(A429&amp;""),A429))*(ROW(SCD_Data!$A$3:$A$502)-2))),"—"))</f>
        <v/>
      </c>
      <c r="M429" s="27" t="str">
        <f aca="false">IF(A429="","",IF(H429="—","—",IF(C429&amp;""=H429&amp;"","✓","✗")))</f>
        <v/>
      </c>
      <c r="N429" s="27" t="str">
        <f aca="false">IF(A429="","",IF(H429="—","—",IF(D429&amp;""=I429&amp;"","✓","✗")))</f>
        <v/>
      </c>
      <c r="O429" s="27" t="str">
        <f aca="false">IF(A429="","",IF(H429="—","—",IF(ABS(E429-J429)&lt;0.01,"✓","✗")))</f>
        <v/>
      </c>
      <c r="P429" s="27" t="str">
        <f aca="false">IF(A429="","",IF(H429="—","—",IF(F429&amp;""=K429&amp;"","✓","✗")))</f>
        <v/>
      </c>
      <c r="Q429" s="27" t="str">
        <f aca="false">IF(A429="","",IF(H429="—","—",IF(G429&amp;""=L429&amp;"","✓","✗")))</f>
        <v/>
      </c>
      <c r="R429" s="27" t="str">
        <f aca="false">IF(A429="","",IF(COUNTIF(M429:Q429,"—")=5,"⚠ NO SCD ROW",IF(COUNTIF(M429:Q429,"✗")&gt;0,"❌ MISMATCH","✅ MATCH")))</f>
        <v/>
      </c>
    </row>
    <row r="430" customFormat="false" ht="15" hidden="false" customHeight="true" outlineLevel="0" collapsed="false">
      <c r="A430" s="22" t="str">
        <f aca="false">IF(Daily_Data!A429="","",Daily_Data!A429)</f>
        <v/>
      </c>
      <c r="B430" s="23" t="str">
        <f aca="false">IF(Daily_Data!B429="","",Daily_Data!B429)</f>
        <v/>
      </c>
      <c r="C430" s="23" t="str">
        <f aca="false">IF(A430="","",Daily_Data!C429)</f>
        <v/>
      </c>
      <c r="D430" s="23" t="str">
        <f aca="false">IF(A430="","",Daily_Data!D429)</f>
        <v/>
      </c>
      <c r="E430" s="24" t="str">
        <f aca="false">IF(A430="","",Daily_Data!E429)</f>
        <v/>
      </c>
      <c r="F430" s="23" t="str">
        <f aca="false">IF(A430="","",Daily_Data!F429)</f>
        <v/>
      </c>
      <c r="G430" s="23" t="str">
        <f aca="false">IF(A430="","",Daily_Data!G429)</f>
        <v/>
      </c>
      <c r="H430" s="25" t="str">
        <f aca="false">IF(A430="","",IFERROR(INDEX(SCD_Data!$C$3:$C$502,SUMPRODUCT((SCD_Data!$A$3:$A$502=B430)*(IFERROR(DATEVALUE(SCD_Data!$H$3:$H$502&amp;""),SCD_Data!$H$3:$H$502)&lt;=IFERROR(DATEVALUE(A430&amp;""),A430))*(IFERROR(DATEVALUE(SCD_Data!$I$3:$I$502&amp;""),SCD_Data!$I$3:$I$502)&gt;=IFERROR(DATEVALUE(A430&amp;""),A430))*(ROW(SCD_Data!$A$3:$A$502)-2))),"—"))</f>
        <v/>
      </c>
      <c r="I430" s="25" t="str">
        <f aca="false">IF(A430="","",IFERROR(INDEX(SCD_Data!$D$3:$D$502,SUMPRODUCT((SCD_Data!$A$3:$A$502=B430)*(IFERROR(DATEVALUE(SCD_Data!$H$3:$H$502&amp;""),SCD_Data!$H$3:$H$502)&lt;=IFERROR(DATEVALUE(A430&amp;""),A430))*(IFERROR(DATEVALUE(SCD_Data!$I$3:$I$502&amp;""),SCD_Data!$I$3:$I$502)&gt;=IFERROR(DATEVALUE(A430&amp;""),A430))*(ROW(SCD_Data!$A$3:$A$502)-2))),"—"))</f>
        <v/>
      </c>
      <c r="J430" s="26" t="str">
        <f aca="false">IF(A430="","",IFERROR(INDEX(SCD_Data!$E$3:$E$502,SUMPRODUCT((SCD_Data!$A$3:$A$502=B430)*(IFERROR(DATEVALUE(SCD_Data!$H$3:$H$502&amp;""),SCD_Data!$H$3:$H$502)&lt;=IFERROR(DATEVALUE(A430&amp;""),A430))*(IFERROR(DATEVALUE(SCD_Data!$I$3:$I$502&amp;""),SCD_Data!$I$3:$I$502)&gt;=IFERROR(DATEVALUE(A430&amp;""),A430))*(ROW(SCD_Data!$A$3:$A$502)-2))),"—"))</f>
        <v/>
      </c>
      <c r="K430" s="25" t="str">
        <f aca="false">IF(A430="","",IFERROR(INDEX(SCD_Data!$F$3:$F$502,SUMPRODUCT((SCD_Data!$A$3:$A$502=B430)*(IFERROR(DATEVALUE(SCD_Data!$H$3:$H$502&amp;""),SCD_Data!$H$3:$H$502)&lt;=IFERROR(DATEVALUE(A430&amp;""),A430))*(IFERROR(DATEVALUE(SCD_Data!$I$3:$I$502&amp;""),SCD_Data!$I$3:$I$502)&gt;=IFERROR(DATEVALUE(A430&amp;""),A430))*(ROW(SCD_Data!$A$3:$A$502)-2))),"—"))</f>
        <v/>
      </c>
      <c r="L430" s="25" t="str">
        <f aca="false">IF(A430="","",IFERROR(INDEX(SCD_Data!$G$3:$G$502,SUMPRODUCT((SCD_Data!$A$3:$A$502=B430)*(IFERROR(DATEVALUE(SCD_Data!$H$3:$H$502&amp;""),SCD_Data!$H$3:$H$502)&lt;=IFERROR(DATEVALUE(A430&amp;""),A430))*(IFERROR(DATEVALUE(SCD_Data!$I$3:$I$502&amp;""),SCD_Data!$I$3:$I$502)&gt;=IFERROR(DATEVALUE(A430&amp;""),A430))*(ROW(SCD_Data!$A$3:$A$502)-2))),"—"))</f>
        <v/>
      </c>
      <c r="M430" s="27" t="str">
        <f aca="false">IF(A430="","",IF(H430="—","—",IF(C430&amp;""=H430&amp;"","✓","✗")))</f>
        <v/>
      </c>
      <c r="N430" s="27" t="str">
        <f aca="false">IF(A430="","",IF(H430="—","—",IF(D430&amp;""=I430&amp;"","✓","✗")))</f>
        <v/>
      </c>
      <c r="O430" s="27" t="str">
        <f aca="false">IF(A430="","",IF(H430="—","—",IF(ABS(E430-J430)&lt;0.01,"✓","✗")))</f>
        <v/>
      </c>
      <c r="P430" s="27" t="str">
        <f aca="false">IF(A430="","",IF(H430="—","—",IF(F430&amp;""=K430&amp;"","✓","✗")))</f>
        <v/>
      </c>
      <c r="Q430" s="27" t="str">
        <f aca="false">IF(A430="","",IF(H430="—","—",IF(G430&amp;""=L430&amp;"","✓","✗")))</f>
        <v/>
      </c>
      <c r="R430" s="27" t="str">
        <f aca="false">IF(A430="","",IF(COUNTIF(M430:Q430,"—")=5,"⚠ NO SCD ROW",IF(COUNTIF(M430:Q430,"✗")&gt;0,"❌ MISMATCH","✅ MATCH")))</f>
        <v/>
      </c>
    </row>
    <row r="431" customFormat="false" ht="15" hidden="false" customHeight="true" outlineLevel="0" collapsed="false">
      <c r="A431" s="22" t="str">
        <f aca="false">IF(Daily_Data!A430="","",Daily_Data!A430)</f>
        <v/>
      </c>
      <c r="B431" s="23" t="str">
        <f aca="false">IF(Daily_Data!B430="","",Daily_Data!B430)</f>
        <v/>
      </c>
      <c r="C431" s="23" t="str">
        <f aca="false">IF(A431="","",Daily_Data!C430)</f>
        <v/>
      </c>
      <c r="D431" s="23" t="str">
        <f aca="false">IF(A431="","",Daily_Data!D430)</f>
        <v/>
      </c>
      <c r="E431" s="24" t="str">
        <f aca="false">IF(A431="","",Daily_Data!E430)</f>
        <v/>
      </c>
      <c r="F431" s="23" t="str">
        <f aca="false">IF(A431="","",Daily_Data!F430)</f>
        <v/>
      </c>
      <c r="G431" s="23" t="str">
        <f aca="false">IF(A431="","",Daily_Data!G430)</f>
        <v/>
      </c>
      <c r="H431" s="25" t="str">
        <f aca="false">IF(A431="","",IFERROR(INDEX(SCD_Data!$C$3:$C$502,SUMPRODUCT((SCD_Data!$A$3:$A$502=B431)*(IFERROR(DATEVALUE(SCD_Data!$H$3:$H$502&amp;""),SCD_Data!$H$3:$H$502)&lt;=IFERROR(DATEVALUE(A431&amp;""),A431))*(IFERROR(DATEVALUE(SCD_Data!$I$3:$I$502&amp;""),SCD_Data!$I$3:$I$502)&gt;=IFERROR(DATEVALUE(A431&amp;""),A431))*(ROW(SCD_Data!$A$3:$A$502)-2))),"—"))</f>
        <v/>
      </c>
      <c r="I431" s="25" t="str">
        <f aca="false">IF(A431="","",IFERROR(INDEX(SCD_Data!$D$3:$D$502,SUMPRODUCT((SCD_Data!$A$3:$A$502=B431)*(IFERROR(DATEVALUE(SCD_Data!$H$3:$H$502&amp;""),SCD_Data!$H$3:$H$502)&lt;=IFERROR(DATEVALUE(A431&amp;""),A431))*(IFERROR(DATEVALUE(SCD_Data!$I$3:$I$502&amp;""),SCD_Data!$I$3:$I$502)&gt;=IFERROR(DATEVALUE(A431&amp;""),A431))*(ROW(SCD_Data!$A$3:$A$502)-2))),"—"))</f>
        <v/>
      </c>
      <c r="J431" s="26" t="str">
        <f aca="false">IF(A431="","",IFERROR(INDEX(SCD_Data!$E$3:$E$502,SUMPRODUCT((SCD_Data!$A$3:$A$502=B431)*(IFERROR(DATEVALUE(SCD_Data!$H$3:$H$502&amp;""),SCD_Data!$H$3:$H$502)&lt;=IFERROR(DATEVALUE(A431&amp;""),A431))*(IFERROR(DATEVALUE(SCD_Data!$I$3:$I$502&amp;""),SCD_Data!$I$3:$I$502)&gt;=IFERROR(DATEVALUE(A431&amp;""),A431))*(ROW(SCD_Data!$A$3:$A$502)-2))),"—"))</f>
        <v/>
      </c>
      <c r="K431" s="25" t="str">
        <f aca="false">IF(A431="","",IFERROR(INDEX(SCD_Data!$F$3:$F$502,SUMPRODUCT((SCD_Data!$A$3:$A$502=B431)*(IFERROR(DATEVALUE(SCD_Data!$H$3:$H$502&amp;""),SCD_Data!$H$3:$H$502)&lt;=IFERROR(DATEVALUE(A431&amp;""),A431))*(IFERROR(DATEVALUE(SCD_Data!$I$3:$I$502&amp;""),SCD_Data!$I$3:$I$502)&gt;=IFERROR(DATEVALUE(A431&amp;""),A431))*(ROW(SCD_Data!$A$3:$A$502)-2))),"—"))</f>
        <v/>
      </c>
      <c r="L431" s="25" t="str">
        <f aca="false">IF(A431="","",IFERROR(INDEX(SCD_Data!$G$3:$G$502,SUMPRODUCT((SCD_Data!$A$3:$A$502=B431)*(IFERROR(DATEVALUE(SCD_Data!$H$3:$H$502&amp;""),SCD_Data!$H$3:$H$502)&lt;=IFERROR(DATEVALUE(A431&amp;""),A431))*(IFERROR(DATEVALUE(SCD_Data!$I$3:$I$502&amp;""),SCD_Data!$I$3:$I$502)&gt;=IFERROR(DATEVALUE(A431&amp;""),A431))*(ROW(SCD_Data!$A$3:$A$502)-2))),"—"))</f>
        <v/>
      </c>
      <c r="M431" s="27" t="str">
        <f aca="false">IF(A431="","",IF(H431="—","—",IF(C431&amp;""=H431&amp;"","✓","✗")))</f>
        <v/>
      </c>
      <c r="N431" s="27" t="str">
        <f aca="false">IF(A431="","",IF(H431="—","—",IF(D431&amp;""=I431&amp;"","✓","✗")))</f>
        <v/>
      </c>
      <c r="O431" s="27" t="str">
        <f aca="false">IF(A431="","",IF(H431="—","—",IF(ABS(E431-J431)&lt;0.01,"✓","✗")))</f>
        <v/>
      </c>
      <c r="P431" s="27" t="str">
        <f aca="false">IF(A431="","",IF(H431="—","—",IF(F431&amp;""=K431&amp;"","✓","✗")))</f>
        <v/>
      </c>
      <c r="Q431" s="27" t="str">
        <f aca="false">IF(A431="","",IF(H431="—","—",IF(G431&amp;""=L431&amp;"","✓","✗")))</f>
        <v/>
      </c>
      <c r="R431" s="27" t="str">
        <f aca="false">IF(A431="","",IF(COUNTIF(M431:Q431,"—")=5,"⚠ NO SCD ROW",IF(COUNTIF(M431:Q431,"✗")&gt;0,"❌ MISMATCH","✅ MATCH")))</f>
        <v/>
      </c>
    </row>
    <row r="432" customFormat="false" ht="15" hidden="false" customHeight="true" outlineLevel="0" collapsed="false">
      <c r="A432" s="22" t="str">
        <f aca="false">IF(Daily_Data!A431="","",Daily_Data!A431)</f>
        <v/>
      </c>
      <c r="B432" s="23" t="str">
        <f aca="false">IF(Daily_Data!B431="","",Daily_Data!B431)</f>
        <v/>
      </c>
      <c r="C432" s="23" t="str">
        <f aca="false">IF(A432="","",Daily_Data!C431)</f>
        <v/>
      </c>
      <c r="D432" s="23" t="str">
        <f aca="false">IF(A432="","",Daily_Data!D431)</f>
        <v/>
      </c>
      <c r="E432" s="24" t="str">
        <f aca="false">IF(A432="","",Daily_Data!E431)</f>
        <v/>
      </c>
      <c r="F432" s="23" t="str">
        <f aca="false">IF(A432="","",Daily_Data!F431)</f>
        <v/>
      </c>
      <c r="G432" s="23" t="str">
        <f aca="false">IF(A432="","",Daily_Data!G431)</f>
        <v/>
      </c>
      <c r="H432" s="25" t="str">
        <f aca="false">IF(A432="","",IFERROR(INDEX(SCD_Data!$C$3:$C$502,SUMPRODUCT((SCD_Data!$A$3:$A$502=B432)*(IFERROR(DATEVALUE(SCD_Data!$H$3:$H$502&amp;""),SCD_Data!$H$3:$H$502)&lt;=IFERROR(DATEVALUE(A432&amp;""),A432))*(IFERROR(DATEVALUE(SCD_Data!$I$3:$I$502&amp;""),SCD_Data!$I$3:$I$502)&gt;=IFERROR(DATEVALUE(A432&amp;""),A432))*(ROW(SCD_Data!$A$3:$A$502)-2))),"—"))</f>
        <v/>
      </c>
      <c r="I432" s="25" t="str">
        <f aca="false">IF(A432="","",IFERROR(INDEX(SCD_Data!$D$3:$D$502,SUMPRODUCT((SCD_Data!$A$3:$A$502=B432)*(IFERROR(DATEVALUE(SCD_Data!$H$3:$H$502&amp;""),SCD_Data!$H$3:$H$502)&lt;=IFERROR(DATEVALUE(A432&amp;""),A432))*(IFERROR(DATEVALUE(SCD_Data!$I$3:$I$502&amp;""),SCD_Data!$I$3:$I$502)&gt;=IFERROR(DATEVALUE(A432&amp;""),A432))*(ROW(SCD_Data!$A$3:$A$502)-2))),"—"))</f>
        <v/>
      </c>
      <c r="J432" s="26" t="str">
        <f aca="false">IF(A432="","",IFERROR(INDEX(SCD_Data!$E$3:$E$502,SUMPRODUCT((SCD_Data!$A$3:$A$502=B432)*(IFERROR(DATEVALUE(SCD_Data!$H$3:$H$502&amp;""),SCD_Data!$H$3:$H$502)&lt;=IFERROR(DATEVALUE(A432&amp;""),A432))*(IFERROR(DATEVALUE(SCD_Data!$I$3:$I$502&amp;""),SCD_Data!$I$3:$I$502)&gt;=IFERROR(DATEVALUE(A432&amp;""),A432))*(ROW(SCD_Data!$A$3:$A$502)-2))),"—"))</f>
        <v/>
      </c>
      <c r="K432" s="25" t="str">
        <f aca="false">IF(A432="","",IFERROR(INDEX(SCD_Data!$F$3:$F$502,SUMPRODUCT((SCD_Data!$A$3:$A$502=B432)*(IFERROR(DATEVALUE(SCD_Data!$H$3:$H$502&amp;""),SCD_Data!$H$3:$H$502)&lt;=IFERROR(DATEVALUE(A432&amp;""),A432))*(IFERROR(DATEVALUE(SCD_Data!$I$3:$I$502&amp;""),SCD_Data!$I$3:$I$502)&gt;=IFERROR(DATEVALUE(A432&amp;""),A432))*(ROW(SCD_Data!$A$3:$A$502)-2))),"—"))</f>
        <v/>
      </c>
      <c r="L432" s="25" t="str">
        <f aca="false">IF(A432="","",IFERROR(INDEX(SCD_Data!$G$3:$G$502,SUMPRODUCT((SCD_Data!$A$3:$A$502=B432)*(IFERROR(DATEVALUE(SCD_Data!$H$3:$H$502&amp;""),SCD_Data!$H$3:$H$502)&lt;=IFERROR(DATEVALUE(A432&amp;""),A432))*(IFERROR(DATEVALUE(SCD_Data!$I$3:$I$502&amp;""),SCD_Data!$I$3:$I$502)&gt;=IFERROR(DATEVALUE(A432&amp;""),A432))*(ROW(SCD_Data!$A$3:$A$502)-2))),"—"))</f>
        <v/>
      </c>
      <c r="M432" s="27" t="str">
        <f aca="false">IF(A432="","",IF(H432="—","—",IF(C432&amp;""=H432&amp;"","✓","✗")))</f>
        <v/>
      </c>
      <c r="N432" s="27" t="str">
        <f aca="false">IF(A432="","",IF(H432="—","—",IF(D432&amp;""=I432&amp;"","✓","✗")))</f>
        <v/>
      </c>
      <c r="O432" s="27" t="str">
        <f aca="false">IF(A432="","",IF(H432="—","—",IF(ABS(E432-J432)&lt;0.01,"✓","✗")))</f>
        <v/>
      </c>
      <c r="P432" s="27" t="str">
        <f aca="false">IF(A432="","",IF(H432="—","—",IF(F432&amp;""=K432&amp;"","✓","✗")))</f>
        <v/>
      </c>
      <c r="Q432" s="27" t="str">
        <f aca="false">IF(A432="","",IF(H432="—","—",IF(G432&amp;""=L432&amp;"","✓","✗")))</f>
        <v/>
      </c>
      <c r="R432" s="27" t="str">
        <f aca="false">IF(A432="","",IF(COUNTIF(M432:Q432,"—")=5,"⚠ NO SCD ROW",IF(COUNTIF(M432:Q432,"✗")&gt;0,"❌ MISMATCH","✅ MATCH")))</f>
        <v/>
      </c>
    </row>
    <row r="433" customFormat="false" ht="15" hidden="false" customHeight="true" outlineLevel="0" collapsed="false">
      <c r="A433" s="22" t="str">
        <f aca="false">IF(Daily_Data!A432="","",Daily_Data!A432)</f>
        <v/>
      </c>
      <c r="B433" s="23" t="str">
        <f aca="false">IF(Daily_Data!B432="","",Daily_Data!B432)</f>
        <v/>
      </c>
      <c r="C433" s="23" t="str">
        <f aca="false">IF(A433="","",Daily_Data!C432)</f>
        <v/>
      </c>
      <c r="D433" s="23" t="str">
        <f aca="false">IF(A433="","",Daily_Data!D432)</f>
        <v/>
      </c>
      <c r="E433" s="24" t="str">
        <f aca="false">IF(A433="","",Daily_Data!E432)</f>
        <v/>
      </c>
      <c r="F433" s="23" t="str">
        <f aca="false">IF(A433="","",Daily_Data!F432)</f>
        <v/>
      </c>
      <c r="G433" s="23" t="str">
        <f aca="false">IF(A433="","",Daily_Data!G432)</f>
        <v/>
      </c>
      <c r="H433" s="25" t="str">
        <f aca="false">IF(A433="","",IFERROR(INDEX(SCD_Data!$C$3:$C$502,SUMPRODUCT((SCD_Data!$A$3:$A$502=B433)*(IFERROR(DATEVALUE(SCD_Data!$H$3:$H$502&amp;""),SCD_Data!$H$3:$H$502)&lt;=IFERROR(DATEVALUE(A433&amp;""),A433))*(IFERROR(DATEVALUE(SCD_Data!$I$3:$I$502&amp;""),SCD_Data!$I$3:$I$502)&gt;=IFERROR(DATEVALUE(A433&amp;""),A433))*(ROW(SCD_Data!$A$3:$A$502)-2))),"—"))</f>
        <v/>
      </c>
      <c r="I433" s="25" t="str">
        <f aca="false">IF(A433="","",IFERROR(INDEX(SCD_Data!$D$3:$D$502,SUMPRODUCT((SCD_Data!$A$3:$A$502=B433)*(IFERROR(DATEVALUE(SCD_Data!$H$3:$H$502&amp;""),SCD_Data!$H$3:$H$502)&lt;=IFERROR(DATEVALUE(A433&amp;""),A433))*(IFERROR(DATEVALUE(SCD_Data!$I$3:$I$502&amp;""),SCD_Data!$I$3:$I$502)&gt;=IFERROR(DATEVALUE(A433&amp;""),A433))*(ROW(SCD_Data!$A$3:$A$502)-2))),"—"))</f>
        <v/>
      </c>
      <c r="J433" s="26" t="str">
        <f aca="false">IF(A433="","",IFERROR(INDEX(SCD_Data!$E$3:$E$502,SUMPRODUCT((SCD_Data!$A$3:$A$502=B433)*(IFERROR(DATEVALUE(SCD_Data!$H$3:$H$502&amp;""),SCD_Data!$H$3:$H$502)&lt;=IFERROR(DATEVALUE(A433&amp;""),A433))*(IFERROR(DATEVALUE(SCD_Data!$I$3:$I$502&amp;""),SCD_Data!$I$3:$I$502)&gt;=IFERROR(DATEVALUE(A433&amp;""),A433))*(ROW(SCD_Data!$A$3:$A$502)-2))),"—"))</f>
        <v/>
      </c>
      <c r="K433" s="25" t="str">
        <f aca="false">IF(A433="","",IFERROR(INDEX(SCD_Data!$F$3:$F$502,SUMPRODUCT((SCD_Data!$A$3:$A$502=B433)*(IFERROR(DATEVALUE(SCD_Data!$H$3:$H$502&amp;""),SCD_Data!$H$3:$H$502)&lt;=IFERROR(DATEVALUE(A433&amp;""),A433))*(IFERROR(DATEVALUE(SCD_Data!$I$3:$I$502&amp;""),SCD_Data!$I$3:$I$502)&gt;=IFERROR(DATEVALUE(A433&amp;""),A433))*(ROW(SCD_Data!$A$3:$A$502)-2))),"—"))</f>
        <v/>
      </c>
      <c r="L433" s="25" t="str">
        <f aca="false">IF(A433="","",IFERROR(INDEX(SCD_Data!$G$3:$G$502,SUMPRODUCT((SCD_Data!$A$3:$A$502=B433)*(IFERROR(DATEVALUE(SCD_Data!$H$3:$H$502&amp;""),SCD_Data!$H$3:$H$502)&lt;=IFERROR(DATEVALUE(A433&amp;""),A433))*(IFERROR(DATEVALUE(SCD_Data!$I$3:$I$502&amp;""),SCD_Data!$I$3:$I$502)&gt;=IFERROR(DATEVALUE(A433&amp;""),A433))*(ROW(SCD_Data!$A$3:$A$502)-2))),"—"))</f>
        <v/>
      </c>
      <c r="M433" s="27" t="str">
        <f aca="false">IF(A433="","",IF(H433="—","—",IF(C433&amp;""=H433&amp;"","✓","✗")))</f>
        <v/>
      </c>
      <c r="N433" s="27" t="str">
        <f aca="false">IF(A433="","",IF(H433="—","—",IF(D433&amp;""=I433&amp;"","✓","✗")))</f>
        <v/>
      </c>
      <c r="O433" s="27" t="str">
        <f aca="false">IF(A433="","",IF(H433="—","—",IF(ABS(E433-J433)&lt;0.01,"✓","✗")))</f>
        <v/>
      </c>
      <c r="P433" s="27" t="str">
        <f aca="false">IF(A433="","",IF(H433="—","—",IF(F433&amp;""=K433&amp;"","✓","✗")))</f>
        <v/>
      </c>
      <c r="Q433" s="27" t="str">
        <f aca="false">IF(A433="","",IF(H433="—","—",IF(G433&amp;""=L433&amp;"","✓","✗")))</f>
        <v/>
      </c>
      <c r="R433" s="27" t="str">
        <f aca="false">IF(A433="","",IF(COUNTIF(M433:Q433,"—")=5,"⚠ NO SCD ROW",IF(COUNTIF(M433:Q433,"✗")&gt;0,"❌ MISMATCH","✅ MATCH")))</f>
        <v/>
      </c>
    </row>
    <row r="434" customFormat="false" ht="15" hidden="false" customHeight="true" outlineLevel="0" collapsed="false">
      <c r="A434" s="22" t="str">
        <f aca="false">IF(Daily_Data!A433="","",Daily_Data!A433)</f>
        <v/>
      </c>
      <c r="B434" s="23" t="str">
        <f aca="false">IF(Daily_Data!B433="","",Daily_Data!B433)</f>
        <v/>
      </c>
      <c r="C434" s="23" t="str">
        <f aca="false">IF(A434="","",Daily_Data!C433)</f>
        <v/>
      </c>
      <c r="D434" s="23" t="str">
        <f aca="false">IF(A434="","",Daily_Data!D433)</f>
        <v/>
      </c>
      <c r="E434" s="24" t="str">
        <f aca="false">IF(A434="","",Daily_Data!E433)</f>
        <v/>
      </c>
      <c r="F434" s="23" t="str">
        <f aca="false">IF(A434="","",Daily_Data!F433)</f>
        <v/>
      </c>
      <c r="G434" s="23" t="str">
        <f aca="false">IF(A434="","",Daily_Data!G433)</f>
        <v/>
      </c>
      <c r="H434" s="25" t="str">
        <f aca="false">IF(A434="","",IFERROR(INDEX(SCD_Data!$C$3:$C$502,SUMPRODUCT((SCD_Data!$A$3:$A$502=B434)*(IFERROR(DATEVALUE(SCD_Data!$H$3:$H$502&amp;""),SCD_Data!$H$3:$H$502)&lt;=IFERROR(DATEVALUE(A434&amp;""),A434))*(IFERROR(DATEVALUE(SCD_Data!$I$3:$I$502&amp;""),SCD_Data!$I$3:$I$502)&gt;=IFERROR(DATEVALUE(A434&amp;""),A434))*(ROW(SCD_Data!$A$3:$A$502)-2))),"—"))</f>
        <v/>
      </c>
      <c r="I434" s="25" t="str">
        <f aca="false">IF(A434="","",IFERROR(INDEX(SCD_Data!$D$3:$D$502,SUMPRODUCT((SCD_Data!$A$3:$A$502=B434)*(IFERROR(DATEVALUE(SCD_Data!$H$3:$H$502&amp;""),SCD_Data!$H$3:$H$502)&lt;=IFERROR(DATEVALUE(A434&amp;""),A434))*(IFERROR(DATEVALUE(SCD_Data!$I$3:$I$502&amp;""),SCD_Data!$I$3:$I$502)&gt;=IFERROR(DATEVALUE(A434&amp;""),A434))*(ROW(SCD_Data!$A$3:$A$502)-2))),"—"))</f>
        <v/>
      </c>
      <c r="J434" s="26" t="str">
        <f aca="false">IF(A434="","",IFERROR(INDEX(SCD_Data!$E$3:$E$502,SUMPRODUCT((SCD_Data!$A$3:$A$502=B434)*(IFERROR(DATEVALUE(SCD_Data!$H$3:$H$502&amp;""),SCD_Data!$H$3:$H$502)&lt;=IFERROR(DATEVALUE(A434&amp;""),A434))*(IFERROR(DATEVALUE(SCD_Data!$I$3:$I$502&amp;""),SCD_Data!$I$3:$I$502)&gt;=IFERROR(DATEVALUE(A434&amp;""),A434))*(ROW(SCD_Data!$A$3:$A$502)-2))),"—"))</f>
        <v/>
      </c>
      <c r="K434" s="25" t="str">
        <f aca="false">IF(A434="","",IFERROR(INDEX(SCD_Data!$F$3:$F$502,SUMPRODUCT((SCD_Data!$A$3:$A$502=B434)*(IFERROR(DATEVALUE(SCD_Data!$H$3:$H$502&amp;""),SCD_Data!$H$3:$H$502)&lt;=IFERROR(DATEVALUE(A434&amp;""),A434))*(IFERROR(DATEVALUE(SCD_Data!$I$3:$I$502&amp;""),SCD_Data!$I$3:$I$502)&gt;=IFERROR(DATEVALUE(A434&amp;""),A434))*(ROW(SCD_Data!$A$3:$A$502)-2))),"—"))</f>
        <v/>
      </c>
      <c r="L434" s="25" t="str">
        <f aca="false">IF(A434="","",IFERROR(INDEX(SCD_Data!$G$3:$G$502,SUMPRODUCT((SCD_Data!$A$3:$A$502=B434)*(IFERROR(DATEVALUE(SCD_Data!$H$3:$H$502&amp;""),SCD_Data!$H$3:$H$502)&lt;=IFERROR(DATEVALUE(A434&amp;""),A434))*(IFERROR(DATEVALUE(SCD_Data!$I$3:$I$502&amp;""),SCD_Data!$I$3:$I$502)&gt;=IFERROR(DATEVALUE(A434&amp;""),A434))*(ROW(SCD_Data!$A$3:$A$502)-2))),"—"))</f>
        <v/>
      </c>
      <c r="M434" s="27" t="str">
        <f aca="false">IF(A434="","",IF(H434="—","—",IF(C434&amp;""=H434&amp;"","✓","✗")))</f>
        <v/>
      </c>
      <c r="N434" s="27" t="str">
        <f aca="false">IF(A434="","",IF(H434="—","—",IF(D434&amp;""=I434&amp;"","✓","✗")))</f>
        <v/>
      </c>
      <c r="O434" s="27" t="str">
        <f aca="false">IF(A434="","",IF(H434="—","—",IF(ABS(E434-J434)&lt;0.01,"✓","✗")))</f>
        <v/>
      </c>
      <c r="P434" s="27" t="str">
        <f aca="false">IF(A434="","",IF(H434="—","—",IF(F434&amp;""=K434&amp;"","✓","✗")))</f>
        <v/>
      </c>
      <c r="Q434" s="27" t="str">
        <f aca="false">IF(A434="","",IF(H434="—","—",IF(G434&amp;""=L434&amp;"","✓","✗")))</f>
        <v/>
      </c>
      <c r="R434" s="27" t="str">
        <f aca="false">IF(A434="","",IF(COUNTIF(M434:Q434,"—")=5,"⚠ NO SCD ROW",IF(COUNTIF(M434:Q434,"✗")&gt;0,"❌ MISMATCH","✅ MATCH")))</f>
        <v/>
      </c>
    </row>
    <row r="435" customFormat="false" ht="15" hidden="false" customHeight="true" outlineLevel="0" collapsed="false">
      <c r="A435" s="22" t="str">
        <f aca="false">IF(Daily_Data!A434="","",Daily_Data!A434)</f>
        <v/>
      </c>
      <c r="B435" s="23" t="str">
        <f aca="false">IF(Daily_Data!B434="","",Daily_Data!B434)</f>
        <v/>
      </c>
      <c r="C435" s="23" t="str">
        <f aca="false">IF(A435="","",Daily_Data!C434)</f>
        <v/>
      </c>
      <c r="D435" s="23" t="str">
        <f aca="false">IF(A435="","",Daily_Data!D434)</f>
        <v/>
      </c>
      <c r="E435" s="24" t="str">
        <f aca="false">IF(A435="","",Daily_Data!E434)</f>
        <v/>
      </c>
      <c r="F435" s="23" t="str">
        <f aca="false">IF(A435="","",Daily_Data!F434)</f>
        <v/>
      </c>
      <c r="G435" s="23" t="str">
        <f aca="false">IF(A435="","",Daily_Data!G434)</f>
        <v/>
      </c>
      <c r="H435" s="25" t="str">
        <f aca="false">IF(A435="","",IFERROR(INDEX(SCD_Data!$C$3:$C$502,SUMPRODUCT((SCD_Data!$A$3:$A$502=B435)*(IFERROR(DATEVALUE(SCD_Data!$H$3:$H$502&amp;""),SCD_Data!$H$3:$H$502)&lt;=IFERROR(DATEVALUE(A435&amp;""),A435))*(IFERROR(DATEVALUE(SCD_Data!$I$3:$I$502&amp;""),SCD_Data!$I$3:$I$502)&gt;=IFERROR(DATEVALUE(A435&amp;""),A435))*(ROW(SCD_Data!$A$3:$A$502)-2))),"—"))</f>
        <v/>
      </c>
      <c r="I435" s="25" t="str">
        <f aca="false">IF(A435="","",IFERROR(INDEX(SCD_Data!$D$3:$D$502,SUMPRODUCT((SCD_Data!$A$3:$A$502=B435)*(IFERROR(DATEVALUE(SCD_Data!$H$3:$H$502&amp;""),SCD_Data!$H$3:$H$502)&lt;=IFERROR(DATEVALUE(A435&amp;""),A435))*(IFERROR(DATEVALUE(SCD_Data!$I$3:$I$502&amp;""),SCD_Data!$I$3:$I$502)&gt;=IFERROR(DATEVALUE(A435&amp;""),A435))*(ROW(SCD_Data!$A$3:$A$502)-2))),"—"))</f>
        <v/>
      </c>
      <c r="J435" s="26" t="str">
        <f aca="false">IF(A435="","",IFERROR(INDEX(SCD_Data!$E$3:$E$502,SUMPRODUCT((SCD_Data!$A$3:$A$502=B435)*(IFERROR(DATEVALUE(SCD_Data!$H$3:$H$502&amp;""),SCD_Data!$H$3:$H$502)&lt;=IFERROR(DATEVALUE(A435&amp;""),A435))*(IFERROR(DATEVALUE(SCD_Data!$I$3:$I$502&amp;""),SCD_Data!$I$3:$I$502)&gt;=IFERROR(DATEVALUE(A435&amp;""),A435))*(ROW(SCD_Data!$A$3:$A$502)-2))),"—"))</f>
        <v/>
      </c>
      <c r="K435" s="25" t="str">
        <f aca="false">IF(A435="","",IFERROR(INDEX(SCD_Data!$F$3:$F$502,SUMPRODUCT((SCD_Data!$A$3:$A$502=B435)*(IFERROR(DATEVALUE(SCD_Data!$H$3:$H$502&amp;""),SCD_Data!$H$3:$H$502)&lt;=IFERROR(DATEVALUE(A435&amp;""),A435))*(IFERROR(DATEVALUE(SCD_Data!$I$3:$I$502&amp;""),SCD_Data!$I$3:$I$502)&gt;=IFERROR(DATEVALUE(A435&amp;""),A435))*(ROW(SCD_Data!$A$3:$A$502)-2))),"—"))</f>
        <v/>
      </c>
      <c r="L435" s="25" t="str">
        <f aca="false">IF(A435="","",IFERROR(INDEX(SCD_Data!$G$3:$G$502,SUMPRODUCT((SCD_Data!$A$3:$A$502=B435)*(IFERROR(DATEVALUE(SCD_Data!$H$3:$H$502&amp;""),SCD_Data!$H$3:$H$502)&lt;=IFERROR(DATEVALUE(A435&amp;""),A435))*(IFERROR(DATEVALUE(SCD_Data!$I$3:$I$502&amp;""),SCD_Data!$I$3:$I$502)&gt;=IFERROR(DATEVALUE(A435&amp;""),A435))*(ROW(SCD_Data!$A$3:$A$502)-2))),"—"))</f>
        <v/>
      </c>
      <c r="M435" s="27" t="str">
        <f aca="false">IF(A435="","",IF(H435="—","—",IF(C435&amp;""=H435&amp;"","✓","✗")))</f>
        <v/>
      </c>
      <c r="N435" s="27" t="str">
        <f aca="false">IF(A435="","",IF(H435="—","—",IF(D435&amp;""=I435&amp;"","✓","✗")))</f>
        <v/>
      </c>
      <c r="O435" s="27" t="str">
        <f aca="false">IF(A435="","",IF(H435="—","—",IF(ABS(E435-J435)&lt;0.01,"✓","✗")))</f>
        <v/>
      </c>
      <c r="P435" s="27" t="str">
        <f aca="false">IF(A435="","",IF(H435="—","—",IF(F435&amp;""=K435&amp;"","✓","✗")))</f>
        <v/>
      </c>
      <c r="Q435" s="27" t="str">
        <f aca="false">IF(A435="","",IF(H435="—","—",IF(G435&amp;""=L435&amp;"","✓","✗")))</f>
        <v/>
      </c>
      <c r="R435" s="27" t="str">
        <f aca="false">IF(A435="","",IF(COUNTIF(M435:Q435,"—")=5,"⚠ NO SCD ROW",IF(COUNTIF(M435:Q435,"✗")&gt;0,"❌ MISMATCH","✅ MATCH")))</f>
        <v/>
      </c>
    </row>
    <row r="436" customFormat="false" ht="15" hidden="false" customHeight="true" outlineLevel="0" collapsed="false">
      <c r="A436" s="22" t="str">
        <f aca="false">IF(Daily_Data!A435="","",Daily_Data!A435)</f>
        <v/>
      </c>
      <c r="B436" s="23" t="str">
        <f aca="false">IF(Daily_Data!B435="","",Daily_Data!B435)</f>
        <v/>
      </c>
      <c r="C436" s="23" t="str">
        <f aca="false">IF(A436="","",Daily_Data!C435)</f>
        <v/>
      </c>
      <c r="D436" s="23" t="str">
        <f aca="false">IF(A436="","",Daily_Data!D435)</f>
        <v/>
      </c>
      <c r="E436" s="24" t="str">
        <f aca="false">IF(A436="","",Daily_Data!E435)</f>
        <v/>
      </c>
      <c r="F436" s="23" t="str">
        <f aca="false">IF(A436="","",Daily_Data!F435)</f>
        <v/>
      </c>
      <c r="G436" s="23" t="str">
        <f aca="false">IF(A436="","",Daily_Data!G435)</f>
        <v/>
      </c>
      <c r="H436" s="25" t="str">
        <f aca="false">IF(A436="","",IFERROR(INDEX(SCD_Data!$C$3:$C$502,SUMPRODUCT((SCD_Data!$A$3:$A$502=B436)*(IFERROR(DATEVALUE(SCD_Data!$H$3:$H$502&amp;""),SCD_Data!$H$3:$H$502)&lt;=IFERROR(DATEVALUE(A436&amp;""),A436))*(IFERROR(DATEVALUE(SCD_Data!$I$3:$I$502&amp;""),SCD_Data!$I$3:$I$502)&gt;=IFERROR(DATEVALUE(A436&amp;""),A436))*(ROW(SCD_Data!$A$3:$A$502)-2))),"—"))</f>
        <v/>
      </c>
      <c r="I436" s="25" t="str">
        <f aca="false">IF(A436="","",IFERROR(INDEX(SCD_Data!$D$3:$D$502,SUMPRODUCT((SCD_Data!$A$3:$A$502=B436)*(IFERROR(DATEVALUE(SCD_Data!$H$3:$H$502&amp;""),SCD_Data!$H$3:$H$502)&lt;=IFERROR(DATEVALUE(A436&amp;""),A436))*(IFERROR(DATEVALUE(SCD_Data!$I$3:$I$502&amp;""),SCD_Data!$I$3:$I$502)&gt;=IFERROR(DATEVALUE(A436&amp;""),A436))*(ROW(SCD_Data!$A$3:$A$502)-2))),"—"))</f>
        <v/>
      </c>
      <c r="J436" s="26" t="str">
        <f aca="false">IF(A436="","",IFERROR(INDEX(SCD_Data!$E$3:$E$502,SUMPRODUCT((SCD_Data!$A$3:$A$502=B436)*(IFERROR(DATEVALUE(SCD_Data!$H$3:$H$502&amp;""),SCD_Data!$H$3:$H$502)&lt;=IFERROR(DATEVALUE(A436&amp;""),A436))*(IFERROR(DATEVALUE(SCD_Data!$I$3:$I$502&amp;""),SCD_Data!$I$3:$I$502)&gt;=IFERROR(DATEVALUE(A436&amp;""),A436))*(ROW(SCD_Data!$A$3:$A$502)-2))),"—"))</f>
        <v/>
      </c>
      <c r="K436" s="25" t="str">
        <f aca="false">IF(A436="","",IFERROR(INDEX(SCD_Data!$F$3:$F$502,SUMPRODUCT((SCD_Data!$A$3:$A$502=B436)*(IFERROR(DATEVALUE(SCD_Data!$H$3:$H$502&amp;""),SCD_Data!$H$3:$H$502)&lt;=IFERROR(DATEVALUE(A436&amp;""),A436))*(IFERROR(DATEVALUE(SCD_Data!$I$3:$I$502&amp;""),SCD_Data!$I$3:$I$502)&gt;=IFERROR(DATEVALUE(A436&amp;""),A436))*(ROW(SCD_Data!$A$3:$A$502)-2))),"—"))</f>
        <v/>
      </c>
      <c r="L436" s="25" t="str">
        <f aca="false">IF(A436="","",IFERROR(INDEX(SCD_Data!$G$3:$G$502,SUMPRODUCT((SCD_Data!$A$3:$A$502=B436)*(IFERROR(DATEVALUE(SCD_Data!$H$3:$H$502&amp;""),SCD_Data!$H$3:$H$502)&lt;=IFERROR(DATEVALUE(A436&amp;""),A436))*(IFERROR(DATEVALUE(SCD_Data!$I$3:$I$502&amp;""),SCD_Data!$I$3:$I$502)&gt;=IFERROR(DATEVALUE(A436&amp;""),A436))*(ROW(SCD_Data!$A$3:$A$502)-2))),"—"))</f>
        <v/>
      </c>
      <c r="M436" s="27" t="str">
        <f aca="false">IF(A436="","",IF(H436="—","—",IF(C436&amp;""=H436&amp;"","✓","✗")))</f>
        <v/>
      </c>
      <c r="N436" s="27" t="str">
        <f aca="false">IF(A436="","",IF(H436="—","—",IF(D436&amp;""=I436&amp;"","✓","✗")))</f>
        <v/>
      </c>
      <c r="O436" s="27" t="str">
        <f aca="false">IF(A436="","",IF(H436="—","—",IF(ABS(E436-J436)&lt;0.01,"✓","✗")))</f>
        <v/>
      </c>
      <c r="P436" s="27" t="str">
        <f aca="false">IF(A436="","",IF(H436="—","—",IF(F436&amp;""=K436&amp;"","✓","✗")))</f>
        <v/>
      </c>
      <c r="Q436" s="27" t="str">
        <f aca="false">IF(A436="","",IF(H436="—","—",IF(G436&amp;""=L436&amp;"","✓","✗")))</f>
        <v/>
      </c>
      <c r="R436" s="27" t="str">
        <f aca="false">IF(A436="","",IF(COUNTIF(M436:Q436,"—")=5,"⚠ NO SCD ROW",IF(COUNTIF(M436:Q436,"✗")&gt;0,"❌ MISMATCH","✅ MATCH")))</f>
        <v/>
      </c>
    </row>
    <row r="437" customFormat="false" ht="15" hidden="false" customHeight="true" outlineLevel="0" collapsed="false">
      <c r="A437" s="22" t="str">
        <f aca="false">IF(Daily_Data!A436="","",Daily_Data!A436)</f>
        <v/>
      </c>
      <c r="B437" s="23" t="str">
        <f aca="false">IF(Daily_Data!B436="","",Daily_Data!B436)</f>
        <v/>
      </c>
      <c r="C437" s="23" t="str">
        <f aca="false">IF(A437="","",Daily_Data!C436)</f>
        <v/>
      </c>
      <c r="D437" s="23" t="str">
        <f aca="false">IF(A437="","",Daily_Data!D436)</f>
        <v/>
      </c>
      <c r="E437" s="24" t="str">
        <f aca="false">IF(A437="","",Daily_Data!E436)</f>
        <v/>
      </c>
      <c r="F437" s="23" t="str">
        <f aca="false">IF(A437="","",Daily_Data!F436)</f>
        <v/>
      </c>
      <c r="G437" s="23" t="str">
        <f aca="false">IF(A437="","",Daily_Data!G436)</f>
        <v/>
      </c>
      <c r="H437" s="25" t="str">
        <f aca="false">IF(A437="","",IFERROR(INDEX(SCD_Data!$C$3:$C$502,SUMPRODUCT((SCD_Data!$A$3:$A$502=B437)*(IFERROR(DATEVALUE(SCD_Data!$H$3:$H$502&amp;""),SCD_Data!$H$3:$H$502)&lt;=IFERROR(DATEVALUE(A437&amp;""),A437))*(IFERROR(DATEVALUE(SCD_Data!$I$3:$I$502&amp;""),SCD_Data!$I$3:$I$502)&gt;=IFERROR(DATEVALUE(A437&amp;""),A437))*(ROW(SCD_Data!$A$3:$A$502)-2))),"—"))</f>
        <v/>
      </c>
      <c r="I437" s="25" t="str">
        <f aca="false">IF(A437="","",IFERROR(INDEX(SCD_Data!$D$3:$D$502,SUMPRODUCT((SCD_Data!$A$3:$A$502=B437)*(IFERROR(DATEVALUE(SCD_Data!$H$3:$H$502&amp;""),SCD_Data!$H$3:$H$502)&lt;=IFERROR(DATEVALUE(A437&amp;""),A437))*(IFERROR(DATEVALUE(SCD_Data!$I$3:$I$502&amp;""),SCD_Data!$I$3:$I$502)&gt;=IFERROR(DATEVALUE(A437&amp;""),A437))*(ROW(SCD_Data!$A$3:$A$502)-2))),"—"))</f>
        <v/>
      </c>
      <c r="J437" s="26" t="str">
        <f aca="false">IF(A437="","",IFERROR(INDEX(SCD_Data!$E$3:$E$502,SUMPRODUCT((SCD_Data!$A$3:$A$502=B437)*(IFERROR(DATEVALUE(SCD_Data!$H$3:$H$502&amp;""),SCD_Data!$H$3:$H$502)&lt;=IFERROR(DATEVALUE(A437&amp;""),A437))*(IFERROR(DATEVALUE(SCD_Data!$I$3:$I$502&amp;""),SCD_Data!$I$3:$I$502)&gt;=IFERROR(DATEVALUE(A437&amp;""),A437))*(ROW(SCD_Data!$A$3:$A$502)-2))),"—"))</f>
        <v/>
      </c>
      <c r="K437" s="25" t="str">
        <f aca="false">IF(A437="","",IFERROR(INDEX(SCD_Data!$F$3:$F$502,SUMPRODUCT((SCD_Data!$A$3:$A$502=B437)*(IFERROR(DATEVALUE(SCD_Data!$H$3:$H$502&amp;""),SCD_Data!$H$3:$H$502)&lt;=IFERROR(DATEVALUE(A437&amp;""),A437))*(IFERROR(DATEVALUE(SCD_Data!$I$3:$I$502&amp;""),SCD_Data!$I$3:$I$502)&gt;=IFERROR(DATEVALUE(A437&amp;""),A437))*(ROW(SCD_Data!$A$3:$A$502)-2))),"—"))</f>
        <v/>
      </c>
      <c r="L437" s="25" t="str">
        <f aca="false">IF(A437="","",IFERROR(INDEX(SCD_Data!$G$3:$G$502,SUMPRODUCT((SCD_Data!$A$3:$A$502=B437)*(IFERROR(DATEVALUE(SCD_Data!$H$3:$H$502&amp;""),SCD_Data!$H$3:$H$502)&lt;=IFERROR(DATEVALUE(A437&amp;""),A437))*(IFERROR(DATEVALUE(SCD_Data!$I$3:$I$502&amp;""),SCD_Data!$I$3:$I$502)&gt;=IFERROR(DATEVALUE(A437&amp;""),A437))*(ROW(SCD_Data!$A$3:$A$502)-2))),"—"))</f>
        <v/>
      </c>
      <c r="M437" s="27" t="str">
        <f aca="false">IF(A437="","",IF(H437="—","—",IF(C437&amp;""=H437&amp;"","✓","✗")))</f>
        <v/>
      </c>
      <c r="N437" s="27" t="str">
        <f aca="false">IF(A437="","",IF(H437="—","—",IF(D437&amp;""=I437&amp;"","✓","✗")))</f>
        <v/>
      </c>
      <c r="O437" s="27" t="str">
        <f aca="false">IF(A437="","",IF(H437="—","—",IF(ABS(E437-J437)&lt;0.01,"✓","✗")))</f>
        <v/>
      </c>
      <c r="P437" s="27" t="str">
        <f aca="false">IF(A437="","",IF(H437="—","—",IF(F437&amp;""=K437&amp;"","✓","✗")))</f>
        <v/>
      </c>
      <c r="Q437" s="27" t="str">
        <f aca="false">IF(A437="","",IF(H437="—","—",IF(G437&amp;""=L437&amp;"","✓","✗")))</f>
        <v/>
      </c>
      <c r="R437" s="27" t="str">
        <f aca="false">IF(A437="","",IF(COUNTIF(M437:Q437,"—")=5,"⚠ NO SCD ROW",IF(COUNTIF(M437:Q437,"✗")&gt;0,"❌ MISMATCH","✅ MATCH")))</f>
        <v/>
      </c>
    </row>
    <row r="438" customFormat="false" ht="15" hidden="false" customHeight="true" outlineLevel="0" collapsed="false">
      <c r="A438" s="22" t="str">
        <f aca="false">IF(Daily_Data!A437="","",Daily_Data!A437)</f>
        <v/>
      </c>
      <c r="B438" s="23" t="str">
        <f aca="false">IF(Daily_Data!B437="","",Daily_Data!B437)</f>
        <v/>
      </c>
      <c r="C438" s="23" t="str">
        <f aca="false">IF(A438="","",Daily_Data!C437)</f>
        <v/>
      </c>
      <c r="D438" s="23" t="str">
        <f aca="false">IF(A438="","",Daily_Data!D437)</f>
        <v/>
      </c>
      <c r="E438" s="24" t="str">
        <f aca="false">IF(A438="","",Daily_Data!E437)</f>
        <v/>
      </c>
      <c r="F438" s="23" t="str">
        <f aca="false">IF(A438="","",Daily_Data!F437)</f>
        <v/>
      </c>
      <c r="G438" s="23" t="str">
        <f aca="false">IF(A438="","",Daily_Data!G437)</f>
        <v/>
      </c>
      <c r="H438" s="25" t="str">
        <f aca="false">IF(A438="","",IFERROR(INDEX(SCD_Data!$C$3:$C$502,SUMPRODUCT((SCD_Data!$A$3:$A$502=B438)*(IFERROR(DATEVALUE(SCD_Data!$H$3:$H$502&amp;""),SCD_Data!$H$3:$H$502)&lt;=IFERROR(DATEVALUE(A438&amp;""),A438))*(IFERROR(DATEVALUE(SCD_Data!$I$3:$I$502&amp;""),SCD_Data!$I$3:$I$502)&gt;=IFERROR(DATEVALUE(A438&amp;""),A438))*(ROW(SCD_Data!$A$3:$A$502)-2))),"—"))</f>
        <v/>
      </c>
      <c r="I438" s="25" t="str">
        <f aca="false">IF(A438="","",IFERROR(INDEX(SCD_Data!$D$3:$D$502,SUMPRODUCT((SCD_Data!$A$3:$A$502=B438)*(IFERROR(DATEVALUE(SCD_Data!$H$3:$H$502&amp;""),SCD_Data!$H$3:$H$502)&lt;=IFERROR(DATEVALUE(A438&amp;""),A438))*(IFERROR(DATEVALUE(SCD_Data!$I$3:$I$502&amp;""),SCD_Data!$I$3:$I$502)&gt;=IFERROR(DATEVALUE(A438&amp;""),A438))*(ROW(SCD_Data!$A$3:$A$502)-2))),"—"))</f>
        <v/>
      </c>
      <c r="J438" s="26" t="str">
        <f aca="false">IF(A438="","",IFERROR(INDEX(SCD_Data!$E$3:$E$502,SUMPRODUCT((SCD_Data!$A$3:$A$502=B438)*(IFERROR(DATEVALUE(SCD_Data!$H$3:$H$502&amp;""),SCD_Data!$H$3:$H$502)&lt;=IFERROR(DATEVALUE(A438&amp;""),A438))*(IFERROR(DATEVALUE(SCD_Data!$I$3:$I$502&amp;""),SCD_Data!$I$3:$I$502)&gt;=IFERROR(DATEVALUE(A438&amp;""),A438))*(ROW(SCD_Data!$A$3:$A$502)-2))),"—"))</f>
        <v/>
      </c>
      <c r="K438" s="25" t="str">
        <f aca="false">IF(A438="","",IFERROR(INDEX(SCD_Data!$F$3:$F$502,SUMPRODUCT((SCD_Data!$A$3:$A$502=B438)*(IFERROR(DATEVALUE(SCD_Data!$H$3:$H$502&amp;""),SCD_Data!$H$3:$H$502)&lt;=IFERROR(DATEVALUE(A438&amp;""),A438))*(IFERROR(DATEVALUE(SCD_Data!$I$3:$I$502&amp;""),SCD_Data!$I$3:$I$502)&gt;=IFERROR(DATEVALUE(A438&amp;""),A438))*(ROW(SCD_Data!$A$3:$A$502)-2))),"—"))</f>
        <v/>
      </c>
      <c r="L438" s="25" t="str">
        <f aca="false">IF(A438="","",IFERROR(INDEX(SCD_Data!$G$3:$G$502,SUMPRODUCT((SCD_Data!$A$3:$A$502=B438)*(IFERROR(DATEVALUE(SCD_Data!$H$3:$H$502&amp;""),SCD_Data!$H$3:$H$502)&lt;=IFERROR(DATEVALUE(A438&amp;""),A438))*(IFERROR(DATEVALUE(SCD_Data!$I$3:$I$502&amp;""),SCD_Data!$I$3:$I$502)&gt;=IFERROR(DATEVALUE(A438&amp;""),A438))*(ROW(SCD_Data!$A$3:$A$502)-2))),"—"))</f>
        <v/>
      </c>
      <c r="M438" s="27" t="str">
        <f aca="false">IF(A438="","",IF(H438="—","—",IF(C438&amp;""=H438&amp;"","✓","✗")))</f>
        <v/>
      </c>
      <c r="N438" s="27" t="str">
        <f aca="false">IF(A438="","",IF(H438="—","—",IF(D438&amp;""=I438&amp;"","✓","✗")))</f>
        <v/>
      </c>
      <c r="O438" s="27" t="str">
        <f aca="false">IF(A438="","",IF(H438="—","—",IF(ABS(E438-J438)&lt;0.01,"✓","✗")))</f>
        <v/>
      </c>
      <c r="P438" s="27" t="str">
        <f aca="false">IF(A438="","",IF(H438="—","—",IF(F438&amp;""=K438&amp;"","✓","✗")))</f>
        <v/>
      </c>
      <c r="Q438" s="27" t="str">
        <f aca="false">IF(A438="","",IF(H438="—","—",IF(G438&amp;""=L438&amp;"","✓","✗")))</f>
        <v/>
      </c>
      <c r="R438" s="27" t="str">
        <f aca="false">IF(A438="","",IF(COUNTIF(M438:Q438,"—")=5,"⚠ NO SCD ROW",IF(COUNTIF(M438:Q438,"✗")&gt;0,"❌ MISMATCH","✅ MATCH")))</f>
        <v/>
      </c>
    </row>
    <row r="439" customFormat="false" ht="15" hidden="false" customHeight="true" outlineLevel="0" collapsed="false">
      <c r="A439" s="22" t="str">
        <f aca="false">IF(Daily_Data!A438="","",Daily_Data!A438)</f>
        <v/>
      </c>
      <c r="B439" s="23" t="str">
        <f aca="false">IF(Daily_Data!B438="","",Daily_Data!B438)</f>
        <v/>
      </c>
      <c r="C439" s="23" t="str">
        <f aca="false">IF(A439="","",Daily_Data!C438)</f>
        <v/>
      </c>
      <c r="D439" s="23" t="str">
        <f aca="false">IF(A439="","",Daily_Data!D438)</f>
        <v/>
      </c>
      <c r="E439" s="24" t="str">
        <f aca="false">IF(A439="","",Daily_Data!E438)</f>
        <v/>
      </c>
      <c r="F439" s="23" t="str">
        <f aca="false">IF(A439="","",Daily_Data!F438)</f>
        <v/>
      </c>
      <c r="G439" s="23" t="str">
        <f aca="false">IF(A439="","",Daily_Data!G438)</f>
        <v/>
      </c>
      <c r="H439" s="25" t="str">
        <f aca="false">IF(A439="","",IFERROR(INDEX(SCD_Data!$C$3:$C$502,SUMPRODUCT((SCD_Data!$A$3:$A$502=B439)*(IFERROR(DATEVALUE(SCD_Data!$H$3:$H$502&amp;""),SCD_Data!$H$3:$H$502)&lt;=IFERROR(DATEVALUE(A439&amp;""),A439))*(IFERROR(DATEVALUE(SCD_Data!$I$3:$I$502&amp;""),SCD_Data!$I$3:$I$502)&gt;=IFERROR(DATEVALUE(A439&amp;""),A439))*(ROW(SCD_Data!$A$3:$A$502)-2))),"—"))</f>
        <v/>
      </c>
      <c r="I439" s="25" t="str">
        <f aca="false">IF(A439="","",IFERROR(INDEX(SCD_Data!$D$3:$D$502,SUMPRODUCT((SCD_Data!$A$3:$A$502=B439)*(IFERROR(DATEVALUE(SCD_Data!$H$3:$H$502&amp;""),SCD_Data!$H$3:$H$502)&lt;=IFERROR(DATEVALUE(A439&amp;""),A439))*(IFERROR(DATEVALUE(SCD_Data!$I$3:$I$502&amp;""),SCD_Data!$I$3:$I$502)&gt;=IFERROR(DATEVALUE(A439&amp;""),A439))*(ROW(SCD_Data!$A$3:$A$502)-2))),"—"))</f>
        <v/>
      </c>
      <c r="J439" s="26" t="str">
        <f aca="false">IF(A439="","",IFERROR(INDEX(SCD_Data!$E$3:$E$502,SUMPRODUCT((SCD_Data!$A$3:$A$502=B439)*(IFERROR(DATEVALUE(SCD_Data!$H$3:$H$502&amp;""),SCD_Data!$H$3:$H$502)&lt;=IFERROR(DATEVALUE(A439&amp;""),A439))*(IFERROR(DATEVALUE(SCD_Data!$I$3:$I$502&amp;""),SCD_Data!$I$3:$I$502)&gt;=IFERROR(DATEVALUE(A439&amp;""),A439))*(ROW(SCD_Data!$A$3:$A$502)-2))),"—"))</f>
        <v/>
      </c>
      <c r="K439" s="25" t="str">
        <f aca="false">IF(A439="","",IFERROR(INDEX(SCD_Data!$F$3:$F$502,SUMPRODUCT((SCD_Data!$A$3:$A$502=B439)*(IFERROR(DATEVALUE(SCD_Data!$H$3:$H$502&amp;""),SCD_Data!$H$3:$H$502)&lt;=IFERROR(DATEVALUE(A439&amp;""),A439))*(IFERROR(DATEVALUE(SCD_Data!$I$3:$I$502&amp;""),SCD_Data!$I$3:$I$502)&gt;=IFERROR(DATEVALUE(A439&amp;""),A439))*(ROW(SCD_Data!$A$3:$A$502)-2))),"—"))</f>
        <v/>
      </c>
      <c r="L439" s="25" t="str">
        <f aca="false">IF(A439="","",IFERROR(INDEX(SCD_Data!$G$3:$G$502,SUMPRODUCT((SCD_Data!$A$3:$A$502=B439)*(IFERROR(DATEVALUE(SCD_Data!$H$3:$H$502&amp;""),SCD_Data!$H$3:$H$502)&lt;=IFERROR(DATEVALUE(A439&amp;""),A439))*(IFERROR(DATEVALUE(SCD_Data!$I$3:$I$502&amp;""),SCD_Data!$I$3:$I$502)&gt;=IFERROR(DATEVALUE(A439&amp;""),A439))*(ROW(SCD_Data!$A$3:$A$502)-2))),"—"))</f>
        <v/>
      </c>
      <c r="M439" s="27" t="str">
        <f aca="false">IF(A439="","",IF(H439="—","—",IF(C439&amp;""=H439&amp;"","✓","✗")))</f>
        <v/>
      </c>
      <c r="N439" s="27" t="str">
        <f aca="false">IF(A439="","",IF(H439="—","—",IF(D439&amp;""=I439&amp;"","✓","✗")))</f>
        <v/>
      </c>
      <c r="O439" s="27" t="str">
        <f aca="false">IF(A439="","",IF(H439="—","—",IF(ABS(E439-J439)&lt;0.01,"✓","✗")))</f>
        <v/>
      </c>
      <c r="P439" s="27" t="str">
        <f aca="false">IF(A439="","",IF(H439="—","—",IF(F439&amp;""=K439&amp;"","✓","✗")))</f>
        <v/>
      </c>
      <c r="Q439" s="27" t="str">
        <f aca="false">IF(A439="","",IF(H439="—","—",IF(G439&amp;""=L439&amp;"","✓","✗")))</f>
        <v/>
      </c>
      <c r="R439" s="27" t="str">
        <f aca="false">IF(A439="","",IF(COUNTIF(M439:Q439,"—")=5,"⚠ NO SCD ROW",IF(COUNTIF(M439:Q439,"✗")&gt;0,"❌ MISMATCH","✅ MATCH")))</f>
        <v/>
      </c>
    </row>
    <row r="440" customFormat="false" ht="15" hidden="false" customHeight="true" outlineLevel="0" collapsed="false">
      <c r="A440" s="22" t="str">
        <f aca="false">IF(Daily_Data!A439="","",Daily_Data!A439)</f>
        <v/>
      </c>
      <c r="B440" s="23" t="str">
        <f aca="false">IF(Daily_Data!B439="","",Daily_Data!B439)</f>
        <v/>
      </c>
      <c r="C440" s="23" t="str">
        <f aca="false">IF(A440="","",Daily_Data!C439)</f>
        <v/>
      </c>
      <c r="D440" s="23" t="str">
        <f aca="false">IF(A440="","",Daily_Data!D439)</f>
        <v/>
      </c>
      <c r="E440" s="24" t="str">
        <f aca="false">IF(A440="","",Daily_Data!E439)</f>
        <v/>
      </c>
      <c r="F440" s="23" t="str">
        <f aca="false">IF(A440="","",Daily_Data!F439)</f>
        <v/>
      </c>
      <c r="G440" s="23" t="str">
        <f aca="false">IF(A440="","",Daily_Data!G439)</f>
        <v/>
      </c>
      <c r="H440" s="25" t="str">
        <f aca="false">IF(A440="","",IFERROR(INDEX(SCD_Data!$C$3:$C$502,SUMPRODUCT((SCD_Data!$A$3:$A$502=B440)*(IFERROR(DATEVALUE(SCD_Data!$H$3:$H$502&amp;""),SCD_Data!$H$3:$H$502)&lt;=IFERROR(DATEVALUE(A440&amp;""),A440))*(IFERROR(DATEVALUE(SCD_Data!$I$3:$I$502&amp;""),SCD_Data!$I$3:$I$502)&gt;=IFERROR(DATEVALUE(A440&amp;""),A440))*(ROW(SCD_Data!$A$3:$A$502)-2))),"—"))</f>
        <v/>
      </c>
      <c r="I440" s="25" t="str">
        <f aca="false">IF(A440="","",IFERROR(INDEX(SCD_Data!$D$3:$D$502,SUMPRODUCT((SCD_Data!$A$3:$A$502=B440)*(IFERROR(DATEVALUE(SCD_Data!$H$3:$H$502&amp;""),SCD_Data!$H$3:$H$502)&lt;=IFERROR(DATEVALUE(A440&amp;""),A440))*(IFERROR(DATEVALUE(SCD_Data!$I$3:$I$502&amp;""),SCD_Data!$I$3:$I$502)&gt;=IFERROR(DATEVALUE(A440&amp;""),A440))*(ROW(SCD_Data!$A$3:$A$502)-2))),"—"))</f>
        <v/>
      </c>
      <c r="J440" s="26" t="str">
        <f aca="false">IF(A440="","",IFERROR(INDEX(SCD_Data!$E$3:$E$502,SUMPRODUCT((SCD_Data!$A$3:$A$502=B440)*(IFERROR(DATEVALUE(SCD_Data!$H$3:$H$502&amp;""),SCD_Data!$H$3:$H$502)&lt;=IFERROR(DATEVALUE(A440&amp;""),A440))*(IFERROR(DATEVALUE(SCD_Data!$I$3:$I$502&amp;""),SCD_Data!$I$3:$I$502)&gt;=IFERROR(DATEVALUE(A440&amp;""),A440))*(ROW(SCD_Data!$A$3:$A$502)-2))),"—"))</f>
        <v/>
      </c>
      <c r="K440" s="25" t="str">
        <f aca="false">IF(A440="","",IFERROR(INDEX(SCD_Data!$F$3:$F$502,SUMPRODUCT((SCD_Data!$A$3:$A$502=B440)*(IFERROR(DATEVALUE(SCD_Data!$H$3:$H$502&amp;""),SCD_Data!$H$3:$H$502)&lt;=IFERROR(DATEVALUE(A440&amp;""),A440))*(IFERROR(DATEVALUE(SCD_Data!$I$3:$I$502&amp;""),SCD_Data!$I$3:$I$502)&gt;=IFERROR(DATEVALUE(A440&amp;""),A440))*(ROW(SCD_Data!$A$3:$A$502)-2))),"—"))</f>
        <v/>
      </c>
      <c r="L440" s="25" t="str">
        <f aca="false">IF(A440="","",IFERROR(INDEX(SCD_Data!$G$3:$G$502,SUMPRODUCT((SCD_Data!$A$3:$A$502=B440)*(IFERROR(DATEVALUE(SCD_Data!$H$3:$H$502&amp;""),SCD_Data!$H$3:$H$502)&lt;=IFERROR(DATEVALUE(A440&amp;""),A440))*(IFERROR(DATEVALUE(SCD_Data!$I$3:$I$502&amp;""),SCD_Data!$I$3:$I$502)&gt;=IFERROR(DATEVALUE(A440&amp;""),A440))*(ROW(SCD_Data!$A$3:$A$502)-2))),"—"))</f>
        <v/>
      </c>
      <c r="M440" s="27" t="str">
        <f aca="false">IF(A440="","",IF(H440="—","—",IF(C440&amp;""=H440&amp;"","✓","✗")))</f>
        <v/>
      </c>
      <c r="N440" s="27" t="str">
        <f aca="false">IF(A440="","",IF(H440="—","—",IF(D440&amp;""=I440&amp;"","✓","✗")))</f>
        <v/>
      </c>
      <c r="O440" s="27" t="str">
        <f aca="false">IF(A440="","",IF(H440="—","—",IF(ABS(E440-J440)&lt;0.01,"✓","✗")))</f>
        <v/>
      </c>
      <c r="P440" s="27" t="str">
        <f aca="false">IF(A440="","",IF(H440="—","—",IF(F440&amp;""=K440&amp;"","✓","✗")))</f>
        <v/>
      </c>
      <c r="Q440" s="27" t="str">
        <f aca="false">IF(A440="","",IF(H440="—","—",IF(G440&amp;""=L440&amp;"","✓","✗")))</f>
        <v/>
      </c>
      <c r="R440" s="27" t="str">
        <f aca="false">IF(A440="","",IF(COUNTIF(M440:Q440,"—")=5,"⚠ NO SCD ROW",IF(COUNTIF(M440:Q440,"✗")&gt;0,"❌ MISMATCH","✅ MATCH")))</f>
        <v/>
      </c>
    </row>
    <row r="441" customFormat="false" ht="15" hidden="false" customHeight="true" outlineLevel="0" collapsed="false">
      <c r="A441" s="22" t="str">
        <f aca="false">IF(Daily_Data!A440="","",Daily_Data!A440)</f>
        <v/>
      </c>
      <c r="B441" s="23" t="str">
        <f aca="false">IF(Daily_Data!B440="","",Daily_Data!B440)</f>
        <v/>
      </c>
      <c r="C441" s="23" t="str">
        <f aca="false">IF(A441="","",Daily_Data!C440)</f>
        <v/>
      </c>
      <c r="D441" s="23" t="str">
        <f aca="false">IF(A441="","",Daily_Data!D440)</f>
        <v/>
      </c>
      <c r="E441" s="24" t="str">
        <f aca="false">IF(A441="","",Daily_Data!E440)</f>
        <v/>
      </c>
      <c r="F441" s="23" t="str">
        <f aca="false">IF(A441="","",Daily_Data!F440)</f>
        <v/>
      </c>
      <c r="G441" s="23" t="str">
        <f aca="false">IF(A441="","",Daily_Data!G440)</f>
        <v/>
      </c>
      <c r="H441" s="25" t="str">
        <f aca="false">IF(A441="","",IFERROR(INDEX(SCD_Data!$C$3:$C$502,SUMPRODUCT((SCD_Data!$A$3:$A$502=B441)*(IFERROR(DATEVALUE(SCD_Data!$H$3:$H$502&amp;""),SCD_Data!$H$3:$H$502)&lt;=IFERROR(DATEVALUE(A441&amp;""),A441))*(IFERROR(DATEVALUE(SCD_Data!$I$3:$I$502&amp;""),SCD_Data!$I$3:$I$502)&gt;=IFERROR(DATEVALUE(A441&amp;""),A441))*(ROW(SCD_Data!$A$3:$A$502)-2))),"—"))</f>
        <v/>
      </c>
      <c r="I441" s="25" t="str">
        <f aca="false">IF(A441="","",IFERROR(INDEX(SCD_Data!$D$3:$D$502,SUMPRODUCT((SCD_Data!$A$3:$A$502=B441)*(IFERROR(DATEVALUE(SCD_Data!$H$3:$H$502&amp;""),SCD_Data!$H$3:$H$502)&lt;=IFERROR(DATEVALUE(A441&amp;""),A441))*(IFERROR(DATEVALUE(SCD_Data!$I$3:$I$502&amp;""),SCD_Data!$I$3:$I$502)&gt;=IFERROR(DATEVALUE(A441&amp;""),A441))*(ROW(SCD_Data!$A$3:$A$502)-2))),"—"))</f>
        <v/>
      </c>
      <c r="J441" s="26" t="str">
        <f aca="false">IF(A441="","",IFERROR(INDEX(SCD_Data!$E$3:$E$502,SUMPRODUCT((SCD_Data!$A$3:$A$502=B441)*(IFERROR(DATEVALUE(SCD_Data!$H$3:$H$502&amp;""),SCD_Data!$H$3:$H$502)&lt;=IFERROR(DATEVALUE(A441&amp;""),A441))*(IFERROR(DATEVALUE(SCD_Data!$I$3:$I$502&amp;""),SCD_Data!$I$3:$I$502)&gt;=IFERROR(DATEVALUE(A441&amp;""),A441))*(ROW(SCD_Data!$A$3:$A$502)-2))),"—"))</f>
        <v/>
      </c>
      <c r="K441" s="25" t="str">
        <f aca="false">IF(A441="","",IFERROR(INDEX(SCD_Data!$F$3:$F$502,SUMPRODUCT((SCD_Data!$A$3:$A$502=B441)*(IFERROR(DATEVALUE(SCD_Data!$H$3:$H$502&amp;""),SCD_Data!$H$3:$H$502)&lt;=IFERROR(DATEVALUE(A441&amp;""),A441))*(IFERROR(DATEVALUE(SCD_Data!$I$3:$I$502&amp;""),SCD_Data!$I$3:$I$502)&gt;=IFERROR(DATEVALUE(A441&amp;""),A441))*(ROW(SCD_Data!$A$3:$A$502)-2))),"—"))</f>
        <v/>
      </c>
      <c r="L441" s="25" t="str">
        <f aca="false">IF(A441="","",IFERROR(INDEX(SCD_Data!$G$3:$G$502,SUMPRODUCT((SCD_Data!$A$3:$A$502=B441)*(IFERROR(DATEVALUE(SCD_Data!$H$3:$H$502&amp;""),SCD_Data!$H$3:$H$502)&lt;=IFERROR(DATEVALUE(A441&amp;""),A441))*(IFERROR(DATEVALUE(SCD_Data!$I$3:$I$502&amp;""),SCD_Data!$I$3:$I$502)&gt;=IFERROR(DATEVALUE(A441&amp;""),A441))*(ROW(SCD_Data!$A$3:$A$502)-2))),"—"))</f>
        <v/>
      </c>
      <c r="M441" s="27" t="str">
        <f aca="false">IF(A441="","",IF(H441="—","—",IF(C441&amp;""=H441&amp;"","✓","✗")))</f>
        <v/>
      </c>
      <c r="N441" s="27" t="str">
        <f aca="false">IF(A441="","",IF(H441="—","—",IF(D441&amp;""=I441&amp;"","✓","✗")))</f>
        <v/>
      </c>
      <c r="O441" s="27" t="str">
        <f aca="false">IF(A441="","",IF(H441="—","—",IF(ABS(E441-J441)&lt;0.01,"✓","✗")))</f>
        <v/>
      </c>
      <c r="P441" s="27" t="str">
        <f aca="false">IF(A441="","",IF(H441="—","—",IF(F441&amp;""=K441&amp;"","✓","✗")))</f>
        <v/>
      </c>
      <c r="Q441" s="27" t="str">
        <f aca="false">IF(A441="","",IF(H441="—","—",IF(G441&amp;""=L441&amp;"","✓","✗")))</f>
        <v/>
      </c>
      <c r="R441" s="27" t="str">
        <f aca="false">IF(A441="","",IF(COUNTIF(M441:Q441,"—")=5,"⚠ NO SCD ROW",IF(COUNTIF(M441:Q441,"✗")&gt;0,"❌ MISMATCH","✅ MATCH")))</f>
        <v/>
      </c>
    </row>
    <row r="442" customFormat="false" ht="15" hidden="false" customHeight="true" outlineLevel="0" collapsed="false">
      <c r="A442" s="22" t="str">
        <f aca="false">IF(Daily_Data!A441="","",Daily_Data!A441)</f>
        <v/>
      </c>
      <c r="B442" s="23" t="str">
        <f aca="false">IF(Daily_Data!B441="","",Daily_Data!B441)</f>
        <v/>
      </c>
      <c r="C442" s="23" t="str">
        <f aca="false">IF(A442="","",Daily_Data!C441)</f>
        <v/>
      </c>
      <c r="D442" s="23" t="str">
        <f aca="false">IF(A442="","",Daily_Data!D441)</f>
        <v/>
      </c>
      <c r="E442" s="24" t="str">
        <f aca="false">IF(A442="","",Daily_Data!E441)</f>
        <v/>
      </c>
      <c r="F442" s="23" t="str">
        <f aca="false">IF(A442="","",Daily_Data!F441)</f>
        <v/>
      </c>
      <c r="G442" s="23" t="str">
        <f aca="false">IF(A442="","",Daily_Data!G441)</f>
        <v/>
      </c>
      <c r="H442" s="25" t="str">
        <f aca="false">IF(A442="","",IFERROR(INDEX(SCD_Data!$C$3:$C$502,SUMPRODUCT((SCD_Data!$A$3:$A$502=B442)*(IFERROR(DATEVALUE(SCD_Data!$H$3:$H$502&amp;""),SCD_Data!$H$3:$H$502)&lt;=IFERROR(DATEVALUE(A442&amp;""),A442))*(IFERROR(DATEVALUE(SCD_Data!$I$3:$I$502&amp;""),SCD_Data!$I$3:$I$502)&gt;=IFERROR(DATEVALUE(A442&amp;""),A442))*(ROW(SCD_Data!$A$3:$A$502)-2))),"—"))</f>
        <v/>
      </c>
      <c r="I442" s="25" t="str">
        <f aca="false">IF(A442="","",IFERROR(INDEX(SCD_Data!$D$3:$D$502,SUMPRODUCT((SCD_Data!$A$3:$A$502=B442)*(IFERROR(DATEVALUE(SCD_Data!$H$3:$H$502&amp;""),SCD_Data!$H$3:$H$502)&lt;=IFERROR(DATEVALUE(A442&amp;""),A442))*(IFERROR(DATEVALUE(SCD_Data!$I$3:$I$502&amp;""),SCD_Data!$I$3:$I$502)&gt;=IFERROR(DATEVALUE(A442&amp;""),A442))*(ROW(SCD_Data!$A$3:$A$502)-2))),"—"))</f>
        <v/>
      </c>
      <c r="J442" s="26" t="str">
        <f aca="false">IF(A442="","",IFERROR(INDEX(SCD_Data!$E$3:$E$502,SUMPRODUCT((SCD_Data!$A$3:$A$502=B442)*(IFERROR(DATEVALUE(SCD_Data!$H$3:$H$502&amp;""),SCD_Data!$H$3:$H$502)&lt;=IFERROR(DATEVALUE(A442&amp;""),A442))*(IFERROR(DATEVALUE(SCD_Data!$I$3:$I$502&amp;""),SCD_Data!$I$3:$I$502)&gt;=IFERROR(DATEVALUE(A442&amp;""),A442))*(ROW(SCD_Data!$A$3:$A$502)-2))),"—"))</f>
        <v/>
      </c>
      <c r="K442" s="25" t="str">
        <f aca="false">IF(A442="","",IFERROR(INDEX(SCD_Data!$F$3:$F$502,SUMPRODUCT((SCD_Data!$A$3:$A$502=B442)*(IFERROR(DATEVALUE(SCD_Data!$H$3:$H$502&amp;""),SCD_Data!$H$3:$H$502)&lt;=IFERROR(DATEVALUE(A442&amp;""),A442))*(IFERROR(DATEVALUE(SCD_Data!$I$3:$I$502&amp;""),SCD_Data!$I$3:$I$502)&gt;=IFERROR(DATEVALUE(A442&amp;""),A442))*(ROW(SCD_Data!$A$3:$A$502)-2))),"—"))</f>
        <v/>
      </c>
      <c r="L442" s="25" t="str">
        <f aca="false">IF(A442="","",IFERROR(INDEX(SCD_Data!$G$3:$G$502,SUMPRODUCT((SCD_Data!$A$3:$A$502=B442)*(IFERROR(DATEVALUE(SCD_Data!$H$3:$H$502&amp;""),SCD_Data!$H$3:$H$502)&lt;=IFERROR(DATEVALUE(A442&amp;""),A442))*(IFERROR(DATEVALUE(SCD_Data!$I$3:$I$502&amp;""),SCD_Data!$I$3:$I$502)&gt;=IFERROR(DATEVALUE(A442&amp;""),A442))*(ROW(SCD_Data!$A$3:$A$502)-2))),"—"))</f>
        <v/>
      </c>
      <c r="M442" s="27" t="str">
        <f aca="false">IF(A442="","",IF(H442="—","—",IF(C442&amp;""=H442&amp;"","✓","✗")))</f>
        <v/>
      </c>
      <c r="N442" s="27" t="str">
        <f aca="false">IF(A442="","",IF(H442="—","—",IF(D442&amp;""=I442&amp;"","✓","✗")))</f>
        <v/>
      </c>
      <c r="O442" s="27" t="str">
        <f aca="false">IF(A442="","",IF(H442="—","—",IF(ABS(E442-J442)&lt;0.01,"✓","✗")))</f>
        <v/>
      </c>
      <c r="P442" s="27" t="str">
        <f aca="false">IF(A442="","",IF(H442="—","—",IF(F442&amp;""=K442&amp;"","✓","✗")))</f>
        <v/>
      </c>
      <c r="Q442" s="27" t="str">
        <f aca="false">IF(A442="","",IF(H442="—","—",IF(G442&amp;""=L442&amp;"","✓","✗")))</f>
        <v/>
      </c>
      <c r="R442" s="27" t="str">
        <f aca="false">IF(A442="","",IF(COUNTIF(M442:Q442,"—")=5,"⚠ NO SCD ROW",IF(COUNTIF(M442:Q442,"✗")&gt;0,"❌ MISMATCH","✅ MATCH")))</f>
        <v/>
      </c>
    </row>
    <row r="443" customFormat="false" ht="15" hidden="false" customHeight="true" outlineLevel="0" collapsed="false">
      <c r="A443" s="22" t="str">
        <f aca="false">IF(Daily_Data!A442="","",Daily_Data!A442)</f>
        <v/>
      </c>
      <c r="B443" s="23" t="str">
        <f aca="false">IF(Daily_Data!B442="","",Daily_Data!B442)</f>
        <v/>
      </c>
      <c r="C443" s="23" t="str">
        <f aca="false">IF(A443="","",Daily_Data!C442)</f>
        <v/>
      </c>
      <c r="D443" s="23" t="str">
        <f aca="false">IF(A443="","",Daily_Data!D442)</f>
        <v/>
      </c>
      <c r="E443" s="24" t="str">
        <f aca="false">IF(A443="","",Daily_Data!E442)</f>
        <v/>
      </c>
      <c r="F443" s="23" t="str">
        <f aca="false">IF(A443="","",Daily_Data!F442)</f>
        <v/>
      </c>
      <c r="G443" s="23" t="str">
        <f aca="false">IF(A443="","",Daily_Data!G442)</f>
        <v/>
      </c>
      <c r="H443" s="25" t="str">
        <f aca="false">IF(A443="","",IFERROR(INDEX(SCD_Data!$C$3:$C$502,SUMPRODUCT((SCD_Data!$A$3:$A$502=B443)*(IFERROR(DATEVALUE(SCD_Data!$H$3:$H$502&amp;""),SCD_Data!$H$3:$H$502)&lt;=IFERROR(DATEVALUE(A443&amp;""),A443))*(IFERROR(DATEVALUE(SCD_Data!$I$3:$I$502&amp;""),SCD_Data!$I$3:$I$502)&gt;=IFERROR(DATEVALUE(A443&amp;""),A443))*(ROW(SCD_Data!$A$3:$A$502)-2))),"—"))</f>
        <v/>
      </c>
      <c r="I443" s="25" t="str">
        <f aca="false">IF(A443="","",IFERROR(INDEX(SCD_Data!$D$3:$D$502,SUMPRODUCT((SCD_Data!$A$3:$A$502=B443)*(IFERROR(DATEVALUE(SCD_Data!$H$3:$H$502&amp;""),SCD_Data!$H$3:$H$502)&lt;=IFERROR(DATEVALUE(A443&amp;""),A443))*(IFERROR(DATEVALUE(SCD_Data!$I$3:$I$502&amp;""),SCD_Data!$I$3:$I$502)&gt;=IFERROR(DATEVALUE(A443&amp;""),A443))*(ROW(SCD_Data!$A$3:$A$502)-2))),"—"))</f>
        <v/>
      </c>
      <c r="J443" s="26" t="str">
        <f aca="false">IF(A443="","",IFERROR(INDEX(SCD_Data!$E$3:$E$502,SUMPRODUCT((SCD_Data!$A$3:$A$502=B443)*(IFERROR(DATEVALUE(SCD_Data!$H$3:$H$502&amp;""),SCD_Data!$H$3:$H$502)&lt;=IFERROR(DATEVALUE(A443&amp;""),A443))*(IFERROR(DATEVALUE(SCD_Data!$I$3:$I$502&amp;""),SCD_Data!$I$3:$I$502)&gt;=IFERROR(DATEVALUE(A443&amp;""),A443))*(ROW(SCD_Data!$A$3:$A$502)-2))),"—"))</f>
        <v/>
      </c>
      <c r="K443" s="25" t="str">
        <f aca="false">IF(A443="","",IFERROR(INDEX(SCD_Data!$F$3:$F$502,SUMPRODUCT((SCD_Data!$A$3:$A$502=B443)*(IFERROR(DATEVALUE(SCD_Data!$H$3:$H$502&amp;""),SCD_Data!$H$3:$H$502)&lt;=IFERROR(DATEVALUE(A443&amp;""),A443))*(IFERROR(DATEVALUE(SCD_Data!$I$3:$I$502&amp;""),SCD_Data!$I$3:$I$502)&gt;=IFERROR(DATEVALUE(A443&amp;""),A443))*(ROW(SCD_Data!$A$3:$A$502)-2))),"—"))</f>
        <v/>
      </c>
      <c r="L443" s="25" t="str">
        <f aca="false">IF(A443="","",IFERROR(INDEX(SCD_Data!$G$3:$G$502,SUMPRODUCT((SCD_Data!$A$3:$A$502=B443)*(IFERROR(DATEVALUE(SCD_Data!$H$3:$H$502&amp;""),SCD_Data!$H$3:$H$502)&lt;=IFERROR(DATEVALUE(A443&amp;""),A443))*(IFERROR(DATEVALUE(SCD_Data!$I$3:$I$502&amp;""),SCD_Data!$I$3:$I$502)&gt;=IFERROR(DATEVALUE(A443&amp;""),A443))*(ROW(SCD_Data!$A$3:$A$502)-2))),"—"))</f>
        <v/>
      </c>
      <c r="M443" s="27" t="str">
        <f aca="false">IF(A443="","",IF(H443="—","—",IF(C443&amp;""=H443&amp;"","✓","✗")))</f>
        <v/>
      </c>
      <c r="N443" s="27" t="str">
        <f aca="false">IF(A443="","",IF(H443="—","—",IF(D443&amp;""=I443&amp;"","✓","✗")))</f>
        <v/>
      </c>
      <c r="O443" s="27" t="str">
        <f aca="false">IF(A443="","",IF(H443="—","—",IF(ABS(E443-J443)&lt;0.01,"✓","✗")))</f>
        <v/>
      </c>
      <c r="P443" s="27" t="str">
        <f aca="false">IF(A443="","",IF(H443="—","—",IF(F443&amp;""=K443&amp;"","✓","✗")))</f>
        <v/>
      </c>
      <c r="Q443" s="27" t="str">
        <f aca="false">IF(A443="","",IF(H443="—","—",IF(G443&amp;""=L443&amp;"","✓","✗")))</f>
        <v/>
      </c>
      <c r="R443" s="27" t="str">
        <f aca="false">IF(A443="","",IF(COUNTIF(M443:Q443,"—")=5,"⚠ NO SCD ROW",IF(COUNTIF(M443:Q443,"✗")&gt;0,"❌ MISMATCH","✅ MATCH")))</f>
        <v/>
      </c>
    </row>
    <row r="444" customFormat="false" ht="15" hidden="false" customHeight="true" outlineLevel="0" collapsed="false">
      <c r="A444" s="22" t="str">
        <f aca="false">IF(Daily_Data!A443="","",Daily_Data!A443)</f>
        <v/>
      </c>
      <c r="B444" s="23" t="str">
        <f aca="false">IF(Daily_Data!B443="","",Daily_Data!B443)</f>
        <v/>
      </c>
      <c r="C444" s="23" t="str">
        <f aca="false">IF(A444="","",Daily_Data!C443)</f>
        <v/>
      </c>
      <c r="D444" s="23" t="str">
        <f aca="false">IF(A444="","",Daily_Data!D443)</f>
        <v/>
      </c>
      <c r="E444" s="24" t="str">
        <f aca="false">IF(A444="","",Daily_Data!E443)</f>
        <v/>
      </c>
      <c r="F444" s="23" t="str">
        <f aca="false">IF(A444="","",Daily_Data!F443)</f>
        <v/>
      </c>
      <c r="G444" s="23" t="str">
        <f aca="false">IF(A444="","",Daily_Data!G443)</f>
        <v/>
      </c>
      <c r="H444" s="25" t="str">
        <f aca="false">IF(A444="","",IFERROR(INDEX(SCD_Data!$C$3:$C$502,SUMPRODUCT((SCD_Data!$A$3:$A$502=B444)*(IFERROR(DATEVALUE(SCD_Data!$H$3:$H$502&amp;""),SCD_Data!$H$3:$H$502)&lt;=IFERROR(DATEVALUE(A444&amp;""),A444))*(IFERROR(DATEVALUE(SCD_Data!$I$3:$I$502&amp;""),SCD_Data!$I$3:$I$502)&gt;=IFERROR(DATEVALUE(A444&amp;""),A444))*(ROW(SCD_Data!$A$3:$A$502)-2))),"—"))</f>
        <v/>
      </c>
      <c r="I444" s="25" t="str">
        <f aca="false">IF(A444="","",IFERROR(INDEX(SCD_Data!$D$3:$D$502,SUMPRODUCT((SCD_Data!$A$3:$A$502=B444)*(IFERROR(DATEVALUE(SCD_Data!$H$3:$H$502&amp;""),SCD_Data!$H$3:$H$502)&lt;=IFERROR(DATEVALUE(A444&amp;""),A444))*(IFERROR(DATEVALUE(SCD_Data!$I$3:$I$502&amp;""),SCD_Data!$I$3:$I$502)&gt;=IFERROR(DATEVALUE(A444&amp;""),A444))*(ROW(SCD_Data!$A$3:$A$502)-2))),"—"))</f>
        <v/>
      </c>
      <c r="J444" s="26" t="str">
        <f aca="false">IF(A444="","",IFERROR(INDEX(SCD_Data!$E$3:$E$502,SUMPRODUCT((SCD_Data!$A$3:$A$502=B444)*(IFERROR(DATEVALUE(SCD_Data!$H$3:$H$502&amp;""),SCD_Data!$H$3:$H$502)&lt;=IFERROR(DATEVALUE(A444&amp;""),A444))*(IFERROR(DATEVALUE(SCD_Data!$I$3:$I$502&amp;""),SCD_Data!$I$3:$I$502)&gt;=IFERROR(DATEVALUE(A444&amp;""),A444))*(ROW(SCD_Data!$A$3:$A$502)-2))),"—"))</f>
        <v/>
      </c>
      <c r="K444" s="25" t="str">
        <f aca="false">IF(A444="","",IFERROR(INDEX(SCD_Data!$F$3:$F$502,SUMPRODUCT((SCD_Data!$A$3:$A$502=B444)*(IFERROR(DATEVALUE(SCD_Data!$H$3:$H$502&amp;""),SCD_Data!$H$3:$H$502)&lt;=IFERROR(DATEVALUE(A444&amp;""),A444))*(IFERROR(DATEVALUE(SCD_Data!$I$3:$I$502&amp;""),SCD_Data!$I$3:$I$502)&gt;=IFERROR(DATEVALUE(A444&amp;""),A444))*(ROW(SCD_Data!$A$3:$A$502)-2))),"—"))</f>
        <v/>
      </c>
      <c r="L444" s="25" t="str">
        <f aca="false">IF(A444="","",IFERROR(INDEX(SCD_Data!$G$3:$G$502,SUMPRODUCT((SCD_Data!$A$3:$A$502=B444)*(IFERROR(DATEVALUE(SCD_Data!$H$3:$H$502&amp;""),SCD_Data!$H$3:$H$502)&lt;=IFERROR(DATEVALUE(A444&amp;""),A444))*(IFERROR(DATEVALUE(SCD_Data!$I$3:$I$502&amp;""),SCD_Data!$I$3:$I$502)&gt;=IFERROR(DATEVALUE(A444&amp;""),A444))*(ROW(SCD_Data!$A$3:$A$502)-2))),"—"))</f>
        <v/>
      </c>
      <c r="M444" s="27" t="str">
        <f aca="false">IF(A444="","",IF(H444="—","—",IF(C444&amp;""=H444&amp;"","✓","✗")))</f>
        <v/>
      </c>
      <c r="N444" s="27" t="str">
        <f aca="false">IF(A444="","",IF(H444="—","—",IF(D444&amp;""=I444&amp;"","✓","✗")))</f>
        <v/>
      </c>
      <c r="O444" s="27" t="str">
        <f aca="false">IF(A444="","",IF(H444="—","—",IF(ABS(E444-J444)&lt;0.01,"✓","✗")))</f>
        <v/>
      </c>
      <c r="P444" s="27" t="str">
        <f aca="false">IF(A444="","",IF(H444="—","—",IF(F444&amp;""=K444&amp;"","✓","✗")))</f>
        <v/>
      </c>
      <c r="Q444" s="27" t="str">
        <f aca="false">IF(A444="","",IF(H444="—","—",IF(G444&amp;""=L444&amp;"","✓","✗")))</f>
        <v/>
      </c>
      <c r="R444" s="27" t="str">
        <f aca="false">IF(A444="","",IF(COUNTIF(M444:Q444,"—")=5,"⚠ NO SCD ROW",IF(COUNTIF(M444:Q444,"✗")&gt;0,"❌ MISMATCH","✅ MATCH")))</f>
        <v/>
      </c>
    </row>
    <row r="445" customFormat="false" ht="15" hidden="false" customHeight="true" outlineLevel="0" collapsed="false">
      <c r="A445" s="22" t="str">
        <f aca="false">IF(Daily_Data!A444="","",Daily_Data!A444)</f>
        <v/>
      </c>
      <c r="B445" s="23" t="str">
        <f aca="false">IF(Daily_Data!B444="","",Daily_Data!B444)</f>
        <v/>
      </c>
      <c r="C445" s="23" t="str">
        <f aca="false">IF(A445="","",Daily_Data!C444)</f>
        <v/>
      </c>
      <c r="D445" s="23" t="str">
        <f aca="false">IF(A445="","",Daily_Data!D444)</f>
        <v/>
      </c>
      <c r="E445" s="24" t="str">
        <f aca="false">IF(A445="","",Daily_Data!E444)</f>
        <v/>
      </c>
      <c r="F445" s="23" t="str">
        <f aca="false">IF(A445="","",Daily_Data!F444)</f>
        <v/>
      </c>
      <c r="G445" s="23" t="str">
        <f aca="false">IF(A445="","",Daily_Data!G444)</f>
        <v/>
      </c>
      <c r="H445" s="25" t="str">
        <f aca="false">IF(A445="","",IFERROR(INDEX(SCD_Data!$C$3:$C$502,SUMPRODUCT((SCD_Data!$A$3:$A$502=B445)*(IFERROR(DATEVALUE(SCD_Data!$H$3:$H$502&amp;""),SCD_Data!$H$3:$H$502)&lt;=IFERROR(DATEVALUE(A445&amp;""),A445))*(IFERROR(DATEVALUE(SCD_Data!$I$3:$I$502&amp;""),SCD_Data!$I$3:$I$502)&gt;=IFERROR(DATEVALUE(A445&amp;""),A445))*(ROW(SCD_Data!$A$3:$A$502)-2))),"—"))</f>
        <v/>
      </c>
      <c r="I445" s="25" t="str">
        <f aca="false">IF(A445="","",IFERROR(INDEX(SCD_Data!$D$3:$D$502,SUMPRODUCT((SCD_Data!$A$3:$A$502=B445)*(IFERROR(DATEVALUE(SCD_Data!$H$3:$H$502&amp;""),SCD_Data!$H$3:$H$502)&lt;=IFERROR(DATEVALUE(A445&amp;""),A445))*(IFERROR(DATEVALUE(SCD_Data!$I$3:$I$502&amp;""),SCD_Data!$I$3:$I$502)&gt;=IFERROR(DATEVALUE(A445&amp;""),A445))*(ROW(SCD_Data!$A$3:$A$502)-2))),"—"))</f>
        <v/>
      </c>
      <c r="J445" s="26" t="str">
        <f aca="false">IF(A445="","",IFERROR(INDEX(SCD_Data!$E$3:$E$502,SUMPRODUCT((SCD_Data!$A$3:$A$502=B445)*(IFERROR(DATEVALUE(SCD_Data!$H$3:$H$502&amp;""),SCD_Data!$H$3:$H$502)&lt;=IFERROR(DATEVALUE(A445&amp;""),A445))*(IFERROR(DATEVALUE(SCD_Data!$I$3:$I$502&amp;""),SCD_Data!$I$3:$I$502)&gt;=IFERROR(DATEVALUE(A445&amp;""),A445))*(ROW(SCD_Data!$A$3:$A$502)-2))),"—"))</f>
        <v/>
      </c>
      <c r="K445" s="25" t="str">
        <f aca="false">IF(A445="","",IFERROR(INDEX(SCD_Data!$F$3:$F$502,SUMPRODUCT((SCD_Data!$A$3:$A$502=B445)*(IFERROR(DATEVALUE(SCD_Data!$H$3:$H$502&amp;""),SCD_Data!$H$3:$H$502)&lt;=IFERROR(DATEVALUE(A445&amp;""),A445))*(IFERROR(DATEVALUE(SCD_Data!$I$3:$I$502&amp;""),SCD_Data!$I$3:$I$502)&gt;=IFERROR(DATEVALUE(A445&amp;""),A445))*(ROW(SCD_Data!$A$3:$A$502)-2))),"—"))</f>
        <v/>
      </c>
      <c r="L445" s="25" t="str">
        <f aca="false">IF(A445="","",IFERROR(INDEX(SCD_Data!$G$3:$G$502,SUMPRODUCT((SCD_Data!$A$3:$A$502=B445)*(IFERROR(DATEVALUE(SCD_Data!$H$3:$H$502&amp;""),SCD_Data!$H$3:$H$502)&lt;=IFERROR(DATEVALUE(A445&amp;""),A445))*(IFERROR(DATEVALUE(SCD_Data!$I$3:$I$502&amp;""),SCD_Data!$I$3:$I$502)&gt;=IFERROR(DATEVALUE(A445&amp;""),A445))*(ROW(SCD_Data!$A$3:$A$502)-2))),"—"))</f>
        <v/>
      </c>
      <c r="M445" s="27" t="str">
        <f aca="false">IF(A445="","",IF(H445="—","—",IF(C445&amp;""=H445&amp;"","✓","✗")))</f>
        <v/>
      </c>
      <c r="N445" s="27" t="str">
        <f aca="false">IF(A445="","",IF(H445="—","—",IF(D445&amp;""=I445&amp;"","✓","✗")))</f>
        <v/>
      </c>
      <c r="O445" s="27" t="str">
        <f aca="false">IF(A445="","",IF(H445="—","—",IF(ABS(E445-J445)&lt;0.01,"✓","✗")))</f>
        <v/>
      </c>
      <c r="P445" s="27" t="str">
        <f aca="false">IF(A445="","",IF(H445="—","—",IF(F445&amp;""=K445&amp;"","✓","✗")))</f>
        <v/>
      </c>
      <c r="Q445" s="27" t="str">
        <f aca="false">IF(A445="","",IF(H445="—","—",IF(G445&amp;""=L445&amp;"","✓","✗")))</f>
        <v/>
      </c>
      <c r="R445" s="27" t="str">
        <f aca="false">IF(A445="","",IF(COUNTIF(M445:Q445,"—")=5,"⚠ NO SCD ROW",IF(COUNTIF(M445:Q445,"✗")&gt;0,"❌ MISMATCH","✅ MATCH")))</f>
        <v/>
      </c>
    </row>
    <row r="446" customFormat="false" ht="15" hidden="false" customHeight="true" outlineLevel="0" collapsed="false">
      <c r="A446" s="22" t="str">
        <f aca="false">IF(Daily_Data!A445="","",Daily_Data!A445)</f>
        <v/>
      </c>
      <c r="B446" s="23" t="str">
        <f aca="false">IF(Daily_Data!B445="","",Daily_Data!B445)</f>
        <v/>
      </c>
      <c r="C446" s="23" t="str">
        <f aca="false">IF(A446="","",Daily_Data!C445)</f>
        <v/>
      </c>
      <c r="D446" s="23" t="str">
        <f aca="false">IF(A446="","",Daily_Data!D445)</f>
        <v/>
      </c>
      <c r="E446" s="24" t="str">
        <f aca="false">IF(A446="","",Daily_Data!E445)</f>
        <v/>
      </c>
      <c r="F446" s="23" t="str">
        <f aca="false">IF(A446="","",Daily_Data!F445)</f>
        <v/>
      </c>
      <c r="G446" s="23" t="str">
        <f aca="false">IF(A446="","",Daily_Data!G445)</f>
        <v/>
      </c>
      <c r="H446" s="25" t="str">
        <f aca="false">IF(A446="","",IFERROR(INDEX(SCD_Data!$C$3:$C$502,SUMPRODUCT((SCD_Data!$A$3:$A$502=B446)*(IFERROR(DATEVALUE(SCD_Data!$H$3:$H$502&amp;""),SCD_Data!$H$3:$H$502)&lt;=IFERROR(DATEVALUE(A446&amp;""),A446))*(IFERROR(DATEVALUE(SCD_Data!$I$3:$I$502&amp;""),SCD_Data!$I$3:$I$502)&gt;=IFERROR(DATEVALUE(A446&amp;""),A446))*(ROW(SCD_Data!$A$3:$A$502)-2))),"—"))</f>
        <v/>
      </c>
      <c r="I446" s="25" t="str">
        <f aca="false">IF(A446="","",IFERROR(INDEX(SCD_Data!$D$3:$D$502,SUMPRODUCT((SCD_Data!$A$3:$A$502=B446)*(IFERROR(DATEVALUE(SCD_Data!$H$3:$H$502&amp;""),SCD_Data!$H$3:$H$502)&lt;=IFERROR(DATEVALUE(A446&amp;""),A446))*(IFERROR(DATEVALUE(SCD_Data!$I$3:$I$502&amp;""),SCD_Data!$I$3:$I$502)&gt;=IFERROR(DATEVALUE(A446&amp;""),A446))*(ROW(SCD_Data!$A$3:$A$502)-2))),"—"))</f>
        <v/>
      </c>
      <c r="J446" s="26" t="str">
        <f aca="false">IF(A446="","",IFERROR(INDEX(SCD_Data!$E$3:$E$502,SUMPRODUCT((SCD_Data!$A$3:$A$502=B446)*(IFERROR(DATEVALUE(SCD_Data!$H$3:$H$502&amp;""),SCD_Data!$H$3:$H$502)&lt;=IFERROR(DATEVALUE(A446&amp;""),A446))*(IFERROR(DATEVALUE(SCD_Data!$I$3:$I$502&amp;""),SCD_Data!$I$3:$I$502)&gt;=IFERROR(DATEVALUE(A446&amp;""),A446))*(ROW(SCD_Data!$A$3:$A$502)-2))),"—"))</f>
        <v/>
      </c>
      <c r="K446" s="25" t="str">
        <f aca="false">IF(A446="","",IFERROR(INDEX(SCD_Data!$F$3:$F$502,SUMPRODUCT((SCD_Data!$A$3:$A$502=B446)*(IFERROR(DATEVALUE(SCD_Data!$H$3:$H$502&amp;""),SCD_Data!$H$3:$H$502)&lt;=IFERROR(DATEVALUE(A446&amp;""),A446))*(IFERROR(DATEVALUE(SCD_Data!$I$3:$I$502&amp;""),SCD_Data!$I$3:$I$502)&gt;=IFERROR(DATEVALUE(A446&amp;""),A446))*(ROW(SCD_Data!$A$3:$A$502)-2))),"—"))</f>
        <v/>
      </c>
      <c r="L446" s="25" t="str">
        <f aca="false">IF(A446="","",IFERROR(INDEX(SCD_Data!$G$3:$G$502,SUMPRODUCT((SCD_Data!$A$3:$A$502=B446)*(IFERROR(DATEVALUE(SCD_Data!$H$3:$H$502&amp;""),SCD_Data!$H$3:$H$502)&lt;=IFERROR(DATEVALUE(A446&amp;""),A446))*(IFERROR(DATEVALUE(SCD_Data!$I$3:$I$502&amp;""),SCD_Data!$I$3:$I$502)&gt;=IFERROR(DATEVALUE(A446&amp;""),A446))*(ROW(SCD_Data!$A$3:$A$502)-2))),"—"))</f>
        <v/>
      </c>
      <c r="M446" s="27" t="str">
        <f aca="false">IF(A446="","",IF(H446="—","—",IF(C446&amp;""=H446&amp;"","✓","✗")))</f>
        <v/>
      </c>
      <c r="N446" s="27" t="str">
        <f aca="false">IF(A446="","",IF(H446="—","—",IF(D446&amp;""=I446&amp;"","✓","✗")))</f>
        <v/>
      </c>
      <c r="O446" s="27" t="str">
        <f aca="false">IF(A446="","",IF(H446="—","—",IF(ABS(E446-J446)&lt;0.01,"✓","✗")))</f>
        <v/>
      </c>
      <c r="P446" s="27" t="str">
        <f aca="false">IF(A446="","",IF(H446="—","—",IF(F446&amp;""=K446&amp;"","✓","✗")))</f>
        <v/>
      </c>
      <c r="Q446" s="27" t="str">
        <f aca="false">IF(A446="","",IF(H446="—","—",IF(G446&amp;""=L446&amp;"","✓","✗")))</f>
        <v/>
      </c>
      <c r="R446" s="27" t="str">
        <f aca="false">IF(A446="","",IF(COUNTIF(M446:Q446,"—")=5,"⚠ NO SCD ROW",IF(COUNTIF(M446:Q446,"✗")&gt;0,"❌ MISMATCH","✅ MATCH")))</f>
        <v/>
      </c>
    </row>
    <row r="447" customFormat="false" ht="15" hidden="false" customHeight="true" outlineLevel="0" collapsed="false">
      <c r="A447" s="22" t="str">
        <f aca="false">IF(Daily_Data!A446="","",Daily_Data!A446)</f>
        <v/>
      </c>
      <c r="B447" s="23" t="str">
        <f aca="false">IF(Daily_Data!B446="","",Daily_Data!B446)</f>
        <v/>
      </c>
      <c r="C447" s="23" t="str">
        <f aca="false">IF(A447="","",Daily_Data!C446)</f>
        <v/>
      </c>
      <c r="D447" s="23" t="str">
        <f aca="false">IF(A447="","",Daily_Data!D446)</f>
        <v/>
      </c>
      <c r="E447" s="24" t="str">
        <f aca="false">IF(A447="","",Daily_Data!E446)</f>
        <v/>
      </c>
      <c r="F447" s="23" t="str">
        <f aca="false">IF(A447="","",Daily_Data!F446)</f>
        <v/>
      </c>
      <c r="G447" s="23" t="str">
        <f aca="false">IF(A447="","",Daily_Data!G446)</f>
        <v/>
      </c>
      <c r="H447" s="25" t="str">
        <f aca="false">IF(A447="","",IFERROR(INDEX(SCD_Data!$C$3:$C$502,SUMPRODUCT((SCD_Data!$A$3:$A$502=B447)*(IFERROR(DATEVALUE(SCD_Data!$H$3:$H$502&amp;""),SCD_Data!$H$3:$H$502)&lt;=IFERROR(DATEVALUE(A447&amp;""),A447))*(IFERROR(DATEVALUE(SCD_Data!$I$3:$I$502&amp;""),SCD_Data!$I$3:$I$502)&gt;=IFERROR(DATEVALUE(A447&amp;""),A447))*(ROW(SCD_Data!$A$3:$A$502)-2))),"—"))</f>
        <v/>
      </c>
      <c r="I447" s="25" t="str">
        <f aca="false">IF(A447="","",IFERROR(INDEX(SCD_Data!$D$3:$D$502,SUMPRODUCT((SCD_Data!$A$3:$A$502=B447)*(IFERROR(DATEVALUE(SCD_Data!$H$3:$H$502&amp;""),SCD_Data!$H$3:$H$502)&lt;=IFERROR(DATEVALUE(A447&amp;""),A447))*(IFERROR(DATEVALUE(SCD_Data!$I$3:$I$502&amp;""),SCD_Data!$I$3:$I$502)&gt;=IFERROR(DATEVALUE(A447&amp;""),A447))*(ROW(SCD_Data!$A$3:$A$502)-2))),"—"))</f>
        <v/>
      </c>
      <c r="J447" s="26" t="str">
        <f aca="false">IF(A447="","",IFERROR(INDEX(SCD_Data!$E$3:$E$502,SUMPRODUCT((SCD_Data!$A$3:$A$502=B447)*(IFERROR(DATEVALUE(SCD_Data!$H$3:$H$502&amp;""),SCD_Data!$H$3:$H$502)&lt;=IFERROR(DATEVALUE(A447&amp;""),A447))*(IFERROR(DATEVALUE(SCD_Data!$I$3:$I$502&amp;""),SCD_Data!$I$3:$I$502)&gt;=IFERROR(DATEVALUE(A447&amp;""),A447))*(ROW(SCD_Data!$A$3:$A$502)-2))),"—"))</f>
        <v/>
      </c>
      <c r="K447" s="25" t="str">
        <f aca="false">IF(A447="","",IFERROR(INDEX(SCD_Data!$F$3:$F$502,SUMPRODUCT((SCD_Data!$A$3:$A$502=B447)*(IFERROR(DATEVALUE(SCD_Data!$H$3:$H$502&amp;""),SCD_Data!$H$3:$H$502)&lt;=IFERROR(DATEVALUE(A447&amp;""),A447))*(IFERROR(DATEVALUE(SCD_Data!$I$3:$I$502&amp;""),SCD_Data!$I$3:$I$502)&gt;=IFERROR(DATEVALUE(A447&amp;""),A447))*(ROW(SCD_Data!$A$3:$A$502)-2))),"—"))</f>
        <v/>
      </c>
      <c r="L447" s="25" t="str">
        <f aca="false">IF(A447="","",IFERROR(INDEX(SCD_Data!$G$3:$G$502,SUMPRODUCT((SCD_Data!$A$3:$A$502=B447)*(IFERROR(DATEVALUE(SCD_Data!$H$3:$H$502&amp;""),SCD_Data!$H$3:$H$502)&lt;=IFERROR(DATEVALUE(A447&amp;""),A447))*(IFERROR(DATEVALUE(SCD_Data!$I$3:$I$502&amp;""),SCD_Data!$I$3:$I$502)&gt;=IFERROR(DATEVALUE(A447&amp;""),A447))*(ROW(SCD_Data!$A$3:$A$502)-2))),"—"))</f>
        <v/>
      </c>
      <c r="M447" s="27" t="str">
        <f aca="false">IF(A447="","",IF(H447="—","—",IF(C447&amp;""=H447&amp;"","✓","✗")))</f>
        <v/>
      </c>
      <c r="N447" s="27" t="str">
        <f aca="false">IF(A447="","",IF(H447="—","—",IF(D447&amp;""=I447&amp;"","✓","✗")))</f>
        <v/>
      </c>
      <c r="O447" s="27" t="str">
        <f aca="false">IF(A447="","",IF(H447="—","—",IF(ABS(E447-J447)&lt;0.01,"✓","✗")))</f>
        <v/>
      </c>
      <c r="P447" s="27" t="str">
        <f aca="false">IF(A447="","",IF(H447="—","—",IF(F447&amp;""=K447&amp;"","✓","✗")))</f>
        <v/>
      </c>
      <c r="Q447" s="27" t="str">
        <f aca="false">IF(A447="","",IF(H447="—","—",IF(G447&amp;""=L447&amp;"","✓","✗")))</f>
        <v/>
      </c>
      <c r="R447" s="27" t="str">
        <f aca="false">IF(A447="","",IF(COUNTIF(M447:Q447,"—")=5,"⚠ NO SCD ROW",IF(COUNTIF(M447:Q447,"✗")&gt;0,"❌ MISMATCH","✅ MATCH")))</f>
        <v/>
      </c>
    </row>
    <row r="448" customFormat="false" ht="15" hidden="false" customHeight="true" outlineLevel="0" collapsed="false">
      <c r="A448" s="22" t="str">
        <f aca="false">IF(Daily_Data!A447="","",Daily_Data!A447)</f>
        <v/>
      </c>
      <c r="B448" s="23" t="str">
        <f aca="false">IF(Daily_Data!B447="","",Daily_Data!B447)</f>
        <v/>
      </c>
      <c r="C448" s="23" t="str">
        <f aca="false">IF(A448="","",Daily_Data!C447)</f>
        <v/>
      </c>
      <c r="D448" s="23" t="str">
        <f aca="false">IF(A448="","",Daily_Data!D447)</f>
        <v/>
      </c>
      <c r="E448" s="24" t="str">
        <f aca="false">IF(A448="","",Daily_Data!E447)</f>
        <v/>
      </c>
      <c r="F448" s="23" t="str">
        <f aca="false">IF(A448="","",Daily_Data!F447)</f>
        <v/>
      </c>
      <c r="G448" s="23" t="str">
        <f aca="false">IF(A448="","",Daily_Data!G447)</f>
        <v/>
      </c>
      <c r="H448" s="25" t="str">
        <f aca="false">IF(A448="","",IFERROR(INDEX(SCD_Data!$C$3:$C$502,SUMPRODUCT((SCD_Data!$A$3:$A$502=B448)*(IFERROR(DATEVALUE(SCD_Data!$H$3:$H$502&amp;""),SCD_Data!$H$3:$H$502)&lt;=IFERROR(DATEVALUE(A448&amp;""),A448))*(IFERROR(DATEVALUE(SCD_Data!$I$3:$I$502&amp;""),SCD_Data!$I$3:$I$502)&gt;=IFERROR(DATEVALUE(A448&amp;""),A448))*(ROW(SCD_Data!$A$3:$A$502)-2))),"—"))</f>
        <v/>
      </c>
      <c r="I448" s="25" t="str">
        <f aca="false">IF(A448="","",IFERROR(INDEX(SCD_Data!$D$3:$D$502,SUMPRODUCT((SCD_Data!$A$3:$A$502=B448)*(IFERROR(DATEVALUE(SCD_Data!$H$3:$H$502&amp;""),SCD_Data!$H$3:$H$502)&lt;=IFERROR(DATEVALUE(A448&amp;""),A448))*(IFERROR(DATEVALUE(SCD_Data!$I$3:$I$502&amp;""),SCD_Data!$I$3:$I$502)&gt;=IFERROR(DATEVALUE(A448&amp;""),A448))*(ROW(SCD_Data!$A$3:$A$502)-2))),"—"))</f>
        <v/>
      </c>
      <c r="J448" s="26" t="str">
        <f aca="false">IF(A448="","",IFERROR(INDEX(SCD_Data!$E$3:$E$502,SUMPRODUCT((SCD_Data!$A$3:$A$502=B448)*(IFERROR(DATEVALUE(SCD_Data!$H$3:$H$502&amp;""),SCD_Data!$H$3:$H$502)&lt;=IFERROR(DATEVALUE(A448&amp;""),A448))*(IFERROR(DATEVALUE(SCD_Data!$I$3:$I$502&amp;""),SCD_Data!$I$3:$I$502)&gt;=IFERROR(DATEVALUE(A448&amp;""),A448))*(ROW(SCD_Data!$A$3:$A$502)-2))),"—"))</f>
        <v/>
      </c>
      <c r="K448" s="25" t="str">
        <f aca="false">IF(A448="","",IFERROR(INDEX(SCD_Data!$F$3:$F$502,SUMPRODUCT((SCD_Data!$A$3:$A$502=B448)*(IFERROR(DATEVALUE(SCD_Data!$H$3:$H$502&amp;""),SCD_Data!$H$3:$H$502)&lt;=IFERROR(DATEVALUE(A448&amp;""),A448))*(IFERROR(DATEVALUE(SCD_Data!$I$3:$I$502&amp;""),SCD_Data!$I$3:$I$502)&gt;=IFERROR(DATEVALUE(A448&amp;""),A448))*(ROW(SCD_Data!$A$3:$A$502)-2))),"—"))</f>
        <v/>
      </c>
      <c r="L448" s="25" t="str">
        <f aca="false">IF(A448="","",IFERROR(INDEX(SCD_Data!$G$3:$G$502,SUMPRODUCT((SCD_Data!$A$3:$A$502=B448)*(IFERROR(DATEVALUE(SCD_Data!$H$3:$H$502&amp;""),SCD_Data!$H$3:$H$502)&lt;=IFERROR(DATEVALUE(A448&amp;""),A448))*(IFERROR(DATEVALUE(SCD_Data!$I$3:$I$502&amp;""),SCD_Data!$I$3:$I$502)&gt;=IFERROR(DATEVALUE(A448&amp;""),A448))*(ROW(SCD_Data!$A$3:$A$502)-2))),"—"))</f>
        <v/>
      </c>
      <c r="M448" s="27" t="str">
        <f aca="false">IF(A448="","",IF(H448="—","—",IF(C448&amp;""=H448&amp;"","✓","✗")))</f>
        <v/>
      </c>
      <c r="N448" s="27" t="str">
        <f aca="false">IF(A448="","",IF(H448="—","—",IF(D448&amp;""=I448&amp;"","✓","✗")))</f>
        <v/>
      </c>
      <c r="O448" s="27" t="str">
        <f aca="false">IF(A448="","",IF(H448="—","—",IF(ABS(E448-J448)&lt;0.01,"✓","✗")))</f>
        <v/>
      </c>
      <c r="P448" s="27" t="str">
        <f aca="false">IF(A448="","",IF(H448="—","—",IF(F448&amp;""=K448&amp;"","✓","✗")))</f>
        <v/>
      </c>
      <c r="Q448" s="27" t="str">
        <f aca="false">IF(A448="","",IF(H448="—","—",IF(G448&amp;""=L448&amp;"","✓","✗")))</f>
        <v/>
      </c>
      <c r="R448" s="27" t="str">
        <f aca="false">IF(A448="","",IF(COUNTIF(M448:Q448,"—")=5,"⚠ NO SCD ROW",IF(COUNTIF(M448:Q448,"✗")&gt;0,"❌ MISMATCH","✅ MATCH")))</f>
        <v/>
      </c>
    </row>
    <row r="449" customFormat="false" ht="15" hidden="false" customHeight="true" outlineLevel="0" collapsed="false">
      <c r="A449" s="22" t="str">
        <f aca="false">IF(Daily_Data!A448="","",Daily_Data!A448)</f>
        <v/>
      </c>
      <c r="B449" s="23" t="str">
        <f aca="false">IF(Daily_Data!B448="","",Daily_Data!B448)</f>
        <v/>
      </c>
      <c r="C449" s="23" t="str">
        <f aca="false">IF(A449="","",Daily_Data!C448)</f>
        <v/>
      </c>
      <c r="D449" s="23" t="str">
        <f aca="false">IF(A449="","",Daily_Data!D448)</f>
        <v/>
      </c>
      <c r="E449" s="24" t="str">
        <f aca="false">IF(A449="","",Daily_Data!E448)</f>
        <v/>
      </c>
      <c r="F449" s="23" t="str">
        <f aca="false">IF(A449="","",Daily_Data!F448)</f>
        <v/>
      </c>
      <c r="G449" s="23" t="str">
        <f aca="false">IF(A449="","",Daily_Data!G448)</f>
        <v/>
      </c>
      <c r="H449" s="25" t="str">
        <f aca="false">IF(A449="","",IFERROR(INDEX(SCD_Data!$C$3:$C$502,SUMPRODUCT((SCD_Data!$A$3:$A$502=B449)*(IFERROR(DATEVALUE(SCD_Data!$H$3:$H$502&amp;""),SCD_Data!$H$3:$H$502)&lt;=IFERROR(DATEVALUE(A449&amp;""),A449))*(IFERROR(DATEVALUE(SCD_Data!$I$3:$I$502&amp;""),SCD_Data!$I$3:$I$502)&gt;=IFERROR(DATEVALUE(A449&amp;""),A449))*(ROW(SCD_Data!$A$3:$A$502)-2))),"—"))</f>
        <v/>
      </c>
      <c r="I449" s="25" t="str">
        <f aca="false">IF(A449="","",IFERROR(INDEX(SCD_Data!$D$3:$D$502,SUMPRODUCT((SCD_Data!$A$3:$A$502=B449)*(IFERROR(DATEVALUE(SCD_Data!$H$3:$H$502&amp;""),SCD_Data!$H$3:$H$502)&lt;=IFERROR(DATEVALUE(A449&amp;""),A449))*(IFERROR(DATEVALUE(SCD_Data!$I$3:$I$502&amp;""),SCD_Data!$I$3:$I$502)&gt;=IFERROR(DATEVALUE(A449&amp;""),A449))*(ROW(SCD_Data!$A$3:$A$502)-2))),"—"))</f>
        <v/>
      </c>
      <c r="J449" s="26" t="str">
        <f aca="false">IF(A449="","",IFERROR(INDEX(SCD_Data!$E$3:$E$502,SUMPRODUCT((SCD_Data!$A$3:$A$502=B449)*(IFERROR(DATEVALUE(SCD_Data!$H$3:$H$502&amp;""),SCD_Data!$H$3:$H$502)&lt;=IFERROR(DATEVALUE(A449&amp;""),A449))*(IFERROR(DATEVALUE(SCD_Data!$I$3:$I$502&amp;""),SCD_Data!$I$3:$I$502)&gt;=IFERROR(DATEVALUE(A449&amp;""),A449))*(ROW(SCD_Data!$A$3:$A$502)-2))),"—"))</f>
        <v/>
      </c>
      <c r="K449" s="25" t="str">
        <f aca="false">IF(A449="","",IFERROR(INDEX(SCD_Data!$F$3:$F$502,SUMPRODUCT((SCD_Data!$A$3:$A$502=B449)*(IFERROR(DATEVALUE(SCD_Data!$H$3:$H$502&amp;""),SCD_Data!$H$3:$H$502)&lt;=IFERROR(DATEVALUE(A449&amp;""),A449))*(IFERROR(DATEVALUE(SCD_Data!$I$3:$I$502&amp;""),SCD_Data!$I$3:$I$502)&gt;=IFERROR(DATEVALUE(A449&amp;""),A449))*(ROW(SCD_Data!$A$3:$A$502)-2))),"—"))</f>
        <v/>
      </c>
      <c r="L449" s="25" t="str">
        <f aca="false">IF(A449="","",IFERROR(INDEX(SCD_Data!$G$3:$G$502,SUMPRODUCT((SCD_Data!$A$3:$A$502=B449)*(IFERROR(DATEVALUE(SCD_Data!$H$3:$H$502&amp;""),SCD_Data!$H$3:$H$502)&lt;=IFERROR(DATEVALUE(A449&amp;""),A449))*(IFERROR(DATEVALUE(SCD_Data!$I$3:$I$502&amp;""),SCD_Data!$I$3:$I$502)&gt;=IFERROR(DATEVALUE(A449&amp;""),A449))*(ROW(SCD_Data!$A$3:$A$502)-2))),"—"))</f>
        <v/>
      </c>
      <c r="M449" s="27" t="str">
        <f aca="false">IF(A449="","",IF(H449="—","—",IF(C449&amp;""=H449&amp;"","✓","✗")))</f>
        <v/>
      </c>
      <c r="N449" s="27" t="str">
        <f aca="false">IF(A449="","",IF(H449="—","—",IF(D449&amp;""=I449&amp;"","✓","✗")))</f>
        <v/>
      </c>
      <c r="O449" s="27" t="str">
        <f aca="false">IF(A449="","",IF(H449="—","—",IF(ABS(E449-J449)&lt;0.01,"✓","✗")))</f>
        <v/>
      </c>
      <c r="P449" s="27" t="str">
        <f aca="false">IF(A449="","",IF(H449="—","—",IF(F449&amp;""=K449&amp;"","✓","✗")))</f>
        <v/>
      </c>
      <c r="Q449" s="27" t="str">
        <f aca="false">IF(A449="","",IF(H449="—","—",IF(G449&amp;""=L449&amp;"","✓","✗")))</f>
        <v/>
      </c>
      <c r="R449" s="27" t="str">
        <f aca="false">IF(A449="","",IF(COUNTIF(M449:Q449,"—")=5,"⚠ NO SCD ROW",IF(COUNTIF(M449:Q449,"✗")&gt;0,"❌ MISMATCH","✅ MATCH")))</f>
        <v/>
      </c>
    </row>
    <row r="450" customFormat="false" ht="15" hidden="false" customHeight="true" outlineLevel="0" collapsed="false">
      <c r="A450" s="22" t="str">
        <f aca="false">IF(Daily_Data!A449="","",Daily_Data!A449)</f>
        <v/>
      </c>
      <c r="B450" s="23" t="str">
        <f aca="false">IF(Daily_Data!B449="","",Daily_Data!B449)</f>
        <v/>
      </c>
      <c r="C450" s="23" t="str">
        <f aca="false">IF(A450="","",Daily_Data!C449)</f>
        <v/>
      </c>
      <c r="D450" s="23" t="str">
        <f aca="false">IF(A450="","",Daily_Data!D449)</f>
        <v/>
      </c>
      <c r="E450" s="24" t="str">
        <f aca="false">IF(A450="","",Daily_Data!E449)</f>
        <v/>
      </c>
      <c r="F450" s="23" t="str">
        <f aca="false">IF(A450="","",Daily_Data!F449)</f>
        <v/>
      </c>
      <c r="G450" s="23" t="str">
        <f aca="false">IF(A450="","",Daily_Data!G449)</f>
        <v/>
      </c>
      <c r="H450" s="25" t="str">
        <f aca="false">IF(A450="","",IFERROR(INDEX(SCD_Data!$C$3:$C$502,SUMPRODUCT((SCD_Data!$A$3:$A$502=B450)*(IFERROR(DATEVALUE(SCD_Data!$H$3:$H$502&amp;""),SCD_Data!$H$3:$H$502)&lt;=IFERROR(DATEVALUE(A450&amp;""),A450))*(IFERROR(DATEVALUE(SCD_Data!$I$3:$I$502&amp;""),SCD_Data!$I$3:$I$502)&gt;=IFERROR(DATEVALUE(A450&amp;""),A450))*(ROW(SCD_Data!$A$3:$A$502)-2))),"—"))</f>
        <v/>
      </c>
      <c r="I450" s="25" t="str">
        <f aca="false">IF(A450="","",IFERROR(INDEX(SCD_Data!$D$3:$D$502,SUMPRODUCT((SCD_Data!$A$3:$A$502=B450)*(IFERROR(DATEVALUE(SCD_Data!$H$3:$H$502&amp;""),SCD_Data!$H$3:$H$502)&lt;=IFERROR(DATEVALUE(A450&amp;""),A450))*(IFERROR(DATEVALUE(SCD_Data!$I$3:$I$502&amp;""),SCD_Data!$I$3:$I$502)&gt;=IFERROR(DATEVALUE(A450&amp;""),A450))*(ROW(SCD_Data!$A$3:$A$502)-2))),"—"))</f>
        <v/>
      </c>
      <c r="J450" s="26" t="str">
        <f aca="false">IF(A450="","",IFERROR(INDEX(SCD_Data!$E$3:$E$502,SUMPRODUCT((SCD_Data!$A$3:$A$502=B450)*(IFERROR(DATEVALUE(SCD_Data!$H$3:$H$502&amp;""),SCD_Data!$H$3:$H$502)&lt;=IFERROR(DATEVALUE(A450&amp;""),A450))*(IFERROR(DATEVALUE(SCD_Data!$I$3:$I$502&amp;""),SCD_Data!$I$3:$I$502)&gt;=IFERROR(DATEVALUE(A450&amp;""),A450))*(ROW(SCD_Data!$A$3:$A$502)-2))),"—"))</f>
        <v/>
      </c>
      <c r="K450" s="25" t="str">
        <f aca="false">IF(A450="","",IFERROR(INDEX(SCD_Data!$F$3:$F$502,SUMPRODUCT((SCD_Data!$A$3:$A$502=B450)*(IFERROR(DATEVALUE(SCD_Data!$H$3:$H$502&amp;""),SCD_Data!$H$3:$H$502)&lt;=IFERROR(DATEVALUE(A450&amp;""),A450))*(IFERROR(DATEVALUE(SCD_Data!$I$3:$I$502&amp;""),SCD_Data!$I$3:$I$502)&gt;=IFERROR(DATEVALUE(A450&amp;""),A450))*(ROW(SCD_Data!$A$3:$A$502)-2))),"—"))</f>
        <v/>
      </c>
      <c r="L450" s="25" t="str">
        <f aca="false">IF(A450="","",IFERROR(INDEX(SCD_Data!$G$3:$G$502,SUMPRODUCT((SCD_Data!$A$3:$A$502=B450)*(IFERROR(DATEVALUE(SCD_Data!$H$3:$H$502&amp;""),SCD_Data!$H$3:$H$502)&lt;=IFERROR(DATEVALUE(A450&amp;""),A450))*(IFERROR(DATEVALUE(SCD_Data!$I$3:$I$502&amp;""),SCD_Data!$I$3:$I$502)&gt;=IFERROR(DATEVALUE(A450&amp;""),A450))*(ROW(SCD_Data!$A$3:$A$502)-2))),"—"))</f>
        <v/>
      </c>
      <c r="M450" s="27" t="str">
        <f aca="false">IF(A450="","",IF(H450="—","—",IF(C450&amp;""=H450&amp;"","✓","✗")))</f>
        <v/>
      </c>
      <c r="N450" s="27" t="str">
        <f aca="false">IF(A450="","",IF(H450="—","—",IF(D450&amp;""=I450&amp;"","✓","✗")))</f>
        <v/>
      </c>
      <c r="O450" s="27" t="str">
        <f aca="false">IF(A450="","",IF(H450="—","—",IF(ABS(E450-J450)&lt;0.01,"✓","✗")))</f>
        <v/>
      </c>
      <c r="P450" s="27" t="str">
        <f aca="false">IF(A450="","",IF(H450="—","—",IF(F450&amp;""=K450&amp;"","✓","✗")))</f>
        <v/>
      </c>
      <c r="Q450" s="27" t="str">
        <f aca="false">IF(A450="","",IF(H450="—","—",IF(G450&amp;""=L450&amp;"","✓","✗")))</f>
        <v/>
      </c>
      <c r="R450" s="27" t="str">
        <f aca="false">IF(A450="","",IF(COUNTIF(M450:Q450,"—")=5,"⚠ NO SCD ROW",IF(COUNTIF(M450:Q450,"✗")&gt;0,"❌ MISMATCH","✅ MATCH")))</f>
        <v/>
      </c>
    </row>
    <row r="451" customFormat="false" ht="15" hidden="false" customHeight="true" outlineLevel="0" collapsed="false">
      <c r="A451" s="22" t="str">
        <f aca="false">IF(Daily_Data!A450="","",Daily_Data!A450)</f>
        <v/>
      </c>
      <c r="B451" s="23" t="str">
        <f aca="false">IF(Daily_Data!B450="","",Daily_Data!B450)</f>
        <v/>
      </c>
      <c r="C451" s="23" t="str">
        <f aca="false">IF(A451="","",Daily_Data!C450)</f>
        <v/>
      </c>
      <c r="D451" s="23" t="str">
        <f aca="false">IF(A451="","",Daily_Data!D450)</f>
        <v/>
      </c>
      <c r="E451" s="24" t="str">
        <f aca="false">IF(A451="","",Daily_Data!E450)</f>
        <v/>
      </c>
      <c r="F451" s="23" t="str">
        <f aca="false">IF(A451="","",Daily_Data!F450)</f>
        <v/>
      </c>
      <c r="G451" s="23" t="str">
        <f aca="false">IF(A451="","",Daily_Data!G450)</f>
        <v/>
      </c>
      <c r="H451" s="25" t="str">
        <f aca="false">IF(A451="","",IFERROR(INDEX(SCD_Data!$C$3:$C$502,SUMPRODUCT((SCD_Data!$A$3:$A$502=B451)*(IFERROR(DATEVALUE(SCD_Data!$H$3:$H$502&amp;""),SCD_Data!$H$3:$H$502)&lt;=IFERROR(DATEVALUE(A451&amp;""),A451))*(IFERROR(DATEVALUE(SCD_Data!$I$3:$I$502&amp;""),SCD_Data!$I$3:$I$502)&gt;=IFERROR(DATEVALUE(A451&amp;""),A451))*(ROW(SCD_Data!$A$3:$A$502)-2))),"—"))</f>
        <v/>
      </c>
      <c r="I451" s="25" t="str">
        <f aca="false">IF(A451="","",IFERROR(INDEX(SCD_Data!$D$3:$D$502,SUMPRODUCT((SCD_Data!$A$3:$A$502=B451)*(IFERROR(DATEVALUE(SCD_Data!$H$3:$H$502&amp;""),SCD_Data!$H$3:$H$502)&lt;=IFERROR(DATEVALUE(A451&amp;""),A451))*(IFERROR(DATEVALUE(SCD_Data!$I$3:$I$502&amp;""),SCD_Data!$I$3:$I$502)&gt;=IFERROR(DATEVALUE(A451&amp;""),A451))*(ROW(SCD_Data!$A$3:$A$502)-2))),"—"))</f>
        <v/>
      </c>
      <c r="J451" s="26" t="str">
        <f aca="false">IF(A451="","",IFERROR(INDEX(SCD_Data!$E$3:$E$502,SUMPRODUCT((SCD_Data!$A$3:$A$502=B451)*(IFERROR(DATEVALUE(SCD_Data!$H$3:$H$502&amp;""),SCD_Data!$H$3:$H$502)&lt;=IFERROR(DATEVALUE(A451&amp;""),A451))*(IFERROR(DATEVALUE(SCD_Data!$I$3:$I$502&amp;""),SCD_Data!$I$3:$I$502)&gt;=IFERROR(DATEVALUE(A451&amp;""),A451))*(ROW(SCD_Data!$A$3:$A$502)-2))),"—"))</f>
        <v/>
      </c>
      <c r="K451" s="25" t="str">
        <f aca="false">IF(A451="","",IFERROR(INDEX(SCD_Data!$F$3:$F$502,SUMPRODUCT((SCD_Data!$A$3:$A$502=B451)*(IFERROR(DATEVALUE(SCD_Data!$H$3:$H$502&amp;""),SCD_Data!$H$3:$H$502)&lt;=IFERROR(DATEVALUE(A451&amp;""),A451))*(IFERROR(DATEVALUE(SCD_Data!$I$3:$I$502&amp;""),SCD_Data!$I$3:$I$502)&gt;=IFERROR(DATEVALUE(A451&amp;""),A451))*(ROW(SCD_Data!$A$3:$A$502)-2))),"—"))</f>
        <v/>
      </c>
      <c r="L451" s="25" t="str">
        <f aca="false">IF(A451="","",IFERROR(INDEX(SCD_Data!$G$3:$G$502,SUMPRODUCT((SCD_Data!$A$3:$A$502=B451)*(IFERROR(DATEVALUE(SCD_Data!$H$3:$H$502&amp;""),SCD_Data!$H$3:$H$502)&lt;=IFERROR(DATEVALUE(A451&amp;""),A451))*(IFERROR(DATEVALUE(SCD_Data!$I$3:$I$502&amp;""),SCD_Data!$I$3:$I$502)&gt;=IFERROR(DATEVALUE(A451&amp;""),A451))*(ROW(SCD_Data!$A$3:$A$502)-2))),"—"))</f>
        <v/>
      </c>
      <c r="M451" s="27" t="str">
        <f aca="false">IF(A451="","",IF(H451="—","—",IF(C451&amp;""=H451&amp;"","✓","✗")))</f>
        <v/>
      </c>
      <c r="N451" s="27" t="str">
        <f aca="false">IF(A451="","",IF(H451="—","—",IF(D451&amp;""=I451&amp;"","✓","✗")))</f>
        <v/>
      </c>
      <c r="O451" s="27" t="str">
        <f aca="false">IF(A451="","",IF(H451="—","—",IF(ABS(E451-J451)&lt;0.01,"✓","✗")))</f>
        <v/>
      </c>
      <c r="P451" s="27" t="str">
        <f aca="false">IF(A451="","",IF(H451="—","—",IF(F451&amp;""=K451&amp;"","✓","✗")))</f>
        <v/>
      </c>
      <c r="Q451" s="27" t="str">
        <f aca="false">IF(A451="","",IF(H451="—","—",IF(G451&amp;""=L451&amp;"","✓","✗")))</f>
        <v/>
      </c>
      <c r="R451" s="27" t="str">
        <f aca="false">IF(A451="","",IF(COUNTIF(M451:Q451,"—")=5,"⚠ NO SCD ROW",IF(COUNTIF(M451:Q451,"✗")&gt;0,"❌ MISMATCH","✅ MATCH")))</f>
        <v/>
      </c>
    </row>
    <row r="452" customFormat="false" ht="15" hidden="false" customHeight="true" outlineLevel="0" collapsed="false">
      <c r="A452" s="22" t="str">
        <f aca="false">IF(Daily_Data!A451="","",Daily_Data!A451)</f>
        <v/>
      </c>
      <c r="B452" s="23" t="str">
        <f aca="false">IF(Daily_Data!B451="","",Daily_Data!B451)</f>
        <v/>
      </c>
      <c r="C452" s="23" t="str">
        <f aca="false">IF(A452="","",Daily_Data!C451)</f>
        <v/>
      </c>
      <c r="D452" s="23" t="str">
        <f aca="false">IF(A452="","",Daily_Data!D451)</f>
        <v/>
      </c>
      <c r="E452" s="24" t="str">
        <f aca="false">IF(A452="","",Daily_Data!E451)</f>
        <v/>
      </c>
      <c r="F452" s="23" t="str">
        <f aca="false">IF(A452="","",Daily_Data!F451)</f>
        <v/>
      </c>
      <c r="G452" s="23" t="str">
        <f aca="false">IF(A452="","",Daily_Data!G451)</f>
        <v/>
      </c>
      <c r="H452" s="25" t="str">
        <f aca="false">IF(A452="","",IFERROR(INDEX(SCD_Data!$C$3:$C$502,SUMPRODUCT((SCD_Data!$A$3:$A$502=B452)*(IFERROR(DATEVALUE(SCD_Data!$H$3:$H$502&amp;""),SCD_Data!$H$3:$H$502)&lt;=IFERROR(DATEVALUE(A452&amp;""),A452))*(IFERROR(DATEVALUE(SCD_Data!$I$3:$I$502&amp;""),SCD_Data!$I$3:$I$502)&gt;=IFERROR(DATEVALUE(A452&amp;""),A452))*(ROW(SCD_Data!$A$3:$A$502)-2))),"—"))</f>
        <v/>
      </c>
      <c r="I452" s="25" t="str">
        <f aca="false">IF(A452="","",IFERROR(INDEX(SCD_Data!$D$3:$D$502,SUMPRODUCT((SCD_Data!$A$3:$A$502=B452)*(IFERROR(DATEVALUE(SCD_Data!$H$3:$H$502&amp;""),SCD_Data!$H$3:$H$502)&lt;=IFERROR(DATEVALUE(A452&amp;""),A452))*(IFERROR(DATEVALUE(SCD_Data!$I$3:$I$502&amp;""),SCD_Data!$I$3:$I$502)&gt;=IFERROR(DATEVALUE(A452&amp;""),A452))*(ROW(SCD_Data!$A$3:$A$502)-2))),"—"))</f>
        <v/>
      </c>
      <c r="J452" s="26" t="str">
        <f aca="false">IF(A452="","",IFERROR(INDEX(SCD_Data!$E$3:$E$502,SUMPRODUCT((SCD_Data!$A$3:$A$502=B452)*(IFERROR(DATEVALUE(SCD_Data!$H$3:$H$502&amp;""),SCD_Data!$H$3:$H$502)&lt;=IFERROR(DATEVALUE(A452&amp;""),A452))*(IFERROR(DATEVALUE(SCD_Data!$I$3:$I$502&amp;""),SCD_Data!$I$3:$I$502)&gt;=IFERROR(DATEVALUE(A452&amp;""),A452))*(ROW(SCD_Data!$A$3:$A$502)-2))),"—"))</f>
        <v/>
      </c>
      <c r="K452" s="25" t="str">
        <f aca="false">IF(A452="","",IFERROR(INDEX(SCD_Data!$F$3:$F$502,SUMPRODUCT((SCD_Data!$A$3:$A$502=B452)*(IFERROR(DATEVALUE(SCD_Data!$H$3:$H$502&amp;""),SCD_Data!$H$3:$H$502)&lt;=IFERROR(DATEVALUE(A452&amp;""),A452))*(IFERROR(DATEVALUE(SCD_Data!$I$3:$I$502&amp;""),SCD_Data!$I$3:$I$502)&gt;=IFERROR(DATEVALUE(A452&amp;""),A452))*(ROW(SCD_Data!$A$3:$A$502)-2))),"—"))</f>
        <v/>
      </c>
      <c r="L452" s="25" t="str">
        <f aca="false">IF(A452="","",IFERROR(INDEX(SCD_Data!$G$3:$G$502,SUMPRODUCT((SCD_Data!$A$3:$A$502=B452)*(IFERROR(DATEVALUE(SCD_Data!$H$3:$H$502&amp;""),SCD_Data!$H$3:$H$502)&lt;=IFERROR(DATEVALUE(A452&amp;""),A452))*(IFERROR(DATEVALUE(SCD_Data!$I$3:$I$502&amp;""),SCD_Data!$I$3:$I$502)&gt;=IFERROR(DATEVALUE(A452&amp;""),A452))*(ROW(SCD_Data!$A$3:$A$502)-2))),"—"))</f>
        <v/>
      </c>
      <c r="M452" s="27" t="str">
        <f aca="false">IF(A452="","",IF(H452="—","—",IF(C452&amp;""=H452&amp;"","✓","✗")))</f>
        <v/>
      </c>
      <c r="N452" s="27" t="str">
        <f aca="false">IF(A452="","",IF(H452="—","—",IF(D452&amp;""=I452&amp;"","✓","✗")))</f>
        <v/>
      </c>
      <c r="O452" s="27" t="str">
        <f aca="false">IF(A452="","",IF(H452="—","—",IF(ABS(E452-J452)&lt;0.01,"✓","✗")))</f>
        <v/>
      </c>
      <c r="P452" s="27" t="str">
        <f aca="false">IF(A452="","",IF(H452="—","—",IF(F452&amp;""=K452&amp;"","✓","✗")))</f>
        <v/>
      </c>
      <c r="Q452" s="27" t="str">
        <f aca="false">IF(A452="","",IF(H452="—","—",IF(G452&amp;""=L452&amp;"","✓","✗")))</f>
        <v/>
      </c>
      <c r="R452" s="27" t="str">
        <f aca="false">IF(A452="","",IF(COUNTIF(M452:Q452,"—")=5,"⚠ NO SCD ROW",IF(COUNTIF(M452:Q452,"✗")&gt;0,"❌ MISMATCH","✅ MATCH")))</f>
        <v/>
      </c>
    </row>
    <row r="453" customFormat="false" ht="15" hidden="false" customHeight="true" outlineLevel="0" collapsed="false">
      <c r="A453" s="22" t="str">
        <f aca="false">IF(Daily_Data!A452="","",Daily_Data!A452)</f>
        <v/>
      </c>
      <c r="B453" s="23" t="str">
        <f aca="false">IF(Daily_Data!B452="","",Daily_Data!B452)</f>
        <v/>
      </c>
      <c r="C453" s="23" t="str">
        <f aca="false">IF(A453="","",Daily_Data!C452)</f>
        <v/>
      </c>
      <c r="D453" s="23" t="str">
        <f aca="false">IF(A453="","",Daily_Data!D452)</f>
        <v/>
      </c>
      <c r="E453" s="24" t="str">
        <f aca="false">IF(A453="","",Daily_Data!E452)</f>
        <v/>
      </c>
      <c r="F453" s="23" t="str">
        <f aca="false">IF(A453="","",Daily_Data!F452)</f>
        <v/>
      </c>
      <c r="G453" s="23" t="str">
        <f aca="false">IF(A453="","",Daily_Data!G452)</f>
        <v/>
      </c>
      <c r="H453" s="25" t="str">
        <f aca="false">IF(A453="","",IFERROR(INDEX(SCD_Data!$C$3:$C$502,SUMPRODUCT((SCD_Data!$A$3:$A$502=B453)*(IFERROR(DATEVALUE(SCD_Data!$H$3:$H$502&amp;""),SCD_Data!$H$3:$H$502)&lt;=IFERROR(DATEVALUE(A453&amp;""),A453))*(IFERROR(DATEVALUE(SCD_Data!$I$3:$I$502&amp;""),SCD_Data!$I$3:$I$502)&gt;=IFERROR(DATEVALUE(A453&amp;""),A453))*(ROW(SCD_Data!$A$3:$A$502)-2))),"—"))</f>
        <v/>
      </c>
      <c r="I453" s="25" t="str">
        <f aca="false">IF(A453="","",IFERROR(INDEX(SCD_Data!$D$3:$D$502,SUMPRODUCT((SCD_Data!$A$3:$A$502=B453)*(IFERROR(DATEVALUE(SCD_Data!$H$3:$H$502&amp;""),SCD_Data!$H$3:$H$502)&lt;=IFERROR(DATEVALUE(A453&amp;""),A453))*(IFERROR(DATEVALUE(SCD_Data!$I$3:$I$502&amp;""),SCD_Data!$I$3:$I$502)&gt;=IFERROR(DATEVALUE(A453&amp;""),A453))*(ROW(SCD_Data!$A$3:$A$502)-2))),"—"))</f>
        <v/>
      </c>
      <c r="J453" s="26" t="str">
        <f aca="false">IF(A453="","",IFERROR(INDEX(SCD_Data!$E$3:$E$502,SUMPRODUCT((SCD_Data!$A$3:$A$502=B453)*(IFERROR(DATEVALUE(SCD_Data!$H$3:$H$502&amp;""),SCD_Data!$H$3:$H$502)&lt;=IFERROR(DATEVALUE(A453&amp;""),A453))*(IFERROR(DATEVALUE(SCD_Data!$I$3:$I$502&amp;""),SCD_Data!$I$3:$I$502)&gt;=IFERROR(DATEVALUE(A453&amp;""),A453))*(ROW(SCD_Data!$A$3:$A$502)-2))),"—"))</f>
        <v/>
      </c>
      <c r="K453" s="25" t="str">
        <f aca="false">IF(A453="","",IFERROR(INDEX(SCD_Data!$F$3:$F$502,SUMPRODUCT((SCD_Data!$A$3:$A$502=B453)*(IFERROR(DATEVALUE(SCD_Data!$H$3:$H$502&amp;""),SCD_Data!$H$3:$H$502)&lt;=IFERROR(DATEVALUE(A453&amp;""),A453))*(IFERROR(DATEVALUE(SCD_Data!$I$3:$I$502&amp;""),SCD_Data!$I$3:$I$502)&gt;=IFERROR(DATEVALUE(A453&amp;""),A453))*(ROW(SCD_Data!$A$3:$A$502)-2))),"—"))</f>
        <v/>
      </c>
      <c r="L453" s="25" t="str">
        <f aca="false">IF(A453="","",IFERROR(INDEX(SCD_Data!$G$3:$G$502,SUMPRODUCT((SCD_Data!$A$3:$A$502=B453)*(IFERROR(DATEVALUE(SCD_Data!$H$3:$H$502&amp;""),SCD_Data!$H$3:$H$502)&lt;=IFERROR(DATEVALUE(A453&amp;""),A453))*(IFERROR(DATEVALUE(SCD_Data!$I$3:$I$502&amp;""),SCD_Data!$I$3:$I$502)&gt;=IFERROR(DATEVALUE(A453&amp;""),A453))*(ROW(SCD_Data!$A$3:$A$502)-2))),"—"))</f>
        <v/>
      </c>
      <c r="M453" s="27" t="str">
        <f aca="false">IF(A453="","",IF(H453="—","—",IF(C453&amp;""=H453&amp;"","✓","✗")))</f>
        <v/>
      </c>
      <c r="N453" s="27" t="str">
        <f aca="false">IF(A453="","",IF(H453="—","—",IF(D453&amp;""=I453&amp;"","✓","✗")))</f>
        <v/>
      </c>
      <c r="O453" s="27" t="str">
        <f aca="false">IF(A453="","",IF(H453="—","—",IF(ABS(E453-J453)&lt;0.01,"✓","✗")))</f>
        <v/>
      </c>
      <c r="P453" s="27" t="str">
        <f aca="false">IF(A453="","",IF(H453="—","—",IF(F453&amp;""=K453&amp;"","✓","✗")))</f>
        <v/>
      </c>
      <c r="Q453" s="27" t="str">
        <f aca="false">IF(A453="","",IF(H453="—","—",IF(G453&amp;""=L453&amp;"","✓","✗")))</f>
        <v/>
      </c>
      <c r="R453" s="27" t="str">
        <f aca="false">IF(A453="","",IF(COUNTIF(M453:Q453,"—")=5,"⚠ NO SCD ROW",IF(COUNTIF(M453:Q453,"✗")&gt;0,"❌ MISMATCH","✅ MATCH")))</f>
        <v/>
      </c>
    </row>
    <row r="454" customFormat="false" ht="15" hidden="false" customHeight="true" outlineLevel="0" collapsed="false">
      <c r="A454" s="22" t="str">
        <f aca="false">IF(Daily_Data!A453="","",Daily_Data!A453)</f>
        <v/>
      </c>
      <c r="B454" s="23" t="str">
        <f aca="false">IF(Daily_Data!B453="","",Daily_Data!B453)</f>
        <v/>
      </c>
      <c r="C454" s="23" t="str">
        <f aca="false">IF(A454="","",Daily_Data!C453)</f>
        <v/>
      </c>
      <c r="D454" s="23" t="str">
        <f aca="false">IF(A454="","",Daily_Data!D453)</f>
        <v/>
      </c>
      <c r="E454" s="24" t="str">
        <f aca="false">IF(A454="","",Daily_Data!E453)</f>
        <v/>
      </c>
      <c r="F454" s="23" t="str">
        <f aca="false">IF(A454="","",Daily_Data!F453)</f>
        <v/>
      </c>
      <c r="G454" s="23" t="str">
        <f aca="false">IF(A454="","",Daily_Data!G453)</f>
        <v/>
      </c>
      <c r="H454" s="25" t="str">
        <f aca="false">IF(A454="","",IFERROR(INDEX(SCD_Data!$C$3:$C$502,SUMPRODUCT((SCD_Data!$A$3:$A$502=B454)*(IFERROR(DATEVALUE(SCD_Data!$H$3:$H$502&amp;""),SCD_Data!$H$3:$H$502)&lt;=IFERROR(DATEVALUE(A454&amp;""),A454))*(IFERROR(DATEVALUE(SCD_Data!$I$3:$I$502&amp;""),SCD_Data!$I$3:$I$502)&gt;=IFERROR(DATEVALUE(A454&amp;""),A454))*(ROW(SCD_Data!$A$3:$A$502)-2))),"—"))</f>
        <v/>
      </c>
      <c r="I454" s="25" t="str">
        <f aca="false">IF(A454="","",IFERROR(INDEX(SCD_Data!$D$3:$D$502,SUMPRODUCT((SCD_Data!$A$3:$A$502=B454)*(IFERROR(DATEVALUE(SCD_Data!$H$3:$H$502&amp;""),SCD_Data!$H$3:$H$502)&lt;=IFERROR(DATEVALUE(A454&amp;""),A454))*(IFERROR(DATEVALUE(SCD_Data!$I$3:$I$502&amp;""),SCD_Data!$I$3:$I$502)&gt;=IFERROR(DATEVALUE(A454&amp;""),A454))*(ROW(SCD_Data!$A$3:$A$502)-2))),"—"))</f>
        <v/>
      </c>
      <c r="J454" s="26" t="str">
        <f aca="false">IF(A454="","",IFERROR(INDEX(SCD_Data!$E$3:$E$502,SUMPRODUCT((SCD_Data!$A$3:$A$502=B454)*(IFERROR(DATEVALUE(SCD_Data!$H$3:$H$502&amp;""),SCD_Data!$H$3:$H$502)&lt;=IFERROR(DATEVALUE(A454&amp;""),A454))*(IFERROR(DATEVALUE(SCD_Data!$I$3:$I$502&amp;""),SCD_Data!$I$3:$I$502)&gt;=IFERROR(DATEVALUE(A454&amp;""),A454))*(ROW(SCD_Data!$A$3:$A$502)-2))),"—"))</f>
        <v/>
      </c>
      <c r="K454" s="25" t="str">
        <f aca="false">IF(A454="","",IFERROR(INDEX(SCD_Data!$F$3:$F$502,SUMPRODUCT((SCD_Data!$A$3:$A$502=B454)*(IFERROR(DATEVALUE(SCD_Data!$H$3:$H$502&amp;""),SCD_Data!$H$3:$H$502)&lt;=IFERROR(DATEVALUE(A454&amp;""),A454))*(IFERROR(DATEVALUE(SCD_Data!$I$3:$I$502&amp;""),SCD_Data!$I$3:$I$502)&gt;=IFERROR(DATEVALUE(A454&amp;""),A454))*(ROW(SCD_Data!$A$3:$A$502)-2))),"—"))</f>
        <v/>
      </c>
      <c r="L454" s="25" t="str">
        <f aca="false">IF(A454="","",IFERROR(INDEX(SCD_Data!$G$3:$G$502,SUMPRODUCT((SCD_Data!$A$3:$A$502=B454)*(IFERROR(DATEVALUE(SCD_Data!$H$3:$H$502&amp;""),SCD_Data!$H$3:$H$502)&lt;=IFERROR(DATEVALUE(A454&amp;""),A454))*(IFERROR(DATEVALUE(SCD_Data!$I$3:$I$502&amp;""),SCD_Data!$I$3:$I$502)&gt;=IFERROR(DATEVALUE(A454&amp;""),A454))*(ROW(SCD_Data!$A$3:$A$502)-2))),"—"))</f>
        <v/>
      </c>
      <c r="M454" s="27" t="str">
        <f aca="false">IF(A454="","",IF(H454="—","—",IF(C454&amp;""=H454&amp;"","✓","✗")))</f>
        <v/>
      </c>
      <c r="N454" s="27" t="str">
        <f aca="false">IF(A454="","",IF(H454="—","—",IF(D454&amp;""=I454&amp;"","✓","✗")))</f>
        <v/>
      </c>
      <c r="O454" s="27" t="str">
        <f aca="false">IF(A454="","",IF(H454="—","—",IF(ABS(E454-J454)&lt;0.01,"✓","✗")))</f>
        <v/>
      </c>
      <c r="P454" s="27" t="str">
        <f aca="false">IF(A454="","",IF(H454="—","—",IF(F454&amp;""=K454&amp;"","✓","✗")))</f>
        <v/>
      </c>
      <c r="Q454" s="27" t="str">
        <f aca="false">IF(A454="","",IF(H454="—","—",IF(G454&amp;""=L454&amp;"","✓","✗")))</f>
        <v/>
      </c>
      <c r="R454" s="27" t="str">
        <f aca="false">IF(A454="","",IF(COUNTIF(M454:Q454,"—")=5,"⚠ NO SCD ROW",IF(COUNTIF(M454:Q454,"✗")&gt;0,"❌ MISMATCH","✅ MATCH")))</f>
        <v/>
      </c>
    </row>
    <row r="455" customFormat="false" ht="15" hidden="false" customHeight="true" outlineLevel="0" collapsed="false">
      <c r="A455" s="22" t="str">
        <f aca="false">IF(Daily_Data!A454="","",Daily_Data!A454)</f>
        <v/>
      </c>
      <c r="B455" s="23" t="str">
        <f aca="false">IF(Daily_Data!B454="","",Daily_Data!B454)</f>
        <v/>
      </c>
      <c r="C455" s="23" t="str">
        <f aca="false">IF(A455="","",Daily_Data!C454)</f>
        <v/>
      </c>
      <c r="D455" s="23" t="str">
        <f aca="false">IF(A455="","",Daily_Data!D454)</f>
        <v/>
      </c>
      <c r="E455" s="24" t="str">
        <f aca="false">IF(A455="","",Daily_Data!E454)</f>
        <v/>
      </c>
      <c r="F455" s="23" t="str">
        <f aca="false">IF(A455="","",Daily_Data!F454)</f>
        <v/>
      </c>
      <c r="G455" s="23" t="str">
        <f aca="false">IF(A455="","",Daily_Data!G454)</f>
        <v/>
      </c>
      <c r="H455" s="25" t="str">
        <f aca="false">IF(A455="","",IFERROR(INDEX(SCD_Data!$C$3:$C$502,SUMPRODUCT((SCD_Data!$A$3:$A$502=B455)*(IFERROR(DATEVALUE(SCD_Data!$H$3:$H$502&amp;""),SCD_Data!$H$3:$H$502)&lt;=IFERROR(DATEVALUE(A455&amp;""),A455))*(IFERROR(DATEVALUE(SCD_Data!$I$3:$I$502&amp;""),SCD_Data!$I$3:$I$502)&gt;=IFERROR(DATEVALUE(A455&amp;""),A455))*(ROW(SCD_Data!$A$3:$A$502)-2))),"—"))</f>
        <v/>
      </c>
      <c r="I455" s="25" t="str">
        <f aca="false">IF(A455="","",IFERROR(INDEX(SCD_Data!$D$3:$D$502,SUMPRODUCT((SCD_Data!$A$3:$A$502=B455)*(IFERROR(DATEVALUE(SCD_Data!$H$3:$H$502&amp;""),SCD_Data!$H$3:$H$502)&lt;=IFERROR(DATEVALUE(A455&amp;""),A455))*(IFERROR(DATEVALUE(SCD_Data!$I$3:$I$502&amp;""),SCD_Data!$I$3:$I$502)&gt;=IFERROR(DATEVALUE(A455&amp;""),A455))*(ROW(SCD_Data!$A$3:$A$502)-2))),"—"))</f>
        <v/>
      </c>
      <c r="J455" s="26" t="str">
        <f aca="false">IF(A455="","",IFERROR(INDEX(SCD_Data!$E$3:$E$502,SUMPRODUCT((SCD_Data!$A$3:$A$502=B455)*(IFERROR(DATEVALUE(SCD_Data!$H$3:$H$502&amp;""),SCD_Data!$H$3:$H$502)&lt;=IFERROR(DATEVALUE(A455&amp;""),A455))*(IFERROR(DATEVALUE(SCD_Data!$I$3:$I$502&amp;""),SCD_Data!$I$3:$I$502)&gt;=IFERROR(DATEVALUE(A455&amp;""),A455))*(ROW(SCD_Data!$A$3:$A$502)-2))),"—"))</f>
        <v/>
      </c>
      <c r="K455" s="25" t="str">
        <f aca="false">IF(A455="","",IFERROR(INDEX(SCD_Data!$F$3:$F$502,SUMPRODUCT((SCD_Data!$A$3:$A$502=B455)*(IFERROR(DATEVALUE(SCD_Data!$H$3:$H$502&amp;""),SCD_Data!$H$3:$H$502)&lt;=IFERROR(DATEVALUE(A455&amp;""),A455))*(IFERROR(DATEVALUE(SCD_Data!$I$3:$I$502&amp;""),SCD_Data!$I$3:$I$502)&gt;=IFERROR(DATEVALUE(A455&amp;""),A455))*(ROW(SCD_Data!$A$3:$A$502)-2))),"—"))</f>
        <v/>
      </c>
      <c r="L455" s="25" t="str">
        <f aca="false">IF(A455="","",IFERROR(INDEX(SCD_Data!$G$3:$G$502,SUMPRODUCT((SCD_Data!$A$3:$A$502=B455)*(IFERROR(DATEVALUE(SCD_Data!$H$3:$H$502&amp;""),SCD_Data!$H$3:$H$502)&lt;=IFERROR(DATEVALUE(A455&amp;""),A455))*(IFERROR(DATEVALUE(SCD_Data!$I$3:$I$502&amp;""),SCD_Data!$I$3:$I$502)&gt;=IFERROR(DATEVALUE(A455&amp;""),A455))*(ROW(SCD_Data!$A$3:$A$502)-2))),"—"))</f>
        <v/>
      </c>
      <c r="M455" s="27" t="str">
        <f aca="false">IF(A455="","",IF(H455="—","—",IF(C455&amp;""=H455&amp;"","✓","✗")))</f>
        <v/>
      </c>
      <c r="N455" s="27" t="str">
        <f aca="false">IF(A455="","",IF(H455="—","—",IF(D455&amp;""=I455&amp;"","✓","✗")))</f>
        <v/>
      </c>
      <c r="O455" s="27" t="str">
        <f aca="false">IF(A455="","",IF(H455="—","—",IF(ABS(E455-J455)&lt;0.01,"✓","✗")))</f>
        <v/>
      </c>
      <c r="P455" s="27" t="str">
        <f aca="false">IF(A455="","",IF(H455="—","—",IF(F455&amp;""=K455&amp;"","✓","✗")))</f>
        <v/>
      </c>
      <c r="Q455" s="27" t="str">
        <f aca="false">IF(A455="","",IF(H455="—","—",IF(G455&amp;""=L455&amp;"","✓","✗")))</f>
        <v/>
      </c>
      <c r="R455" s="27" t="str">
        <f aca="false">IF(A455="","",IF(COUNTIF(M455:Q455,"—")=5,"⚠ NO SCD ROW",IF(COUNTIF(M455:Q455,"✗")&gt;0,"❌ MISMATCH","✅ MATCH")))</f>
        <v/>
      </c>
    </row>
    <row r="456" customFormat="false" ht="15" hidden="false" customHeight="true" outlineLevel="0" collapsed="false">
      <c r="A456" s="22" t="str">
        <f aca="false">IF(Daily_Data!A455="","",Daily_Data!A455)</f>
        <v/>
      </c>
      <c r="B456" s="23" t="str">
        <f aca="false">IF(Daily_Data!B455="","",Daily_Data!B455)</f>
        <v/>
      </c>
      <c r="C456" s="23" t="str">
        <f aca="false">IF(A456="","",Daily_Data!C455)</f>
        <v/>
      </c>
      <c r="D456" s="23" t="str">
        <f aca="false">IF(A456="","",Daily_Data!D455)</f>
        <v/>
      </c>
      <c r="E456" s="24" t="str">
        <f aca="false">IF(A456="","",Daily_Data!E455)</f>
        <v/>
      </c>
      <c r="F456" s="23" t="str">
        <f aca="false">IF(A456="","",Daily_Data!F455)</f>
        <v/>
      </c>
      <c r="G456" s="23" t="str">
        <f aca="false">IF(A456="","",Daily_Data!G455)</f>
        <v/>
      </c>
      <c r="H456" s="25" t="str">
        <f aca="false">IF(A456="","",IFERROR(INDEX(SCD_Data!$C$3:$C$502,SUMPRODUCT((SCD_Data!$A$3:$A$502=B456)*(IFERROR(DATEVALUE(SCD_Data!$H$3:$H$502&amp;""),SCD_Data!$H$3:$H$502)&lt;=IFERROR(DATEVALUE(A456&amp;""),A456))*(IFERROR(DATEVALUE(SCD_Data!$I$3:$I$502&amp;""),SCD_Data!$I$3:$I$502)&gt;=IFERROR(DATEVALUE(A456&amp;""),A456))*(ROW(SCD_Data!$A$3:$A$502)-2))),"—"))</f>
        <v/>
      </c>
      <c r="I456" s="25" t="str">
        <f aca="false">IF(A456="","",IFERROR(INDEX(SCD_Data!$D$3:$D$502,SUMPRODUCT((SCD_Data!$A$3:$A$502=B456)*(IFERROR(DATEVALUE(SCD_Data!$H$3:$H$502&amp;""),SCD_Data!$H$3:$H$502)&lt;=IFERROR(DATEVALUE(A456&amp;""),A456))*(IFERROR(DATEVALUE(SCD_Data!$I$3:$I$502&amp;""),SCD_Data!$I$3:$I$502)&gt;=IFERROR(DATEVALUE(A456&amp;""),A456))*(ROW(SCD_Data!$A$3:$A$502)-2))),"—"))</f>
        <v/>
      </c>
      <c r="J456" s="26" t="str">
        <f aca="false">IF(A456="","",IFERROR(INDEX(SCD_Data!$E$3:$E$502,SUMPRODUCT((SCD_Data!$A$3:$A$502=B456)*(IFERROR(DATEVALUE(SCD_Data!$H$3:$H$502&amp;""),SCD_Data!$H$3:$H$502)&lt;=IFERROR(DATEVALUE(A456&amp;""),A456))*(IFERROR(DATEVALUE(SCD_Data!$I$3:$I$502&amp;""),SCD_Data!$I$3:$I$502)&gt;=IFERROR(DATEVALUE(A456&amp;""),A456))*(ROW(SCD_Data!$A$3:$A$502)-2))),"—"))</f>
        <v/>
      </c>
      <c r="K456" s="25" t="str">
        <f aca="false">IF(A456="","",IFERROR(INDEX(SCD_Data!$F$3:$F$502,SUMPRODUCT((SCD_Data!$A$3:$A$502=B456)*(IFERROR(DATEVALUE(SCD_Data!$H$3:$H$502&amp;""),SCD_Data!$H$3:$H$502)&lt;=IFERROR(DATEVALUE(A456&amp;""),A456))*(IFERROR(DATEVALUE(SCD_Data!$I$3:$I$502&amp;""),SCD_Data!$I$3:$I$502)&gt;=IFERROR(DATEVALUE(A456&amp;""),A456))*(ROW(SCD_Data!$A$3:$A$502)-2))),"—"))</f>
        <v/>
      </c>
      <c r="L456" s="25" t="str">
        <f aca="false">IF(A456="","",IFERROR(INDEX(SCD_Data!$G$3:$G$502,SUMPRODUCT((SCD_Data!$A$3:$A$502=B456)*(IFERROR(DATEVALUE(SCD_Data!$H$3:$H$502&amp;""),SCD_Data!$H$3:$H$502)&lt;=IFERROR(DATEVALUE(A456&amp;""),A456))*(IFERROR(DATEVALUE(SCD_Data!$I$3:$I$502&amp;""),SCD_Data!$I$3:$I$502)&gt;=IFERROR(DATEVALUE(A456&amp;""),A456))*(ROW(SCD_Data!$A$3:$A$502)-2))),"—"))</f>
        <v/>
      </c>
      <c r="M456" s="27" t="str">
        <f aca="false">IF(A456="","",IF(H456="—","—",IF(C456&amp;""=H456&amp;"","✓","✗")))</f>
        <v/>
      </c>
      <c r="N456" s="27" t="str">
        <f aca="false">IF(A456="","",IF(H456="—","—",IF(D456&amp;""=I456&amp;"","✓","✗")))</f>
        <v/>
      </c>
      <c r="O456" s="27" t="str">
        <f aca="false">IF(A456="","",IF(H456="—","—",IF(ABS(E456-J456)&lt;0.01,"✓","✗")))</f>
        <v/>
      </c>
      <c r="P456" s="27" t="str">
        <f aca="false">IF(A456="","",IF(H456="—","—",IF(F456&amp;""=K456&amp;"","✓","✗")))</f>
        <v/>
      </c>
      <c r="Q456" s="27" t="str">
        <f aca="false">IF(A456="","",IF(H456="—","—",IF(G456&amp;""=L456&amp;"","✓","✗")))</f>
        <v/>
      </c>
      <c r="R456" s="27" t="str">
        <f aca="false">IF(A456="","",IF(COUNTIF(M456:Q456,"—")=5,"⚠ NO SCD ROW",IF(COUNTIF(M456:Q456,"✗")&gt;0,"❌ MISMATCH","✅ MATCH")))</f>
        <v/>
      </c>
    </row>
    <row r="457" customFormat="false" ht="15" hidden="false" customHeight="true" outlineLevel="0" collapsed="false">
      <c r="A457" s="22" t="str">
        <f aca="false">IF(Daily_Data!A456="","",Daily_Data!A456)</f>
        <v/>
      </c>
      <c r="B457" s="23" t="str">
        <f aca="false">IF(Daily_Data!B456="","",Daily_Data!B456)</f>
        <v/>
      </c>
      <c r="C457" s="23" t="str">
        <f aca="false">IF(A457="","",Daily_Data!C456)</f>
        <v/>
      </c>
      <c r="D457" s="23" t="str">
        <f aca="false">IF(A457="","",Daily_Data!D456)</f>
        <v/>
      </c>
      <c r="E457" s="24" t="str">
        <f aca="false">IF(A457="","",Daily_Data!E456)</f>
        <v/>
      </c>
      <c r="F457" s="23" t="str">
        <f aca="false">IF(A457="","",Daily_Data!F456)</f>
        <v/>
      </c>
      <c r="G457" s="23" t="str">
        <f aca="false">IF(A457="","",Daily_Data!G456)</f>
        <v/>
      </c>
      <c r="H457" s="25" t="str">
        <f aca="false">IF(A457="","",IFERROR(INDEX(SCD_Data!$C$3:$C$502,SUMPRODUCT((SCD_Data!$A$3:$A$502=B457)*(IFERROR(DATEVALUE(SCD_Data!$H$3:$H$502&amp;""),SCD_Data!$H$3:$H$502)&lt;=IFERROR(DATEVALUE(A457&amp;""),A457))*(IFERROR(DATEVALUE(SCD_Data!$I$3:$I$502&amp;""),SCD_Data!$I$3:$I$502)&gt;=IFERROR(DATEVALUE(A457&amp;""),A457))*(ROW(SCD_Data!$A$3:$A$502)-2))),"—"))</f>
        <v/>
      </c>
      <c r="I457" s="25" t="str">
        <f aca="false">IF(A457="","",IFERROR(INDEX(SCD_Data!$D$3:$D$502,SUMPRODUCT((SCD_Data!$A$3:$A$502=B457)*(IFERROR(DATEVALUE(SCD_Data!$H$3:$H$502&amp;""),SCD_Data!$H$3:$H$502)&lt;=IFERROR(DATEVALUE(A457&amp;""),A457))*(IFERROR(DATEVALUE(SCD_Data!$I$3:$I$502&amp;""),SCD_Data!$I$3:$I$502)&gt;=IFERROR(DATEVALUE(A457&amp;""),A457))*(ROW(SCD_Data!$A$3:$A$502)-2))),"—"))</f>
        <v/>
      </c>
      <c r="J457" s="26" t="str">
        <f aca="false">IF(A457="","",IFERROR(INDEX(SCD_Data!$E$3:$E$502,SUMPRODUCT((SCD_Data!$A$3:$A$502=B457)*(IFERROR(DATEVALUE(SCD_Data!$H$3:$H$502&amp;""),SCD_Data!$H$3:$H$502)&lt;=IFERROR(DATEVALUE(A457&amp;""),A457))*(IFERROR(DATEVALUE(SCD_Data!$I$3:$I$502&amp;""),SCD_Data!$I$3:$I$502)&gt;=IFERROR(DATEVALUE(A457&amp;""),A457))*(ROW(SCD_Data!$A$3:$A$502)-2))),"—"))</f>
        <v/>
      </c>
      <c r="K457" s="25" t="str">
        <f aca="false">IF(A457="","",IFERROR(INDEX(SCD_Data!$F$3:$F$502,SUMPRODUCT((SCD_Data!$A$3:$A$502=B457)*(IFERROR(DATEVALUE(SCD_Data!$H$3:$H$502&amp;""),SCD_Data!$H$3:$H$502)&lt;=IFERROR(DATEVALUE(A457&amp;""),A457))*(IFERROR(DATEVALUE(SCD_Data!$I$3:$I$502&amp;""),SCD_Data!$I$3:$I$502)&gt;=IFERROR(DATEVALUE(A457&amp;""),A457))*(ROW(SCD_Data!$A$3:$A$502)-2))),"—"))</f>
        <v/>
      </c>
      <c r="L457" s="25" t="str">
        <f aca="false">IF(A457="","",IFERROR(INDEX(SCD_Data!$G$3:$G$502,SUMPRODUCT((SCD_Data!$A$3:$A$502=B457)*(IFERROR(DATEVALUE(SCD_Data!$H$3:$H$502&amp;""),SCD_Data!$H$3:$H$502)&lt;=IFERROR(DATEVALUE(A457&amp;""),A457))*(IFERROR(DATEVALUE(SCD_Data!$I$3:$I$502&amp;""),SCD_Data!$I$3:$I$502)&gt;=IFERROR(DATEVALUE(A457&amp;""),A457))*(ROW(SCD_Data!$A$3:$A$502)-2))),"—"))</f>
        <v/>
      </c>
      <c r="M457" s="27" t="str">
        <f aca="false">IF(A457="","",IF(H457="—","—",IF(C457&amp;""=H457&amp;"","✓","✗")))</f>
        <v/>
      </c>
      <c r="N457" s="27" t="str">
        <f aca="false">IF(A457="","",IF(H457="—","—",IF(D457&amp;""=I457&amp;"","✓","✗")))</f>
        <v/>
      </c>
      <c r="O457" s="27" t="str">
        <f aca="false">IF(A457="","",IF(H457="—","—",IF(ABS(E457-J457)&lt;0.01,"✓","✗")))</f>
        <v/>
      </c>
      <c r="P457" s="27" t="str">
        <f aca="false">IF(A457="","",IF(H457="—","—",IF(F457&amp;""=K457&amp;"","✓","✗")))</f>
        <v/>
      </c>
      <c r="Q457" s="27" t="str">
        <f aca="false">IF(A457="","",IF(H457="—","—",IF(G457&amp;""=L457&amp;"","✓","✗")))</f>
        <v/>
      </c>
      <c r="R457" s="27" t="str">
        <f aca="false">IF(A457="","",IF(COUNTIF(M457:Q457,"—")=5,"⚠ NO SCD ROW",IF(COUNTIF(M457:Q457,"✗")&gt;0,"❌ MISMATCH","✅ MATCH")))</f>
        <v/>
      </c>
    </row>
    <row r="458" customFormat="false" ht="15" hidden="false" customHeight="true" outlineLevel="0" collapsed="false">
      <c r="A458" s="22" t="str">
        <f aca="false">IF(Daily_Data!A457="","",Daily_Data!A457)</f>
        <v/>
      </c>
      <c r="B458" s="23" t="str">
        <f aca="false">IF(Daily_Data!B457="","",Daily_Data!B457)</f>
        <v/>
      </c>
      <c r="C458" s="23" t="str">
        <f aca="false">IF(A458="","",Daily_Data!C457)</f>
        <v/>
      </c>
      <c r="D458" s="23" t="str">
        <f aca="false">IF(A458="","",Daily_Data!D457)</f>
        <v/>
      </c>
      <c r="E458" s="24" t="str">
        <f aca="false">IF(A458="","",Daily_Data!E457)</f>
        <v/>
      </c>
      <c r="F458" s="23" t="str">
        <f aca="false">IF(A458="","",Daily_Data!F457)</f>
        <v/>
      </c>
      <c r="G458" s="23" t="str">
        <f aca="false">IF(A458="","",Daily_Data!G457)</f>
        <v/>
      </c>
      <c r="H458" s="25" t="str">
        <f aca="false">IF(A458="","",IFERROR(INDEX(SCD_Data!$C$3:$C$502,SUMPRODUCT((SCD_Data!$A$3:$A$502=B458)*(IFERROR(DATEVALUE(SCD_Data!$H$3:$H$502&amp;""),SCD_Data!$H$3:$H$502)&lt;=IFERROR(DATEVALUE(A458&amp;""),A458))*(IFERROR(DATEVALUE(SCD_Data!$I$3:$I$502&amp;""),SCD_Data!$I$3:$I$502)&gt;=IFERROR(DATEVALUE(A458&amp;""),A458))*(ROW(SCD_Data!$A$3:$A$502)-2))),"—"))</f>
        <v/>
      </c>
      <c r="I458" s="25" t="str">
        <f aca="false">IF(A458="","",IFERROR(INDEX(SCD_Data!$D$3:$D$502,SUMPRODUCT((SCD_Data!$A$3:$A$502=B458)*(IFERROR(DATEVALUE(SCD_Data!$H$3:$H$502&amp;""),SCD_Data!$H$3:$H$502)&lt;=IFERROR(DATEVALUE(A458&amp;""),A458))*(IFERROR(DATEVALUE(SCD_Data!$I$3:$I$502&amp;""),SCD_Data!$I$3:$I$502)&gt;=IFERROR(DATEVALUE(A458&amp;""),A458))*(ROW(SCD_Data!$A$3:$A$502)-2))),"—"))</f>
        <v/>
      </c>
      <c r="J458" s="26" t="str">
        <f aca="false">IF(A458="","",IFERROR(INDEX(SCD_Data!$E$3:$E$502,SUMPRODUCT((SCD_Data!$A$3:$A$502=B458)*(IFERROR(DATEVALUE(SCD_Data!$H$3:$H$502&amp;""),SCD_Data!$H$3:$H$502)&lt;=IFERROR(DATEVALUE(A458&amp;""),A458))*(IFERROR(DATEVALUE(SCD_Data!$I$3:$I$502&amp;""),SCD_Data!$I$3:$I$502)&gt;=IFERROR(DATEVALUE(A458&amp;""),A458))*(ROW(SCD_Data!$A$3:$A$502)-2))),"—"))</f>
        <v/>
      </c>
      <c r="K458" s="25" t="str">
        <f aca="false">IF(A458="","",IFERROR(INDEX(SCD_Data!$F$3:$F$502,SUMPRODUCT((SCD_Data!$A$3:$A$502=B458)*(IFERROR(DATEVALUE(SCD_Data!$H$3:$H$502&amp;""),SCD_Data!$H$3:$H$502)&lt;=IFERROR(DATEVALUE(A458&amp;""),A458))*(IFERROR(DATEVALUE(SCD_Data!$I$3:$I$502&amp;""),SCD_Data!$I$3:$I$502)&gt;=IFERROR(DATEVALUE(A458&amp;""),A458))*(ROW(SCD_Data!$A$3:$A$502)-2))),"—"))</f>
        <v/>
      </c>
      <c r="L458" s="25" t="str">
        <f aca="false">IF(A458="","",IFERROR(INDEX(SCD_Data!$G$3:$G$502,SUMPRODUCT((SCD_Data!$A$3:$A$502=B458)*(IFERROR(DATEVALUE(SCD_Data!$H$3:$H$502&amp;""),SCD_Data!$H$3:$H$502)&lt;=IFERROR(DATEVALUE(A458&amp;""),A458))*(IFERROR(DATEVALUE(SCD_Data!$I$3:$I$502&amp;""),SCD_Data!$I$3:$I$502)&gt;=IFERROR(DATEVALUE(A458&amp;""),A458))*(ROW(SCD_Data!$A$3:$A$502)-2))),"—"))</f>
        <v/>
      </c>
      <c r="M458" s="27" t="str">
        <f aca="false">IF(A458="","",IF(H458="—","—",IF(C458&amp;""=H458&amp;"","✓","✗")))</f>
        <v/>
      </c>
      <c r="N458" s="27" t="str">
        <f aca="false">IF(A458="","",IF(H458="—","—",IF(D458&amp;""=I458&amp;"","✓","✗")))</f>
        <v/>
      </c>
      <c r="O458" s="27" t="str">
        <f aca="false">IF(A458="","",IF(H458="—","—",IF(ABS(E458-J458)&lt;0.01,"✓","✗")))</f>
        <v/>
      </c>
      <c r="P458" s="27" t="str">
        <f aca="false">IF(A458="","",IF(H458="—","—",IF(F458&amp;""=K458&amp;"","✓","✗")))</f>
        <v/>
      </c>
      <c r="Q458" s="27" t="str">
        <f aca="false">IF(A458="","",IF(H458="—","—",IF(G458&amp;""=L458&amp;"","✓","✗")))</f>
        <v/>
      </c>
      <c r="R458" s="27" t="str">
        <f aca="false">IF(A458="","",IF(COUNTIF(M458:Q458,"—")=5,"⚠ NO SCD ROW",IF(COUNTIF(M458:Q458,"✗")&gt;0,"❌ MISMATCH","✅ MATCH")))</f>
        <v/>
      </c>
    </row>
    <row r="459" customFormat="false" ht="15" hidden="false" customHeight="true" outlineLevel="0" collapsed="false">
      <c r="A459" s="22" t="str">
        <f aca="false">IF(Daily_Data!A458="","",Daily_Data!A458)</f>
        <v/>
      </c>
      <c r="B459" s="23" t="str">
        <f aca="false">IF(Daily_Data!B458="","",Daily_Data!B458)</f>
        <v/>
      </c>
      <c r="C459" s="23" t="str">
        <f aca="false">IF(A459="","",Daily_Data!C458)</f>
        <v/>
      </c>
      <c r="D459" s="23" t="str">
        <f aca="false">IF(A459="","",Daily_Data!D458)</f>
        <v/>
      </c>
      <c r="E459" s="24" t="str">
        <f aca="false">IF(A459="","",Daily_Data!E458)</f>
        <v/>
      </c>
      <c r="F459" s="23" t="str">
        <f aca="false">IF(A459="","",Daily_Data!F458)</f>
        <v/>
      </c>
      <c r="G459" s="23" t="str">
        <f aca="false">IF(A459="","",Daily_Data!G458)</f>
        <v/>
      </c>
      <c r="H459" s="25" t="str">
        <f aca="false">IF(A459="","",IFERROR(INDEX(SCD_Data!$C$3:$C$502,SUMPRODUCT((SCD_Data!$A$3:$A$502=B459)*(IFERROR(DATEVALUE(SCD_Data!$H$3:$H$502&amp;""),SCD_Data!$H$3:$H$502)&lt;=IFERROR(DATEVALUE(A459&amp;""),A459))*(IFERROR(DATEVALUE(SCD_Data!$I$3:$I$502&amp;""),SCD_Data!$I$3:$I$502)&gt;=IFERROR(DATEVALUE(A459&amp;""),A459))*(ROW(SCD_Data!$A$3:$A$502)-2))),"—"))</f>
        <v/>
      </c>
      <c r="I459" s="25" t="str">
        <f aca="false">IF(A459="","",IFERROR(INDEX(SCD_Data!$D$3:$D$502,SUMPRODUCT((SCD_Data!$A$3:$A$502=B459)*(IFERROR(DATEVALUE(SCD_Data!$H$3:$H$502&amp;""),SCD_Data!$H$3:$H$502)&lt;=IFERROR(DATEVALUE(A459&amp;""),A459))*(IFERROR(DATEVALUE(SCD_Data!$I$3:$I$502&amp;""),SCD_Data!$I$3:$I$502)&gt;=IFERROR(DATEVALUE(A459&amp;""),A459))*(ROW(SCD_Data!$A$3:$A$502)-2))),"—"))</f>
        <v/>
      </c>
      <c r="J459" s="26" t="str">
        <f aca="false">IF(A459="","",IFERROR(INDEX(SCD_Data!$E$3:$E$502,SUMPRODUCT((SCD_Data!$A$3:$A$502=B459)*(IFERROR(DATEVALUE(SCD_Data!$H$3:$H$502&amp;""),SCD_Data!$H$3:$H$502)&lt;=IFERROR(DATEVALUE(A459&amp;""),A459))*(IFERROR(DATEVALUE(SCD_Data!$I$3:$I$502&amp;""),SCD_Data!$I$3:$I$502)&gt;=IFERROR(DATEVALUE(A459&amp;""),A459))*(ROW(SCD_Data!$A$3:$A$502)-2))),"—"))</f>
        <v/>
      </c>
      <c r="K459" s="25" t="str">
        <f aca="false">IF(A459="","",IFERROR(INDEX(SCD_Data!$F$3:$F$502,SUMPRODUCT((SCD_Data!$A$3:$A$502=B459)*(IFERROR(DATEVALUE(SCD_Data!$H$3:$H$502&amp;""),SCD_Data!$H$3:$H$502)&lt;=IFERROR(DATEVALUE(A459&amp;""),A459))*(IFERROR(DATEVALUE(SCD_Data!$I$3:$I$502&amp;""),SCD_Data!$I$3:$I$502)&gt;=IFERROR(DATEVALUE(A459&amp;""),A459))*(ROW(SCD_Data!$A$3:$A$502)-2))),"—"))</f>
        <v/>
      </c>
      <c r="L459" s="25" t="str">
        <f aca="false">IF(A459="","",IFERROR(INDEX(SCD_Data!$G$3:$G$502,SUMPRODUCT((SCD_Data!$A$3:$A$502=B459)*(IFERROR(DATEVALUE(SCD_Data!$H$3:$H$502&amp;""),SCD_Data!$H$3:$H$502)&lt;=IFERROR(DATEVALUE(A459&amp;""),A459))*(IFERROR(DATEVALUE(SCD_Data!$I$3:$I$502&amp;""),SCD_Data!$I$3:$I$502)&gt;=IFERROR(DATEVALUE(A459&amp;""),A459))*(ROW(SCD_Data!$A$3:$A$502)-2))),"—"))</f>
        <v/>
      </c>
      <c r="M459" s="27" t="str">
        <f aca="false">IF(A459="","",IF(H459="—","—",IF(C459&amp;""=H459&amp;"","✓","✗")))</f>
        <v/>
      </c>
      <c r="N459" s="27" t="str">
        <f aca="false">IF(A459="","",IF(H459="—","—",IF(D459&amp;""=I459&amp;"","✓","✗")))</f>
        <v/>
      </c>
      <c r="O459" s="27" t="str">
        <f aca="false">IF(A459="","",IF(H459="—","—",IF(ABS(E459-J459)&lt;0.01,"✓","✗")))</f>
        <v/>
      </c>
      <c r="P459" s="27" t="str">
        <f aca="false">IF(A459="","",IF(H459="—","—",IF(F459&amp;""=K459&amp;"","✓","✗")))</f>
        <v/>
      </c>
      <c r="Q459" s="27" t="str">
        <f aca="false">IF(A459="","",IF(H459="—","—",IF(G459&amp;""=L459&amp;"","✓","✗")))</f>
        <v/>
      </c>
      <c r="R459" s="27" t="str">
        <f aca="false">IF(A459="","",IF(COUNTIF(M459:Q459,"—")=5,"⚠ NO SCD ROW",IF(COUNTIF(M459:Q459,"✗")&gt;0,"❌ MISMATCH","✅ MATCH")))</f>
        <v/>
      </c>
    </row>
    <row r="460" customFormat="false" ht="15" hidden="false" customHeight="true" outlineLevel="0" collapsed="false">
      <c r="A460" s="22" t="str">
        <f aca="false">IF(Daily_Data!A459="","",Daily_Data!A459)</f>
        <v/>
      </c>
      <c r="B460" s="23" t="str">
        <f aca="false">IF(Daily_Data!B459="","",Daily_Data!B459)</f>
        <v/>
      </c>
      <c r="C460" s="23" t="str">
        <f aca="false">IF(A460="","",Daily_Data!C459)</f>
        <v/>
      </c>
      <c r="D460" s="23" t="str">
        <f aca="false">IF(A460="","",Daily_Data!D459)</f>
        <v/>
      </c>
      <c r="E460" s="24" t="str">
        <f aca="false">IF(A460="","",Daily_Data!E459)</f>
        <v/>
      </c>
      <c r="F460" s="23" t="str">
        <f aca="false">IF(A460="","",Daily_Data!F459)</f>
        <v/>
      </c>
      <c r="G460" s="23" t="str">
        <f aca="false">IF(A460="","",Daily_Data!G459)</f>
        <v/>
      </c>
      <c r="H460" s="25" t="str">
        <f aca="false">IF(A460="","",IFERROR(INDEX(SCD_Data!$C$3:$C$502,SUMPRODUCT((SCD_Data!$A$3:$A$502=B460)*(IFERROR(DATEVALUE(SCD_Data!$H$3:$H$502&amp;""),SCD_Data!$H$3:$H$502)&lt;=IFERROR(DATEVALUE(A460&amp;""),A460))*(IFERROR(DATEVALUE(SCD_Data!$I$3:$I$502&amp;""),SCD_Data!$I$3:$I$502)&gt;=IFERROR(DATEVALUE(A460&amp;""),A460))*(ROW(SCD_Data!$A$3:$A$502)-2))),"—"))</f>
        <v/>
      </c>
      <c r="I460" s="25" t="str">
        <f aca="false">IF(A460="","",IFERROR(INDEX(SCD_Data!$D$3:$D$502,SUMPRODUCT((SCD_Data!$A$3:$A$502=B460)*(IFERROR(DATEVALUE(SCD_Data!$H$3:$H$502&amp;""),SCD_Data!$H$3:$H$502)&lt;=IFERROR(DATEVALUE(A460&amp;""),A460))*(IFERROR(DATEVALUE(SCD_Data!$I$3:$I$502&amp;""),SCD_Data!$I$3:$I$502)&gt;=IFERROR(DATEVALUE(A460&amp;""),A460))*(ROW(SCD_Data!$A$3:$A$502)-2))),"—"))</f>
        <v/>
      </c>
      <c r="J460" s="26" t="str">
        <f aca="false">IF(A460="","",IFERROR(INDEX(SCD_Data!$E$3:$E$502,SUMPRODUCT((SCD_Data!$A$3:$A$502=B460)*(IFERROR(DATEVALUE(SCD_Data!$H$3:$H$502&amp;""),SCD_Data!$H$3:$H$502)&lt;=IFERROR(DATEVALUE(A460&amp;""),A460))*(IFERROR(DATEVALUE(SCD_Data!$I$3:$I$502&amp;""),SCD_Data!$I$3:$I$502)&gt;=IFERROR(DATEVALUE(A460&amp;""),A460))*(ROW(SCD_Data!$A$3:$A$502)-2))),"—"))</f>
        <v/>
      </c>
      <c r="K460" s="25" t="str">
        <f aca="false">IF(A460="","",IFERROR(INDEX(SCD_Data!$F$3:$F$502,SUMPRODUCT((SCD_Data!$A$3:$A$502=B460)*(IFERROR(DATEVALUE(SCD_Data!$H$3:$H$502&amp;""),SCD_Data!$H$3:$H$502)&lt;=IFERROR(DATEVALUE(A460&amp;""),A460))*(IFERROR(DATEVALUE(SCD_Data!$I$3:$I$502&amp;""),SCD_Data!$I$3:$I$502)&gt;=IFERROR(DATEVALUE(A460&amp;""),A460))*(ROW(SCD_Data!$A$3:$A$502)-2))),"—"))</f>
        <v/>
      </c>
      <c r="L460" s="25" t="str">
        <f aca="false">IF(A460="","",IFERROR(INDEX(SCD_Data!$G$3:$G$502,SUMPRODUCT((SCD_Data!$A$3:$A$502=B460)*(IFERROR(DATEVALUE(SCD_Data!$H$3:$H$502&amp;""),SCD_Data!$H$3:$H$502)&lt;=IFERROR(DATEVALUE(A460&amp;""),A460))*(IFERROR(DATEVALUE(SCD_Data!$I$3:$I$502&amp;""),SCD_Data!$I$3:$I$502)&gt;=IFERROR(DATEVALUE(A460&amp;""),A460))*(ROW(SCD_Data!$A$3:$A$502)-2))),"—"))</f>
        <v/>
      </c>
      <c r="M460" s="27" t="str">
        <f aca="false">IF(A460="","",IF(H460="—","—",IF(C460&amp;""=H460&amp;"","✓","✗")))</f>
        <v/>
      </c>
      <c r="N460" s="27" t="str">
        <f aca="false">IF(A460="","",IF(H460="—","—",IF(D460&amp;""=I460&amp;"","✓","✗")))</f>
        <v/>
      </c>
      <c r="O460" s="27" t="str">
        <f aca="false">IF(A460="","",IF(H460="—","—",IF(ABS(E460-J460)&lt;0.01,"✓","✗")))</f>
        <v/>
      </c>
      <c r="P460" s="27" t="str">
        <f aca="false">IF(A460="","",IF(H460="—","—",IF(F460&amp;""=K460&amp;"","✓","✗")))</f>
        <v/>
      </c>
      <c r="Q460" s="27" t="str">
        <f aca="false">IF(A460="","",IF(H460="—","—",IF(G460&amp;""=L460&amp;"","✓","✗")))</f>
        <v/>
      </c>
      <c r="R460" s="27" t="str">
        <f aca="false">IF(A460="","",IF(COUNTIF(M460:Q460,"—")=5,"⚠ NO SCD ROW",IF(COUNTIF(M460:Q460,"✗")&gt;0,"❌ MISMATCH","✅ MATCH")))</f>
        <v/>
      </c>
    </row>
    <row r="461" customFormat="false" ht="15" hidden="false" customHeight="true" outlineLevel="0" collapsed="false">
      <c r="A461" s="22" t="str">
        <f aca="false">IF(Daily_Data!A460="","",Daily_Data!A460)</f>
        <v/>
      </c>
      <c r="B461" s="23" t="str">
        <f aca="false">IF(Daily_Data!B460="","",Daily_Data!B460)</f>
        <v/>
      </c>
      <c r="C461" s="23" t="str">
        <f aca="false">IF(A461="","",Daily_Data!C460)</f>
        <v/>
      </c>
      <c r="D461" s="23" t="str">
        <f aca="false">IF(A461="","",Daily_Data!D460)</f>
        <v/>
      </c>
      <c r="E461" s="24" t="str">
        <f aca="false">IF(A461="","",Daily_Data!E460)</f>
        <v/>
      </c>
      <c r="F461" s="23" t="str">
        <f aca="false">IF(A461="","",Daily_Data!F460)</f>
        <v/>
      </c>
      <c r="G461" s="23" t="str">
        <f aca="false">IF(A461="","",Daily_Data!G460)</f>
        <v/>
      </c>
      <c r="H461" s="25" t="str">
        <f aca="false">IF(A461="","",IFERROR(INDEX(SCD_Data!$C$3:$C$502,SUMPRODUCT((SCD_Data!$A$3:$A$502=B461)*(IFERROR(DATEVALUE(SCD_Data!$H$3:$H$502&amp;""),SCD_Data!$H$3:$H$502)&lt;=IFERROR(DATEVALUE(A461&amp;""),A461))*(IFERROR(DATEVALUE(SCD_Data!$I$3:$I$502&amp;""),SCD_Data!$I$3:$I$502)&gt;=IFERROR(DATEVALUE(A461&amp;""),A461))*(ROW(SCD_Data!$A$3:$A$502)-2))),"—"))</f>
        <v/>
      </c>
      <c r="I461" s="25" t="str">
        <f aca="false">IF(A461="","",IFERROR(INDEX(SCD_Data!$D$3:$D$502,SUMPRODUCT((SCD_Data!$A$3:$A$502=B461)*(IFERROR(DATEVALUE(SCD_Data!$H$3:$H$502&amp;""),SCD_Data!$H$3:$H$502)&lt;=IFERROR(DATEVALUE(A461&amp;""),A461))*(IFERROR(DATEVALUE(SCD_Data!$I$3:$I$502&amp;""),SCD_Data!$I$3:$I$502)&gt;=IFERROR(DATEVALUE(A461&amp;""),A461))*(ROW(SCD_Data!$A$3:$A$502)-2))),"—"))</f>
        <v/>
      </c>
      <c r="J461" s="26" t="str">
        <f aca="false">IF(A461="","",IFERROR(INDEX(SCD_Data!$E$3:$E$502,SUMPRODUCT((SCD_Data!$A$3:$A$502=B461)*(IFERROR(DATEVALUE(SCD_Data!$H$3:$H$502&amp;""),SCD_Data!$H$3:$H$502)&lt;=IFERROR(DATEVALUE(A461&amp;""),A461))*(IFERROR(DATEVALUE(SCD_Data!$I$3:$I$502&amp;""),SCD_Data!$I$3:$I$502)&gt;=IFERROR(DATEVALUE(A461&amp;""),A461))*(ROW(SCD_Data!$A$3:$A$502)-2))),"—"))</f>
        <v/>
      </c>
      <c r="K461" s="25" t="str">
        <f aca="false">IF(A461="","",IFERROR(INDEX(SCD_Data!$F$3:$F$502,SUMPRODUCT((SCD_Data!$A$3:$A$502=B461)*(IFERROR(DATEVALUE(SCD_Data!$H$3:$H$502&amp;""),SCD_Data!$H$3:$H$502)&lt;=IFERROR(DATEVALUE(A461&amp;""),A461))*(IFERROR(DATEVALUE(SCD_Data!$I$3:$I$502&amp;""),SCD_Data!$I$3:$I$502)&gt;=IFERROR(DATEVALUE(A461&amp;""),A461))*(ROW(SCD_Data!$A$3:$A$502)-2))),"—"))</f>
        <v/>
      </c>
      <c r="L461" s="25" t="str">
        <f aca="false">IF(A461="","",IFERROR(INDEX(SCD_Data!$G$3:$G$502,SUMPRODUCT((SCD_Data!$A$3:$A$502=B461)*(IFERROR(DATEVALUE(SCD_Data!$H$3:$H$502&amp;""),SCD_Data!$H$3:$H$502)&lt;=IFERROR(DATEVALUE(A461&amp;""),A461))*(IFERROR(DATEVALUE(SCD_Data!$I$3:$I$502&amp;""),SCD_Data!$I$3:$I$502)&gt;=IFERROR(DATEVALUE(A461&amp;""),A461))*(ROW(SCD_Data!$A$3:$A$502)-2))),"—"))</f>
        <v/>
      </c>
      <c r="M461" s="27" t="str">
        <f aca="false">IF(A461="","",IF(H461="—","—",IF(C461&amp;""=H461&amp;"","✓","✗")))</f>
        <v/>
      </c>
      <c r="N461" s="27" t="str">
        <f aca="false">IF(A461="","",IF(H461="—","—",IF(D461&amp;""=I461&amp;"","✓","✗")))</f>
        <v/>
      </c>
      <c r="O461" s="27" t="str">
        <f aca="false">IF(A461="","",IF(H461="—","—",IF(ABS(E461-J461)&lt;0.01,"✓","✗")))</f>
        <v/>
      </c>
      <c r="P461" s="27" t="str">
        <f aca="false">IF(A461="","",IF(H461="—","—",IF(F461&amp;""=K461&amp;"","✓","✗")))</f>
        <v/>
      </c>
      <c r="Q461" s="27" t="str">
        <f aca="false">IF(A461="","",IF(H461="—","—",IF(G461&amp;""=L461&amp;"","✓","✗")))</f>
        <v/>
      </c>
      <c r="R461" s="27" t="str">
        <f aca="false">IF(A461="","",IF(COUNTIF(M461:Q461,"—")=5,"⚠ NO SCD ROW",IF(COUNTIF(M461:Q461,"✗")&gt;0,"❌ MISMATCH","✅ MATCH")))</f>
        <v/>
      </c>
    </row>
    <row r="462" customFormat="false" ht="15" hidden="false" customHeight="true" outlineLevel="0" collapsed="false">
      <c r="A462" s="22" t="str">
        <f aca="false">IF(Daily_Data!A461="","",Daily_Data!A461)</f>
        <v/>
      </c>
      <c r="B462" s="23" t="str">
        <f aca="false">IF(Daily_Data!B461="","",Daily_Data!B461)</f>
        <v/>
      </c>
      <c r="C462" s="23" t="str">
        <f aca="false">IF(A462="","",Daily_Data!C461)</f>
        <v/>
      </c>
      <c r="D462" s="23" t="str">
        <f aca="false">IF(A462="","",Daily_Data!D461)</f>
        <v/>
      </c>
      <c r="E462" s="24" t="str">
        <f aca="false">IF(A462="","",Daily_Data!E461)</f>
        <v/>
      </c>
      <c r="F462" s="23" t="str">
        <f aca="false">IF(A462="","",Daily_Data!F461)</f>
        <v/>
      </c>
      <c r="G462" s="23" t="str">
        <f aca="false">IF(A462="","",Daily_Data!G461)</f>
        <v/>
      </c>
      <c r="H462" s="25" t="str">
        <f aca="false">IF(A462="","",IFERROR(INDEX(SCD_Data!$C$3:$C$502,SUMPRODUCT((SCD_Data!$A$3:$A$502=B462)*(IFERROR(DATEVALUE(SCD_Data!$H$3:$H$502&amp;""),SCD_Data!$H$3:$H$502)&lt;=IFERROR(DATEVALUE(A462&amp;""),A462))*(IFERROR(DATEVALUE(SCD_Data!$I$3:$I$502&amp;""),SCD_Data!$I$3:$I$502)&gt;=IFERROR(DATEVALUE(A462&amp;""),A462))*(ROW(SCD_Data!$A$3:$A$502)-2))),"—"))</f>
        <v/>
      </c>
      <c r="I462" s="25" t="str">
        <f aca="false">IF(A462="","",IFERROR(INDEX(SCD_Data!$D$3:$D$502,SUMPRODUCT((SCD_Data!$A$3:$A$502=B462)*(IFERROR(DATEVALUE(SCD_Data!$H$3:$H$502&amp;""),SCD_Data!$H$3:$H$502)&lt;=IFERROR(DATEVALUE(A462&amp;""),A462))*(IFERROR(DATEVALUE(SCD_Data!$I$3:$I$502&amp;""),SCD_Data!$I$3:$I$502)&gt;=IFERROR(DATEVALUE(A462&amp;""),A462))*(ROW(SCD_Data!$A$3:$A$502)-2))),"—"))</f>
        <v/>
      </c>
      <c r="J462" s="26" t="str">
        <f aca="false">IF(A462="","",IFERROR(INDEX(SCD_Data!$E$3:$E$502,SUMPRODUCT((SCD_Data!$A$3:$A$502=B462)*(IFERROR(DATEVALUE(SCD_Data!$H$3:$H$502&amp;""),SCD_Data!$H$3:$H$502)&lt;=IFERROR(DATEVALUE(A462&amp;""),A462))*(IFERROR(DATEVALUE(SCD_Data!$I$3:$I$502&amp;""),SCD_Data!$I$3:$I$502)&gt;=IFERROR(DATEVALUE(A462&amp;""),A462))*(ROW(SCD_Data!$A$3:$A$502)-2))),"—"))</f>
        <v/>
      </c>
      <c r="K462" s="25" t="str">
        <f aca="false">IF(A462="","",IFERROR(INDEX(SCD_Data!$F$3:$F$502,SUMPRODUCT((SCD_Data!$A$3:$A$502=B462)*(IFERROR(DATEVALUE(SCD_Data!$H$3:$H$502&amp;""),SCD_Data!$H$3:$H$502)&lt;=IFERROR(DATEVALUE(A462&amp;""),A462))*(IFERROR(DATEVALUE(SCD_Data!$I$3:$I$502&amp;""),SCD_Data!$I$3:$I$502)&gt;=IFERROR(DATEVALUE(A462&amp;""),A462))*(ROW(SCD_Data!$A$3:$A$502)-2))),"—"))</f>
        <v/>
      </c>
      <c r="L462" s="25" t="str">
        <f aca="false">IF(A462="","",IFERROR(INDEX(SCD_Data!$G$3:$G$502,SUMPRODUCT((SCD_Data!$A$3:$A$502=B462)*(IFERROR(DATEVALUE(SCD_Data!$H$3:$H$502&amp;""),SCD_Data!$H$3:$H$502)&lt;=IFERROR(DATEVALUE(A462&amp;""),A462))*(IFERROR(DATEVALUE(SCD_Data!$I$3:$I$502&amp;""),SCD_Data!$I$3:$I$502)&gt;=IFERROR(DATEVALUE(A462&amp;""),A462))*(ROW(SCD_Data!$A$3:$A$502)-2))),"—"))</f>
        <v/>
      </c>
      <c r="M462" s="27" t="str">
        <f aca="false">IF(A462="","",IF(H462="—","—",IF(C462&amp;""=H462&amp;"","✓","✗")))</f>
        <v/>
      </c>
      <c r="N462" s="27" t="str">
        <f aca="false">IF(A462="","",IF(H462="—","—",IF(D462&amp;""=I462&amp;"","✓","✗")))</f>
        <v/>
      </c>
      <c r="O462" s="27" t="str">
        <f aca="false">IF(A462="","",IF(H462="—","—",IF(ABS(E462-J462)&lt;0.01,"✓","✗")))</f>
        <v/>
      </c>
      <c r="P462" s="27" t="str">
        <f aca="false">IF(A462="","",IF(H462="—","—",IF(F462&amp;""=K462&amp;"","✓","✗")))</f>
        <v/>
      </c>
      <c r="Q462" s="27" t="str">
        <f aca="false">IF(A462="","",IF(H462="—","—",IF(G462&amp;""=L462&amp;"","✓","✗")))</f>
        <v/>
      </c>
      <c r="R462" s="27" t="str">
        <f aca="false">IF(A462="","",IF(COUNTIF(M462:Q462,"—")=5,"⚠ NO SCD ROW",IF(COUNTIF(M462:Q462,"✗")&gt;0,"❌ MISMATCH","✅ MATCH")))</f>
        <v/>
      </c>
    </row>
    <row r="463" customFormat="false" ht="15" hidden="false" customHeight="true" outlineLevel="0" collapsed="false">
      <c r="A463" s="22" t="str">
        <f aca="false">IF(Daily_Data!A462="","",Daily_Data!A462)</f>
        <v/>
      </c>
      <c r="B463" s="23" t="str">
        <f aca="false">IF(Daily_Data!B462="","",Daily_Data!B462)</f>
        <v/>
      </c>
      <c r="C463" s="23" t="str">
        <f aca="false">IF(A463="","",Daily_Data!C462)</f>
        <v/>
      </c>
      <c r="D463" s="23" t="str">
        <f aca="false">IF(A463="","",Daily_Data!D462)</f>
        <v/>
      </c>
      <c r="E463" s="24" t="str">
        <f aca="false">IF(A463="","",Daily_Data!E462)</f>
        <v/>
      </c>
      <c r="F463" s="23" t="str">
        <f aca="false">IF(A463="","",Daily_Data!F462)</f>
        <v/>
      </c>
      <c r="G463" s="23" t="str">
        <f aca="false">IF(A463="","",Daily_Data!G462)</f>
        <v/>
      </c>
      <c r="H463" s="25" t="str">
        <f aca="false">IF(A463="","",IFERROR(INDEX(SCD_Data!$C$3:$C$502,SUMPRODUCT((SCD_Data!$A$3:$A$502=B463)*(IFERROR(DATEVALUE(SCD_Data!$H$3:$H$502&amp;""),SCD_Data!$H$3:$H$502)&lt;=IFERROR(DATEVALUE(A463&amp;""),A463))*(IFERROR(DATEVALUE(SCD_Data!$I$3:$I$502&amp;""),SCD_Data!$I$3:$I$502)&gt;=IFERROR(DATEVALUE(A463&amp;""),A463))*(ROW(SCD_Data!$A$3:$A$502)-2))),"—"))</f>
        <v/>
      </c>
      <c r="I463" s="25" t="str">
        <f aca="false">IF(A463="","",IFERROR(INDEX(SCD_Data!$D$3:$D$502,SUMPRODUCT((SCD_Data!$A$3:$A$502=B463)*(IFERROR(DATEVALUE(SCD_Data!$H$3:$H$502&amp;""),SCD_Data!$H$3:$H$502)&lt;=IFERROR(DATEVALUE(A463&amp;""),A463))*(IFERROR(DATEVALUE(SCD_Data!$I$3:$I$502&amp;""),SCD_Data!$I$3:$I$502)&gt;=IFERROR(DATEVALUE(A463&amp;""),A463))*(ROW(SCD_Data!$A$3:$A$502)-2))),"—"))</f>
        <v/>
      </c>
      <c r="J463" s="26" t="str">
        <f aca="false">IF(A463="","",IFERROR(INDEX(SCD_Data!$E$3:$E$502,SUMPRODUCT((SCD_Data!$A$3:$A$502=B463)*(IFERROR(DATEVALUE(SCD_Data!$H$3:$H$502&amp;""),SCD_Data!$H$3:$H$502)&lt;=IFERROR(DATEVALUE(A463&amp;""),A463))*(IFERROR(DATEVALUE(SCD_Data!$I$3:$I$502&amp;""),SCD_Data!$I$3:$I$502)&gt;=IFERROR(DATEVALUE(A463&amp;""),A463))*(ROW(SCD_Data!$A$3:$A$502)-2))),"—"))</f>
        <v/>
      </c>
      <c r="K463" s="25" t="str">
        <f aca="false">IF(A463="","",IFERROR(INDEX(SCD_Data!$F$3:$F$502,SUMPRODUCT((SCD_Data!$A$3:$A$502=B463)*(IFERROR(DATEVALUE(SCD_Data!$H$3:$H$502&amp;""),SCD_Data!$H$3:$H$502)&lt;=IFERROR(DATEVALUE(A463&amp;""),A463))*(IFERROR(DATEVALUE(SCD_Data!$I$3:$I$502&amp;""),SCD_Data!$I$3:$I$502)&gt;=IFERROR(DATEVALUE(A463&amp;""),A463))*(ROW(SCD_Data!$A$3:$A$502)-2))),"—"))</f>
        <v/>
      </c>
      <c r="L463" s="25" t="str">
        <f aca="false">IF(A463="","",IFERROR(INDEX(SCD_Data!$G$3:$G$502,SUMPRODUCT((SCD_Data!$A$3:$A$502=B463)*(IFERROR(DATEVALUE(SCD_Data!$H$3:$H$502&amp;""),SCD_Data!$H$3:$H$502)&lt;=IFERROR(DATEVALUE(A463&amp;""),A463))*(IFERROR(DATEVALUE(SCD_Data!$I$3:$I$502&amp;""),SCD_Data!$I$3:$I$502)&gt;=IFERROR(DATEVALUE(A463&amp;""),A463))*(ROW(SCD_Data!$A$3:$A$502)-2))),"—"))</f>
        <v/>
      </c>
      <c r="M463" s="27" t="str">
        <f aca="false">IF(A463="","",IF(H463="—","—",IF(C463&amp;""=H463&amp;"","✓","✗")))</f>
        <v/>
      </c>
      <c r="N463" s="27" t="str">
        <f aca="false">IF(A463="","",IF(H463="—","—",IF(D463&amp;""=I463&amp;"","✓","✗")))</f>
        <v/>
      </c>
      <c r="O463" s="27" t="str">
        <f aca="false">IF(A463="","",IF(H463="—","—",IF(ABS(E463-J463)&lt;0.01,"✓","✗")))</f>
        <v/>
      </c>
      <c r="P463" s="27" t="str">
        <f aca="false">IF(A463="","",IF(H463="—","—",IF(F463&amp;""=K463&amp;"","✓","✗")))</f>
        <v/>
      </c>
      <c r="Q463" s="27" t="str">
        <f aca="false">IF(A463="","",IF(H463="—","—",IF(G463&amp;""=L463&amp;"","✓","✗")))</f>
        <v/>
      </c>
      <c r="R463" s="27" t="str">
        <f aca="false">IF(A463="","",IF(COUNTIF(M463:Q463,"—")=5,"⚠ NO SCD ROW",IF(COUNTIF(M463:Q463,"✗")&gt;0,"❌ MISMATCH","✅ MATCH")))</f>
        <v/>
      </c>
    </row>
    <row r="464" customFormat="false" ht="15" hidden="false" customHeight="true" outlineLevel="0" collapsed="false">
      <c r="A464" s="22" t="str">
        <f aca="false">IF(Daily_Data!A463="","",Daily_Data!A463)</f>
        <v/>
      </c>
      <c r="B464" s="23" t="str">
        <f aca="false">IF(Daily_Data!B463="","",Daily_Data!B463)</f>
        <v/>
      </c>
      <c r="C464" s="23" t="str">
        <f aca="false">IF(A464="","",Daily_Data!C463)</f>
        <v/>
      </c>
      <c r="D464" s="23" t="str">
        <f aca="false">IF(A464="","",Daily_Data!D463)</f>
        <v/>
      </c>
      <c r="E464" s="24" t="str">
        <f aca="false">IF(A464="","",Daily_Data!E463)</f>
        <v/>
      </c>
      <c r="F464" s="23" t="str">
        <f aca="false">IF(A464="","",Daily_Data!F463)</f>
        <v/>
      </c>
      <c r="G464" s="23" t="str">
        <f aca="false">IF(A464="","",Daily_Data!G463)</f>
        <v/>
      </c>
      <c r="H464" s="25" t="str">
        <f aca="false">IF(A464="","",IFERROR(INDEX(SCD_Data!$C$3:$C$502,SUMPRODUCT((SCD_Data!$A$3:$A$502=B464)*(IFERROR(DATEVALUE(SCD_Data!$H$3:$H$502&amp;""),SCD_Data!$H$3:$H$502)&lt;=IFERROR(DATEVALUE(A464&amp;""),A464))*(IFERROR(DATEVALUE(SCD_Data!$I$3:$I$502&amp;""),SCD_Data!$I$3:$I$502)&gt;=IFERROR(DATEVALUE(A464&amp;""),A464))*(ROW(SCD_Data!$A$3:$A$502)-2))),"—"))</f>
        <v/>
      </c>
      <c r="I464" s="25" t="str">
        <f aca="false">IF(A464="","",IFERROR(INDEX(SCD_Data!$D$3:$D$502,SUMPRODUCT((SCD_Data!$A$3:$A$502=B464)*(IFERROR(DATEVALUE(SCD_Data!$H$3:$H$502&amp;""),SCD_Data!$H$3:$H$502)&lt;=IFERROR(DATEVALUE(A464&amp;""),A464))*(IFERROR(DATEVALUE(SCD_Data!$I$3:$I$502&amp;""),SCD_Data!$I$3:$I$502)&gt;=IFERROR(DATEVALUE(A464&amp;""),A464))*(ROW(SCD_Data!$A$3:$A$502)-2))),"—"))</f>
        <v/>
      </c>
      <c r="J464" s="26" t="str">
        <f aca="false">IF(A464="","",IFERROR(INDEX(SCD_Data!$E$3:$E$502,SUMPRODUCT((SCD_Data!$A$3:$A$502=B464)*(IFERROR(DATEVALUE(SCD_Data!$H$3:$H$502&amp;""),SCD_Data!$H$3:$H$502)&lt;=IFERROR(DATEVALUE(A464&amp;""),A464))*(IFERROR(DATEVALUE(SCD_Data!$I$3:$I$502&amp;""),SCD_Data!$I$3:$I$502)&gt;=IFERROR(DATEVALUE(A464&amp;""),A464))*(ROW(SCD_Data!$A$3:$A$502)-2))),"—"))</f>
        <v/>
      </c>
      <c r="K464" s="25" t="str">
        <f aca="false">IF(A464="","",IFERROR(INDEX(SCD_Data!$F$3:$F$502,SUMPRODUCT((SCD_Data!$A$3:$A$502=B464)*(IFERROR(DATEVALUE(SCD_Data!$H$3:$H$502&amp;""),SCD_Data!$H$3:$H$502)&lt;=IFERROR(DATEVALUE(A464&amp;""),A464))*(IFERROR(DATEVALUE(SCD_Data!$I$3:$I$502&amp;""),SCD_Data!$I$3:$I$502)&gt;=IFERROR(DATEVALUE(A464&amp;""),A464))*(ROW(SCD_Data!$A$3:$A$502)-2))),"—"))</f>
        <v/>
      </c>
      <c r="L464" s="25" t="str">
        <f aca="false">IF(A464="","",IFERROR(INDEX(SCD_Data!$G$3:$G$502,SUMPRODUCT((SCD_Data!$A$3:$A$502=B464)*(IFERROR(DATEVALUE(SCD_Data!$H$3:$H$502&amp;""),SCD_Data!$H$3:$H$502)&lt;=IFERROR(DATEVALUE(A464&amp;""),A464))*(IFERROR(DATEVALUE(SCD_Data!$I$3:$I$502&amp;""),SCD_Data!$I$3:$I$502)&gt;=IFERROR(DATEVALUE(A464&amp;""),A464))*(ROW(SCD_Data!$A$3:$A$502)-2))),"—"))</f>
        <v/>
      </c>
      <c r="M464" s="27" t="str">
        <f aca="false">IF(A464="","",IF(H464="—","—",IF(C464&amp;""=H464&amp;"","✓","✗")))</f>
        <v/>
      </c>
      <c r="N464" s="27" t="str">
        <f aca="false">IF(A464="","",IF(H464="—","—",IF(D464&amp;""=I464&amp;"","✓","✗")))</f>
        <v/>
      </c>
      <c r="O464" s="27" t="str">
        <f aca="false">IF(A464="","",IF(H464="—","—",IF(ABS(E464-J464)&lt;0.01,"✓","✗")))</f>
        <v/>
      </c>
      <c r="P464" s="27" t="str">
        <f aca="false">IF(A464="","",IF(H464="—","—",IF(F464&amp;""=K464&amp;"","✓","✗")))</f>
        <v/>
      </c>
      <c r="Q464" s="27" t="str">
        <f aca="false">IF(A464="","",IF(H464="—","—",IF(G464&amp;""=L464&amp;"","✓","✗")))</f>
        <v/>
      </c>
      <c r="R464" s="27" t="str">
        <f aca="false">IF(A464="","",IF(COUNTIF(M464:Q464,"—")=5,"⚠ NO SCD ROW",IF(COUNTIF(M464:Q464,"✗")&gt;0,"❌ MISMATCH","✅ MATCH")))</f>
        <v/>
      </c>
    </row>
    <row r="465" customFormat="false" ht="15" hidden="false" customHeight="true" outlineLevel="0" collapsed="false">
      <c r="A465" s="22" t="str">
        <f aca="false">IF(Daily_Data!A464="","",Daily_Data!A464)</f>
        <v/>
      </c>
      <c r="B465" s="23" t="str">
        <f aca="false">IF(Daily_Data!B464="","",Daily_Data!B464)</f>
        <v/>
      </c>
      <c r="C465" s="23" t="str">
        <f aca="false">IF(A465="","",Daily_Data!C464)</f>
        <v/>
      </c>
      <c r="D465" s="23" t="str">
        <f aca="false">IF(A465="","",Daily_Data!D464)</f>
        <v/>
      </c>
      <c r="E465" s="24" t="str">
        <f aca="false">IF(A465="","",Daily_Data!E464)</f>
        <v/>
      </c>
      <c r="F465" s="23" t="str">
        <f aca="false">IF(A465="","",Daily_Data!F464)</f>
        <v/>
      </c>
      <c r="G465" s="23" t="str">
        <f aca="false">IF(A465="","",Daily_Data!G464)</f>
        <v/>
      </c>
      <c r="H465" s="25" t="str">
        <f aca="false">IF(A465="","",IFERROR(INDEX(SCD_Data!$C$3:$C$502,SUMPRODUCT((SCD_Data!$A$3:$A$502=B465)*(IFERROR(DATEVALUE(SCD_Data!$H$3:$H$502&amp;""),SCD_Data!$H$3:$H$502)&lt;=IFERROR(DATEVALUE(A465&amp;""),A465))*(IFERROR(DATEVALUE(SCD_Data!$I$3:$I$502&amp;""),SCD_Data!$I$3:$I$502)&gt;=IFERROR(DATEVALUE(A465&amp;""),A465))*(ROW(SCD_Data!$A$3:$A$502)-2))),"—"))</f>
        <v/>
      </c>
      <c r="I465" s="25" t="str">
        <f aca="false">IF(A465="","",IFERROR(INDEX(SCD_Data!$D$3:$D$502,SUMPRODUCT((SCD_Data!$A$3:$A$502=B465)*(IFERROR(DATEVALUE(SCD_Data!$H$3:$H$502&amp;""),SCD_Data!$H$3:$H$502)&lt;=IFERROR(DATEVALUE(A465&amp;""),A465))*(IFERROR(DATEVALUE(SCD_Data!$I$3:$I$502&amp;""),SCD_Data!$I$3:$I$502)&gt;=IFERROR(DATEVALUE(A465&amp;""),A465))*(ROW(SCD_Data!$A$3:$A$502)-2))),"—"))</f>
        <v/>
      </c>
      <c r="J465" s="26" t="str">
        <f aca="false">IF(A465="","",IFERROR(INDEX(SCD_Data!$E$3:$E$502,SUMPRODUCT((SCD_Data!$A$3:$A$502=B465)*(IFERROR(DATEVALUE(SCD_Data!$H$3:$H$502&amp;""),SCD_Data!$H$3:$H$502)&lt;=IFERROR(DATEVALUE(A465&amp;""),A465))*(IFERROR(DATEVALUE(SCD_Data!$I$3:$I$502&amp;""),SCD_Data!$I$3:$I$502)&gt;=IFERROR(DATEVALUE(A465&amp;""),A465))*(ROW(SCD_Data!$A$3:$A$502)-2))),"—"))</f>
        <v/>
      </c>
      <c r="K465" s="25" t="str">
        <f aca="false">IF(A465="","",IFERROR(INDEX(SCD_Data!$F$3:$F$502,SUMPRODUCT((SCD_Data!$A$3:$A$502=B465)*(IFERROR(DATEVALUE(SCD_Data!$H$3:$H$502&amp;""),SCD_Data!$H$3:$H$502)&lt;=IFERROR(DATEVALUE(A465&amp;""),A465))*(IFERROR(DATEVALUE(SCD_Data!$I$3:$I$502&amp;""),SCD_Data!$I$3:$I$502)&gt;=IFERROR(DATEVALUE(A465&amp;""),A465))*(ROW(SCD_Data!$A$3:$A$502)-2))),"—"))</f>
        <v/>
      </c>
      <c r="L465" s="25" t="str">
        <f aca="false">IF(A465="","",IFERROR(INDEX(SCD_Data!$G$3:$G$502,SUMPRODUCT((SCD_Data!$A$3:$A$502=B465)*(IFERROR(DATEVALUE(SCD_Data!$H$3:$H$502&amp;""),SCD_Data!$H$3:$H$502)&lt;=IFERROR(DATEVALUE(A465&amp;""),A465))*(IFERROR(DATEVALUE(SCD_Data!$I$3:$I$502&amp;""),SCD_Data!$I$3:$I$502)&gt;=IFERROR(DATEVALUE(A465&amp;""),A465))*(ROW(SCD_Data!$A$3:$A$502)-2))),"—"))</f>
        <v/>
      </c>
      <c r="M465" s="27" t="str">
        <f aca="false">IF(A465="","",IF(H465="—","—",IF(C465&amp;""=H465&amp;"","✓","✗")))</f>
        <v/>
      </c>
      <c r="N465" s="27" t="str">
        <f aca="false">IF(A465="","",IF(H465="—","—",IF(D465&amp;""=I465&amp;"","✓","✗")))</f>
        <v/>
      </c>
      <c r="O465" s="27" t="str">
        <f aca="false">IF(A465="","",IF(H465="—","—",IF(ABS(E465-J465)&lt;0.01,"✓","✗")))</f>
        <v/>
      </c>
      <c r="P465" s="27" t="str">
        <f aca="false">IF(A465="","",IF(H465="—","—",IF(F465&amp;""=K465&amp;"","✓","✗")))</f>
        <v/>
      </c>
      <c r="Q465" s="27" t="str">
        <f aca="false">IF(A465="","",IF(H465="—","—",IF(G465&amp;""=L465&amp;"","✓","✗")))</f>
        <v/>
      </c>
      <c r="R465" s="27" t="str">
        <f aca="false">IF(A465="","",IF(COUNTIF(M465:Q465,"—")=5,"⚠ NO SCD ROW",IF(COUNTIF(M465:Q465,"✗")&gt;0,"❌ MISMATCH","✅ MATCH")))</f>
        <v/>
      </c>
    </row>
    <row r="466" customFormat="false" ht="15" hidden="false" customHeight="true" outlineLevel="0" collapsed="false">
      <c r="A466" s="22" t="str">
        <f aca="false">IF(Daily_Data!A465="","",Daily_Data!A465)</f>
        <v/>
      </c>
      <c r="B466" s="23" t="str">
        <f aca="false">IF(Daily_Data!B465="","",Daily_Data!B465)</f>
        <v/>
      </c>
      <c r="C466" s="23" t="str">
        <f aca="false">IF(A466="","",Daily_Data!C465)</f>
        <v/>
      </c>
      <c r="D466" s="23" t="str">
        <f aca="false">IF(A466="","",Daily_Data!D465)</f>
        <v/>
      </c>
      <c r="E466" s="24" t="str">
        <f aca="false">IF(A466="","",Daily_Data!E465)</f>
        <v/>
      </c>
      <c r="F466" s="23" t="str">
        <f aca="false">IF(A466="","",Daily_Data!F465)</f>
        <v/>
      </c>
      <c r="G466" s="23" t="str">
        <f aca="false">IF(A466="","",Daily_Data!G465)</f>
        <v/>
      </c>
      <c r="H466" s="25" t="str">
        <f aca="false">IF(A466="","",IFERROR(INDEX(SCD_Data!$C$3:$C$502,SUMPRODUCT((SCD_Data!$A$3:$A$502=B466)*(IFERROR(DATEVALUE(SCD_Data!$H$3:$H$502&amp;""),SCD_Data!$H$3:$H$502)&lt;=IFERROR(DATEVALUE(A466&amp;""),A466))*(IFERROR(DATEVALUE(SCD_Data!$I$3:$I$502&amp;""),SCD_Data!$I$3:$I$502)&gt;=IFERROR(DATEVALUE(A466&amp;""),A466))*(ROW(SCD_Data!$A$3:$A$502)-2))),"—"))</f>
        <v/>
      </c>
      <c r="I466" s="25" t="str">
        <f aca="false">IF(A466="","",IFERROR(INDEX(SCD_Data!$D$3:$D$502,SUMPRODUCT((SCD_Data!$A$3:$A$502=B466)*(IFERROR(DATEVALUE(SCD_Data!$H$3:$H$502&amp;""),SCD_Data!$H$3:$H$502)&lt;=IFERROR(DATEVALUE(A466&amp;""),A466))*(IFERROR(DATEVALUE(SCD_Data!$I$3:$I$502&amp;""),SCD_Data!$I$3:$I$502)&gt;=IFERROR(DATEVALUE(A466&amp;""),A466))*(ROW(SCD_Data!$A$3:$A$502)-2))),"—"))</f>
        <v/>
      </c>
      <c r="J466" s="26" t="str">
        <f aca="false">IF(A466="","",IFERROR(INDEX(SCD_Data!$E$3:$E$502,SUMPRODUCT((SCD_Data!$A$3:$A$502=B466)*(IFERROR(DATEVALUE(SCD_Data!$H$3:$H$502&amp;""),SCD_Data!$H$3:$H$502)&lt;=IFERROR(DATEVALUE(A466&amp;""),A466))*(IFERROR(DATEVALUE(SCD_Data!$I$3:$I$502&amp;""),SCD_Data!$I$3:$I$502)&gt;=IFERROR(DATEVALUE(A466&amp;""),A466))*(ROW(SCD_Data!$A$3:$A$502)-2))),"—"))</f>
        <v/>
      </c>
      <c r="K466" s="25" t="str">
        <f aca="false">IF(A466="","",IFERROR(INDEX(SCD_Data!$F$3:$F$502,SUMPRODUCT((SCD_Data!$A$3:$A$502=B466)*(IFERROR(DATEVALUE(SCD_Data!$H$3:$H$502&amp;""),SCD_Data!$H$3:$H$502)&lt;=IFERROR(DATEVALUE(A466&amp;""),A466))*(IFERROR(DATEVALUE(SCD_Data!$I$3:$I$502&amp;""),SCD_Data!$I$3:$I$502)&gt;=IFERROR(DATEVALUE(A466&amp;""),A466))*(ROW(SCD_Data!$A$3:$A$502)-2))),"—"))</f>
        <v/>
      </c>
      <c r="L466" s="25" t="str">
        <f aca="false">IF(A466="","",IFERROR(INDEX(SCD_Data!$G$3:$G$502,SUMPRODUCT((SCD_Data!$A$3:$A$502=B466)*(IFERROR(DATEVALUE(SCD_Data!$H$3:$H$502&amp;""),SCD_Data!$H$3:$H$502)&lt;=IFERROR(DATEVALUE(A466&amp;""),A466))*(IFERROR(DATEVALUE(SCD_Data!$I$3:$I$502&amp;""),SCD_Data!$I$3:$I$502)&gt;=IFERROR(DATEVALUE(A466&amp;""),A466))*(ROW(SCD_Data!$A$3:$A$502)-2))),"—"))</f>
        <v/>
      </c>
      <c r="M466" s="27" t="str">
        <f aca="false">IF(A466="","",IF(H466="—","—",IF(C466&amp;""=H466&amp;"","✓","✗")))</f>
        <v/>
      </c>
      <c r="N466" s="27" t="str">
        <f aca="false">IF(A466="","",IF(H466="—","—",IF(D466&amp;""=I466&amp;"","✓","✗")))</f>
        <v/>
      </c>
      <c r="O466" s="27" t="str">
        <f aca="false">IF(A466="","",IF(H466="—","—",IF(ABS(E466-J466)&lt;0.01,"✓","✗")))</f>
        <v/>
      </c>
      <c r="P466" s="27" t="str">
        <f aca="false">IF(A466="","",IF(H466="—","—",IF(F466&amp;""=K466&amp;"","✓","✗")))</f>
        <v/>
      </c>
      <c r="Q466" s="27" t="str">
        <f aca="false">IF(A466="","",IF(H466="—","—",IF(G466&amp;""=L466&amp;"","✓","✗")))</f>
        <v/>
      </c>
      <c r="R466" s="27" t="str">
        <f aca="false">IF(A466="","",IF(COUNTIF(M466:Q466,"—")=5,"⚠ NO SCD ROW",IF(COUNTIF(M466:Q466,"✗")&gt;0,"❌ MISMATCH","✅ MATCH")))</f>
        <v/>
      </c>
    </row>
    <row r="467" customFormat="false" ht="15" hidden="false" customHeight="true" outlineLevel="0" collapsed="false">
      <c r="A467" s="22" t="str">
        <f aca="false">IF(Daily_Data!A466="","",Daily_Data!A466)</f>
        <v/>
      </c>
      <c r="B467" s="23" t="str">
        <f aca="false">IF(Daily_Data!B466="","",Daily_Data!B466)</f>
        <v/>
      </c>
      <c r="C467" s="23" t="str">
        <f aca="false">IF(A467="","",Daily_Data!C466)</f>
        <v/>
      </c>
      <c r="D467" s="23" t="str">
        <f aca="false">IF(A467="","",Daily_Data!D466)</f>
        <v/>
      </c>
      <c r="E467" s="24" t="str">
        <f aca="false">IF(A467="","",Daily_Data!E466)</f>
        <v/>
      </c>
      <c r="F467" s="23" t="str">
        <f aca="false">IF(A467="","",Daily_Data!F466)</f>
        <v/>
      </c>
      <c r="G467" s="23" t="str">
        <f aca="false">IF(A467="","",Daily_Data!G466)</f>
        <v/>
      </c>
      <c r="H467" s="25" t="str">
        <f aca="false">IF(A467="","",IFERROR(INDEX(SCD_Data!$C$3:$C$502,SUMPRODUCT((SCD_Data!$A$3:$A$502=B467)*(IFERROR(DATEVALUE(SCD_Data!$H$3:$H$502&amp;""),SCD_Data!$H$3:$H$502)&lt;=IFERROR(DATEVALUE(A467&amp;""),A467))*(IFERROR(DATEVALUE(SCD_Data!$I$3:$I$502&amp;""),SCD_Data!$I$3:$I$502)&gt;=IFERROR(DATEVALUE(A467&amp;""),A467))*(ROW(SCD_Data!$A$3:$A$502)-2))),"—"))</f>
        <v/>
      </c>
      <c r="I467" s="25" t="str">
        <f aca="false">IF(A467="","",IFERROR(INDEX(SCD_Data!$D$3:$D$502,SUMPRODUCT((SCD_Data!$A$3:$A$502=B467)*(IFERROR(DATEVALUE(SCD_Data!$H$3:$H$502&amp;""),SCD_Data!$H$3:$H$502)&lt;=IFERROR(DATEVALUE(A467&amp;""),A467))*(IFERROR(DATEVALUE(SCD_Data!$I$3:$I$502&amp;""),SCD_Data!$I$3:$I$502)&gt;=IFERROR(DATEVALUE(A467&amp;""),A467))*(ROW(SCD_Data!$A$3:$A$502)-2))),"—"))</f>
        <v/>
      </c>
      <c r="J467" s="26" t="str">
        <f aca="false">IF(A467="","",IFERROR(INDEX(SCD_Data!$E$3:$E$502,SUMPRODUCT((SCD_Data!$A$3:$A$502=B467)*(IFERROR(DATEVALUE(SCD_Data!$H$3:$H$502&amp;""),SCD_Data!$H$3:$H$502)&lt;=IFERROR(DATEVALUE(A467&amp;""),A467))*(IFERROR(DATEVALUE(SCD_Data!$I$3:$I$502&amp;""),SCD_Data!$I$3:$I$502)&gt;=IFERROR(DATEVALUE(A467&amp;""),A467))*(ROW(SCD_Data!$A$3:$A$502)-2))),"—"))</f>
        <v/>
      </c>
      <c r="K467" s="25" t="str">
        <f aca="false">IF(A467="","",IFERROR(INDEX(SCD_Data!$F$3:$F$502,SUMPRODUCT((SCD_Data!$A$3:$A$502=B467)*(IFERROR(DATEVALUE(SCD_Data!$H$3:$H$502&amp;""),SCD_Data!$H$3:$H$502)&lt;=IFERROR(DATEVALUE(A467&amp;""),A467))*(IFERROR(DATEVALUE(SCD_Data!$I$3:$I$502&amp;""),SCD_Data!$I$3:$I$502)&gt;=IFERROR(DATEVALUE(A467&amp;""),A467))*(ROW(SCD_Data!$A$3:$A$502)-2))),"—"))</f>
        <v/>
      </c>
      <c r="L467" s="25" t="str">
        <f aca="false">IF(A467="","",IFERROR(INDEX(SCD_Data!$G$3:$G$502,SUMPRODUCT((SCD_Data!$A$3:$A$502=B467)*(IFERROR(DATEVALUE(SCD_Data!$H$3:$H$502&amp;""),SCD_Data!$H$3:$H$502)&lt;=IFERROR(DATEVALUE(A467&amp;""),A467))*(IFERROR(DATEVALUE(SCD_Data!$I$3:$I$502&amp;""),SCD_Data!$I$3:$I$502)&gt;=IFERROR(DATEVALUE(A467&amp;""),A467))*(ROW(SCD_Data!$A$3:$A$502)-2))),"—"))</f>
        <v/>
      </c>
      <c r="M467" s="27" t="str">
        <f aca="false">IF(A467="","",IF(H467="—","—",IF(C467&amp;""=H467&amp;"","✓","✗")))</f>
        <v/>
      </c>
      <c r="N467" s="27" t="str">
        <f aca="false">IF(A467="","",IF(H467="—","—",IF(D467&amp;""=I467&amp;"","✓","✗")))</f>
        <v/>
      </c>
      <c r="O467" s="27" t="str">
        <f aca="false">IF(A467="","",IF(H467="—","—",IF(ABS(E467-J467)&lt;0.01,"✓","✗")))</f>
        <v/>
      </c>
      <c r="P467" s="27" t="str">
        <f aca="false">IF(A467="","",IF(H467="—","—",IF(F467&amp;""=K467&amp;"","✓","✗")))</f>
        <v/>
      </c>
      <c r="Q467" s="27" t="str">
        <f aca="false">IF(A467="","",IF(H467="—","—",IF(G467&amp;""=L467&amp;"","✓","✗")))</f>
        <v/>
      </c>
      <c r="R467" s="27" t="str">
        <f aca="false">IF(A467="","",IF(COUNTIF(M467:Q467,"—")=5,"⚠ NO SCD ROW",IF(COUNTIF(M467:Q467,"✗")&gt;0,"❌ MISMATCH","✅ MATCH")))</f>
        <v/>
      </c>
    </row>
    <row r="468" customFormat="false" ht="15" hidden="false" customHeight="true" outlineLevel="0" collapsed="false">
      <c r="A468" s="22" t="str">
        <f aca="false">IF(Daily_Data!A467="","",Daily_Data!A467)</f>
        <v/>
      </c>
      <c r="B468" s="23" t="str">
        <f aca="false">IF(Daily_Data!B467="","",Daily_Data!B467)</f>
        <v/>
      </c>
      <c r="C468" s="23" t="str">
        <f aca="false">IF(A468="","",Daily_Data!C467)</f>
        <v/>
      </c>
      <c r="D468" s="23" t="str">
        <f aca="false">IF(A468="","",Daily_Data!D467)</f>
        <v/>
      </c>
      <c r="E468" s="24" t="str">
        <f aca="false">IF(A468="","",Daily_Data!E467)</f>
        <v/>
      </c>
      <c r="F468" s="23" t="str">
        <f aca="false">IF(A468="","",Daily_Data!F467)</f>
        <v/>
      </c>
      <c r="G468" s="23" t="str">
        <f aca="false">IF(A468="","",Daily_Data!G467)</f>
        <v/>
      </c>
      <c r="H468" s="25" t="str">
        <f aca="false">IF(A468="","",IFERROR(INDEX(SCD_Data!$C$3:$C$502,SUMPRODUCT((SCD_Data!$A$3:$A$502=B468)*(IFERROR(DATEVALUE(SCD_Data!$H$3:$H$502&amp;""),SCD_Data!$H$3:$H$502)&lt;=IFERROR(DATEVALUE(A468&amp;""),A468))*(IFERROR(DATEVALUE(SCD_Data!$I$3:$I$502&amp;""),SCD_Data!$I$3:$I$502)&gt;=IFERROR(DATEVALUE(A468&amp;""),A468))*(ROW(SCD_Data!$A$3:$A$502)-2))),"—"))</f>
        <v/>
      </c>
      <c r="I468" s="25" t="str">
        <f aca="false">IF(A468="","",IFERROR(INDEX(SCD_Data!$D$3:$D$502,SUMPRODUCT((SCD_Data!$A$3:$A$502=B468)*(IFERROR(DATEVALUE(SCD_Data!$H$3:$H$502&amp;""),SCD_Data!$H$3:$H$502)&lt;=IFERROR(DATEVALUE(A468&amp;""),A468))*(IFERROR(DATEVALUE(SCD_Data!$I$3:$I$502&amp;""),SCD_Data!$I$3:$I$502)&gt;=IFERROR(DATEVALUE(A468&amp;""),A468))*(ROW(SCD_Data!$A$3:$A$502)-2))),"—"))</f>
        <v/>
      </c>
      <c r="J468" s="26" t="str">
        <f aca="false">IF(A468="","",IFERROR(INDEX(SCD_Data!$E$3:$E$502,SUMPRODUCT((SCD_Data!$A$3:$A$502=B468)*(IFERROR(DATEVALUE(SCD_Data!$H$3:$H$502&amp;""),SCD_Data!$H$3:$H$502)&lt;=IFERROR(DATEVALUE(A468&amp;""),A468))*(IFERROR(DATEVALUE(SCD_Data!$I$3:$I$502&amp;""),SCD_Data!$I$3:$I$502)&gt;=IFERROR(DATEVALUE(A468&amp;""),A468))*(ROW(SCD_Data!$A$3:$A$502)-2))),"—"))</f>
        <v/>
      </c>
      <c r="K468" s="25" t="str">
        <f aca="false">IF(A468="","",IFERROR(INDEX(SCD_Data!$F$3:$F$502,SUMPRODUCT((SCD_Data!$A$3:$A$502=B468)*(IFERROR(DATEVALUE(SCD_Data!$H$3:$H$502&amp;""),SCD_Data!$H$3:$H$502)&lt;=IFERROR(DATEVALUE(A468&amp;""),A468))*(IFERROR(DATEVALUE(SCD_Data!$I$3:$I$502&amp;""),SCD_Data!$I$3:$I$502)&gt;=IFERROR(DATEVALUE(A468&amp;""),A468))*(ROW(SCD_Data!$A$3:$A$502)-2))),"—"))</f>
        <v/>
      </c>
      <c r="L468" s="25" t="str">
        <f aca="false">IF(A468="","",IFERROR(INDEX(SCD_Data!$G$3:$G$502,SUMPRODUCT((SCD_Data!$A$3:$A$502=B468)*(IFERROR(DATEVALUE(SCD_Data!$H$3:$H$502&amp;""),SCD_Data!$H$3:$H$502)&lt;=IFERROR(DATEVALUE(A468&amp;""),A468))*(IFERROR(DATEVALUE(SCD_Data!$I$3:$I$502&amp;""),SCD_Data!$I$3:$I$502)&gt;=IFERROR(DATEVALUE(A468&amp;""),A468))*(ROW(SCD_Data!$A$3:$A$502)-2))),"—"))</f>
        <v/>
      </c>
      <c r="M468" s="27" t="str">
        <f aca="false">IF(A468="","",IF(H468="—","—",IF(C468&amp;""=H468&amp;"","✓","✗")))</f>
        <v/>
      </c>
      <c r="N468" s="27" t="str">
        <f aca="false">IF(A468="","",IF(H468="—","—",IF(D468&amp;""=I468&amp;"","✓","✗")))</f>
        <v/>
      </c>
      <c r="O468" s="27" t="str">
        <f aca="false">IF(A468="","",IF(H468="—","—",IF(ABS(E468-J468)&lt;0.01,"✓","✗")))</f>
        <v/>
      </c>
      <c r="P468" s="27" t="str">
        <f aca="false">IF(A468="","",IF(H468="—","—",IF(F468&amp;""=K468&amp;"","✓","✗")))</f>
        <v/>
      </c>
      <c r="Q468" s="27" t="str">
        <f aca="false">IF(A468="","",IF(H468="—","—",IF(G468&amp;""=L468&amp;"","✓","✗")))</f>
        <v/>
      </c>
      <c r="R468" s="27" t="str">
        <f aca="false">IF(A468="","",IF(COUNTIF(M468:Q468,"—")=5,"⚠ NO SCD ROW",IF(COUNTIF(M468:Q468,"✗")&gt;0,"❌ MISMATCH","✅ MATCH")))</f>
        <v/>
      </c>
    </row>
    <row r="469" customFormat="false" ht="15" hidden="false" customHeight="true" outlineLevel="0" collapsed="false">
      <c r="A469" s="22" t="str">
        <f aca="false">IF(Daily_Data!A468="","",Daily_Data!A468)</f>
        <v/>
      </c>
      <c r="B469" s="23" t="str">
        <f aca="false">IF(Daily_Data!B468="","",Daily_Data!B468)</f>
        <v/>
      </c>
      <c r="C469" s="23" t="str">
        <f aca="false">IF(A469="","",Daily_Data!C468)</f>
        <v/>
      </c>
      <c r="D469" s="23" t="str">
        <f aca="false">IF(A469="","",Daily_Data!D468)</f>
        <v/>
      </c>
      <c r="E469" s="24" t="str">
        <f aca="false">IF(A469="","",Daily_Data!E468)</f>
        <v/>
      </c>
      <c r="F469" s="23" t="str">
        <f aca="false">IF(A469="","",Daily_Data!F468)</f>
        <v/>
      </c>
      <c r="G469" s="23" t="str">
        <f aca="false">IF(A469="","",Daily_Data!G468)</f>
        <v/>
      </c>
      <c r="H469" s="25" t="str">
        <f aca="false">IF(A469="","",IFERROR(INDEX(SCD_Data!$C$3:$C$502,SUMPRODUCT((SCD_Data!$A$3:$A$502=B469)*(IFERROR(DATEVALUE(SCD_Data!$H$3:$H$502&amp;""),SCD_Data!$H$3:$H$502)&lt;=IFERROR(DATEVALUE(A469&amp;""),A469))*(IFERROR(DATEVALUE(SCD_Data!$I$3:$I$502&amp;""),SCD_Data!$I$3:$I$502)&gt;=IFERROR(DATEVALUE(A469&amp;""),A469))*(ROW(SCD_Data!$A$3:$A$502)-2))),"—"))</f>
        <v/>
      </c>
      <c r="I469" s="25" t="str">
        <f aca="false">IF(A469="","",IFERROR(INDEX(SCD_Data!$D$3:$D$502,SUMPRODUCT((SCD_Data!$A$3:$A$502=B469)*(IFERROR(DATEVALUE(SCD_Data!$H$3:$H$502&amp;""),SCD_Data!$H$3:$H$502)&lt;=IFERROR(DATEVALUE(A469&amp;""),A469))*(IFERROR(DATEVALUE(SCD_Data!$I$3:$I$502&amp;""),SCD_Data!$I$3:$I$502)&gt;=IFERROR(DATEVALUE(A469&amp;""),A469))*(ROW(SCD_Data!$A$3:$A$502)-2))),"—"))</f>
        <v/>
      </c>
      <c r="J469" s="26" t="str">
        <f aca="false">IF(A469="","",IFERROR(INDEX(SCD_Data!$E$3:$E$502,SUMPRODUCT((SCD_Data!$A$3:$A$502=B469)*(IFERROR(DATEVALUE(SCD_Data!$H$3:$H$502&amp;""),SCD_Data!$H$3:$H$502)&lt;=IFERROR(DATEVALUE(A469&amp;""),A469))*(IFERROR(DATEVALUE(SCD_Data!$I$3:$I$502&amp;""),SCD_Data!$I$3:$I$502)&gt;=IFERROR(DATEVALUE(A469&amp;""),A469))*(ROW(SCD_Data!$A$3:$A$502)-2))),"—"))</f>
        <v/>
      </c>
      <c r="K469" s="25" t="str">
        <f aca="false">IF(A469="","",IFERROR(INDEX(SCD_Data!$F$3:$F$502,SUMPRODUCT((SCD_Data!$A$3:$A$502=B469)*(IFERROR(DATEVALUE(SCD_Data!$H$3:$H$502&amp;""),SCD_Data!$H$3:$H$502)&lt;=IFERROR(DATEVALUE(A469&amp;""),A469))*(IFERROR(DATEVALUE(SCD_Data!$I$3:$I$502&amp;""),SCD_Data!$I$3:$I$502)&gt;=IFERROR(DATEVALUE(A469&amp;""),A469))*(ROW(SCD_Data!$A$3:$A$502)-2))),"—"))</f>
        <v/>
      </c>
      <c r="L469" s="25" t="str">
        <f aca="false">IF(A469="","",IFERROR(INDEX(SCD_Data!$G$3:$G$502,SUMPRODUCT((SCD_Data!$A$3:$A$502=B469)*(IFERROR(DATEVALUE(SCD_Data!$H$3:$H$502&amp;""),SCD_Data!$H$3:$H$502)&lt;=IFERROR(DATEVALUE(A469&amp;""),A469))*(IFERROR(DATEVALUE(SCD_Data!$I$3:$I$502&amp;""),SCD_Data!$I$3:$I$502)&gt;=IFERROR(DATEVALUE(A469&amp;""),A469))*(ROW(SCD_Data!$A$3:$A$502)-2))),"—"))</f>
        <v/>
      </c>
      <c r="M469" s="27" t="str">
        <f aca="false">IF(A469="","",IF(H469="—","—",IF(C469&amp;""=H469&amp;"","✓","✗")))</f>
        <v/>
      </c>
      <c r="N469" s="27" t="str">
        <f aca="false">IF(A469="","",IF(H469="—","—",IF(D469&amp;""=I469&amp;"","✓","✗")))</f>
        <v/>
      </c>
      <c r="O469" s="27" t="str">
        <f aca="false">IF(A469="","",IF(H469="—","—",IF(ABS(E469-J469)&lt;0.01,"✓","✗")))</f>
        <v/>
      </c>
      <c r="P469" s="27" t="str">
        <f aca="false">IF(A469="","",IF(H469="—","—",IF(F469&amp;""=K469&amp;"","✓","✗")))</f>
        <v/>
      </c>
      <c r="Q469" s="27" t="str">
        <f aca="false">IF(A469="","",IF(H469="—","—",IF(G469&amp;""=L469&amp;"","✓","✗")))</f>
        <v/>
      </c>
      <c r="R469" s="27" t="str">
        <f aca="false">IF(A469="","",IF(COUNTIF(M469:Q469,"—")=5,"⚠ NO SCD ROW",IF(COUNTIF(M469:Q469,"✗")&gt;0,"❌ MISMATCH","✅ MATCH")))</f>
        <v/>
      </c>
    </row>
    <row r="470" customFormat="false" ht="15" hidden="false" customHeight="true" outlineLevel="0" collapsed="false">
      <c r="A470" s="22" t="str">
        <f aca="false">IF(Daily_Data!A469="","",Daily_Data!A469)</f>
        <v/>
      </c>
      <c r="B470" s="23" t="str">
        <f aca="false">IF(Daily_Data!B469="","",Daily_Data!B469)</f>
        <v/>
      </c>
      <c r="C470" s="23" t="str">
        <f aca="false">IF(A470="","",Daily_Data!C469)</f>
        <v/>
      </c>
      <c r="D470" s="23" t="str">
        <f aca="false">IF(A470="","",Daily_Data!D469)</f>
        <v/>
      </c>
      <c r="E470" s="24" t="str">
        <f aca="false">IF(A470="","",Daily_Data!E469)</f>
        <v/>
      </c>
      <c r="F470" s="23" t="str">
        <f aca="false">IF(A470="","",Daily_Data!F469)</f>
        <v/>
      </c>
      <c r="G470" s="23" t="str">
        <f aca="false">IF(A470="","",Daily_Data!G469)</f>
        <v/>
      </c>
      <c r="H470" s="25" t="str">
        <f aca="false">IF(A470="","",IFERROR(INDEX(SCD_Data!$C$3:$C$502,SUMPRODUCT((SCD_Data!$A$3:$A$502=B470)*(IFERROR(DATEVALUE(SCD_Data!$H$3:$H$502&amp;""),SCD_Data!$H$3:$H$502)&lt;=IFERROR(DATEVALUE(A470&amp;""),A470))*(IFERROR(DATEVALUE(SCD_Data!$I$3:$I$502&amp;""),SCD_Data!$I$3:$I$502)&gt;=IFERROR(DATEVALUE(A470&amp;""),A470))*(ROW(SCD_Data!$A$3:$A$502)-2))),"—"))</f>
        <v/>
      </c>
      <c r="I470" s="25" t="str">
        <f aca="false">IF(A470="","",IFERROR(INDEX(SCD_Data!$D$3:$D$502,SUMPRODUCT((SCD_Data!$A$3:$A$502=B470)*(IFERROR(DATEVALUE(SCD_Data!$H$3:$H$502&amp;""),SCD_Data!$H$3:$H$502)&lt;=IFERROR(DATEVALUE(A470&amp;""),A470))*(IFERROR(DATEVALUE(SCD_Data!$I$3:$I$502&amp;""),SCD_Data!$I$3:$I$502)&gt;=IFERROR(DATEVALUE(A470&amp;""),A470))*(ROW(SCD_Data!$A$3:$A$502)-2))),"—"))</f>
        <v/>
      </c>
      <c r="J470" s="26" t="str">
        <f aca="false">IF(A470="","",IFERROR(INDEX(SCD_Data!$E$3:$E$502,SUMPRODUCT((SCD_Data!$A$3:$A$502=B470)*(IFERROR(DATEVALUE(SCD_Data!$H$3:$H$502&amp;""),SCD_Data!$H$3:$H$502)&lt;=IFERROR(DATEVALUE(A470&amp;""),A470))*(IFERROR(DATEVALUE(SCD_Data!$I$3:$I$502&amp;""),SCD_Data!$I$3:$I$502)&gt;=IFERROR(DATEVALUE(A470&amp;""),A470))*(ROW(SCD_Data!$A$3:$A$502)-2))),"—"))</f>
        <v/>
      </c>
      <c r="K470" s="25" t="str">
        <f aca="false">IF(A470="","",IFERROR(INDEX(SCD_Data!$F$3:$F$502,SUMPRODUCT((SCD_Data!$A$3:$A$502=B470)*(IFERROR(DATEVALUE(SCD_Data!$H$3:$H$502&amp;""),SCD_Data!$H$3:$H$502)&lt;=IFERROR(DATEVALUE(A470&amp;""),A470))*(IFERROR(DATEVALUE(SCD_Data!$I$3:$I$502&amp;""),SCD_Data!$I$3:$I$502)&gt;=IFERROR(DATEVALUE(A470&amp;""),A470))*(ROW(SCD_Data!$A$3:$A$502)-2))),"—"))</f>
        <v/>
      </c>
      <c r="L470" s="25" t="str">
        <f aca="false">IF(A470="","",IFERROR(INDEX(SCD_Data!$G$3:$G$502,SUMPRODUCT((SCD_Data!$A$3:$A$502=B470)*(IFERROR(DATEVALUE(SCD_Data!$H$3:$H$502&amp;""),SCD_Data!$H$3:$H$502)&lt;=IFERROR(DATEVALUE(A470&amp;""),A470))*(IFERROR(DATEVALUE(SCD_Data!$I$3:$I$502&amp;""),SCD_Data!$I$3:$I$502)&gt;=IFERROR(DATEVALUE(A470&amp;""),A470))*(ROW(SCD_Data!$A$3:$A$502)-2))),"—"))</f>
        <v/>
      </c>
      <c r="M470" s="27" t="str">
        <f aca="false">IF(A470="","",IF(H470="—","—",IF(C470&amp;""=H470&amp;"","✓","✗")))</f>
        <v/>
      </c>
      <c r="N470" s="27" t="str">
        <f aca="false">IF(A470="","",IF(H470="—","—",IF(D470&amp;""=I470&amp;"","✓","✗")))</f>
        <v/>
      </c>
      <c r="O470" s="27" t="str">
        <f aca="false">IF(A470="","",IF(H470="—","—",IF(ABS(E470-J470)&lt;0.01,"✓","✗")))</f>
        <v/>
      </c>
      <c r="P470" s="27" t="str">
        <f aca="false">IF(A470="","",IF(H470="—","—",IF(F470&amp;""=K470&amp;"","✓","✗")))</f>
        <v/>
      </c>
      <c r="Q470" s="27" t="str">
        <f aca="false">IF(A470="","",IF(H470="—","—",IF(G470&amp;""=L470&amp;"","✓","✗")))</f>
        <v/>
      </c>
      <c r="R470" s="27" t="str">
        <f aca="false">IF(A470="","",IF(COUNTIF(M470:Q470,"—")=5,"⚠ NO SCD ROW",IF(COUNTIF(M470:Q470,"✗")&gt;0,"❌ MISMATCH","✅ MATCH")))</f>
        <v/>
      </c>
    </row>
    <row r="471" customFormat="false" ht="15" hidden="false" customHeight="true" outlineLevel="0" collapsed="false">
      <c r="A471" s="22" t="str">
        <f aca="false">IF(Daily_Data!A470="","",Daily_Data!A470)</f>
        <v/>
      </c>
      <c r="B471" s="23" t="str">
        <f aca="false">IF(Daily_Data!B470="","",Daily_Data!B470)</f>
        <v/>
      </c>
      <c r="C471" s="23" t="str">
        <f aca="false">IF(A471="","",Daily_Data!C470)</f>
        <v/>
      </c>
      <c r="D471" s="23" t="str">
        <f aca="false">IF(A471="","",Daily_Data!D470)</f>
        <v/>
      </c>
      <c r="E471" s="24" t="str">
        <f aca="false">IF(A471="","",Daily_Data!E470)</f>
        <v/>
      </c>
      <c r="F471" s="23" t="str">
        <f aca="false">IF(A471="","",Daily_Data!F470)</f>
        <v/>
      </c>
      <c r="G471" s="23" t="str">
        <f aca="false">IF(A471="","",Daily_Data!G470)</f>
        <v/>
      </c>
      <c r="H471" s="25" t="str">
        <f aca="false">IF(A471="","",IFERROR(INDEX(SCD_Data!$C$3:$C$502,SUMPRODUCT((SCD_Data!$A$3:$A$502=B471)*(IFERROR(DATEVALUE(SCD_Data!$H$3:$H$502&amp;""),SCD_Data!$H$3:$H$502)&lt;=IFERROR(DATEVALUE(A471&amp;""),A471))*(IFERROR(DATEVALUE(SCD_Data!$I$3:$I$502&amp;""),SCD_Data!$I$3:$I$502)&gt;=IFERROR(DATEVALUE(A471&amp;""),A471))*(ROW(SCD_Data!$A$3:$A$502)-2))),"—"))</f>
        <v/>
      </c>
      <c r="I471" s="25" t="str">
        <f aca="false">IF(A471="","",IFERROR(INDEX(SCD_Data!$D$3:$D$502,SUMPRODUCT((SCD_Data!$A$3:$A$502=B471)*(IFERROR(DATEVALUE(SCD_Data!$H$3:$H$502&amp;""),SCD_Data!$H$3:$H$502)&lt;=IFERROR(DATEVALUE(A471&amp;""),A471))*(IFERROR(DATEVALUE(SCD_Data!$I$3:$I$502&amp;""),SCD_Data!$I$3:$I$502)&gt;=IFERROR(DATEVALUE(A471&amp;""),A471))*(ROW(SCD_Data!$A$3:$A$502)-2))),"—"))</f>
        <v/>
      </c>
      <c r="J471" s="26" t="str">
        <f aca="false">IF(A471="","",IFERROR(INDEX(SCD_Data!$E$3:$E$502,SUMPRODUCT((SCD_Data!$A$3:$A$502=B471)*(IFERROR(DATEVALUE(SCD_Data!$H$3:$H$502&amp;""),SCD_Data!$H$3:$H$502)&lt;=IFERROR(DATEVALUE(A471&amp;""),A471))*(IFERROR(DATEVALUE(SCD_Data!$I$3:$I$502&amp;""),SCD_Data!$I$3:$I$502)&gt;=IFERROR(DATEVALUE(A471&amp;""),A471))*(ROW(SCD_Data!$A$3:$A$502)-2))),"—"))</f>
        <v/>
      </c>
      <c r="K471" s="25" t="str">
        <f aca="false">IF(A471="","",IFERROR(INDEX(SCD_Data!$F$3:$F$502,SUMPRODUCT((SCD_Data!$A$3:$A$502=B471)*(IFERROR(DATEVALUE(SCD_Data!$H$3:$H$502&amp;""),SCD_Data!$H$3:$H$502)&lt;=IFERROR(DATEVALUE(A471&amp;""),A471))*(IFERROR(DATEVALUE(SCD_Data!$I$3:$I$502&amp;""),SCD_Data!$I$3:$I$502)&gt;=IFERROR(DATEVALUE(A471&amp;""),A471))*(ROW(SCD_Data!$A$3:$A$502)-2))),"—"))</f>
        <v/>
      </c>
      <c r="L471" s="25" t="str">
        <f aca="false">IF(A471="","",IFERROR(INDEX(SCD_Data!$G$3:$G$502,SUMPRODUCT((SCD_Data!$A$3:$A$502=B471)*(IFERROR(DATEVALUE(SCD_Data!$H$3:$H$502&amp;""),SCD_Data!$H$3:$H$502)&lt;=IFERROR(DATEVALUE(A471&amp;""),A471))*(IFERROR(DATEVALUE(SCD_Data!$I$3:$I$502&amp;""),SCD_Data!$I$3:$I$502)&gt;=IFERROR(DATEVALUE(A471&amp;""),A471))*(ROW(SCD_Data!$A$3:$A$502)-2))),"—"))</f>
        <v/>
      </c>
      <c r="M471" s="27" t="str">
        <f aca="false">IF(A471="","",IF(H471="—","—",IF(C471&amp;""=H471&amp;"","✓","✗")))</f>
        <v/>
      </c>
      <c r="N471" s="27" t="str">
        <f aca="false">IF(A471="","",IF(H471="—","—",IF(D471&amp;""=I471&amp;"","✓","✗")))</f>
        <v/>
      </c>
      <c r="O471" s="27" t="str">
        <f aca="false">IF(A471="","",IF(H471="—","—",IF(ABS(E471-J471)&lt;0.01,"✓","✗")))</f>
        <v/>
      </c>
      <c r="P471" s="27" t="str">
        <f aca="false">IF(A471="","",IF(H471="—","—",IF(F471&amp;""=K471&amp;"","✓","✗")))</f>
        <v/>
      </c>
      <c r="Q471" s="27" t="str">
        <f aca="false">IF(A471="","",IF(H471="—","—",IF(G471&amp;""=L471&amp;"","✓","✗")))</f>
        <v/>
      </c>
      <c r="R471" s="27" t="str">
        <f aca="false">IF(A471="","",IF(COUNTIF(M471:Q471,"—")=5,"⚠ NO SCD ROW",IF(COUNTIF(M471:Q471,"✗")&gt;0,"❌ MISMATCH","✅ MATCH")))</f>
        <v/>
      </c>
    </row>
    <row r="472" customFormat="false" ht="15" hidden="false" customHeight="true" outlineLevel="0" collapsed="false">
      <c r="A472" s="22" t="str">
        <f aca="false">IF(Daily_Data!A471="","",Daily_Data!A471)</f>
        <v/>
      </c>
      <c r="B472" s="23" t="str">
        <f aca="false">IF(Daily_Data!B471="","",Daily_Data!B471)</f>
        <v/>
      </c>
      <c r="C472" s="23" t="str">
        <f aca="false">IF(A472="","",Daily_Data!C471)</f>
        <v/>
      </c>
      <c r="D472" s="23" t="str">
        <f aca="false">IF(A472="","",Daily_Data!D471)</f>
        <v/>
      </c>
      <c r="E472" s="24" t="str">
        <f aca="false">IF(A472="","",Daily_Data!E471)</f>
        <v/>
      </c>
      <c r="F472" s="23" t="str">
        <f aca="false">IF(A472="","",Daily_Data!F471)</f>
        <v/>
      </c>
      <c r="G472" s="23" t="str">
        <f aca="false">IF(A472="","",Daily_Data!G471)</f>
        <v/>
      </c>
      <c r="H472" s="25" t="str">
        <f aca="false">IF(A472="","",IFERROR(INDEX(SCD_Data!$C$3:$C$502,SUMPRODUCT((SCD_Data!$A$3:$A$502=B472)*(IFERROR(DATEVALUE(SCD_Data!$H$3:$H$502&amp;""),SCD_Data!$H$3:$H$502)&lt;=IFERROR(DATEVALUE(A472&amp;""),A472))*(IFERROR(DATEVALUE(SCD_Data!$I$3:$I$502&amp;""),SCD_Data!$I$3:$I$502)&gt;=IFERROR(DATEVALUE(A472&amp;""),A472))*(ROW(SCD_Data!$A$3:$A$502)-2))),"—"))</f>
        <v/>
      </c>
      <c r="I472" s="25" t="str">
        <f aca="false">IF(A472="","",IFERROR(INDEX(SCD_Data!$D$3:$D$502,SUMPRODUCT((SCD_Data!$A$3:$A$502=B472)*(IFERROR(DATEVALUE(SCD_Data!$H$3:$H$502&amp;""),SCD_Data!$H$3:$H$502)&lt;=IFERROR(DATEVALUE(A472&amp;""),A472))*(IFERROR(DATEVALUE(SCD_Data!$I$3:$I$502&amp;""),SCD_Data!$I$3:$I$502)&gt;=IFERROR(DATEVALUE(A472&amp;""),A472))*(ROW(SCD_Data!$A$3:$A$502)-2))),"—"))</f>
        <v/>
      </c>
      <c r="J472" s="26" t="str">
        <f aca="false">IF(A472="","",IFERROR(INDEX(SCD_Data!$E$3:$E$502,SUMPRODUCT((SCD_Data!$A$3:$A$502=B472)*(IFERROR(DATEVALUE(SCD_Data!$H$3:$H$502&amp;""),SCD_Data!$H$3:$H$502)&lt;=IFERROR(DATEVALUE(A472&amp;""),A472))*(IFERROR(DATEVALUE(SCD_Data!$I$3:$I$502&amp;""),SCD_Data!$I$3:$I$502)&gt;=IFERROR(DATEVALUE(A472&amp;""),A472))*(ROW(SCD_Data!$A$3:$A$502)-2))),"—"))</f>
        <v/>
      </c>
      <c r="K472" s="25" t="str">
        <f aca="false">IF(A472="","",IFERROR(INDEX(SCD_Data!$F$3:$F$502,SUMPRODUCT((SCD_Data!$A$3:$A$502=B472)*(IFERROR(DATEVALUE(SCD_Data!$H$3:$H$502&amp;""),SCD_Data!$H$3:$H$502)&lt;=IFERROR(DATEVALUE(A472&amp;""),A472))*(IFERROR(DATEVALUE(SCD_Data!$I$3:$I$502&amp;""),SCD_Data!$I$3:$I$502)&gt;=IFERROR(DATEVALUE(A472&amp;""),A472))*(ROW(SCD_Data!$A$3:$A$502)-2))),"—"))</f>
        <v/>
      </c>
      <c r="L472" s="25" t="str">
        <f aca="false">IF(A472="","",IFERROR(INDEX(SCD_Data!$G$3:$G$502,SUMPRODUCT((SCD_Data!$A$3:$A$502=B472)*(IFERROR(DATEVALUE(SCD_Data!$H$3:$H$502&amp;""),SCD_Data!$H$3:$H$502)&lt;=IFERROR(DATEVALUE(A472&amp;""),A472))*(IFERROR(DATEVALUE(SCD_Data!$I$3:$I$502&amp;""),SCD_Data!$I$3:$I$502)&gt;=IFERROR(DATEVALUE(A472&amp;""),A472))*(ROW(SCD_Data!$A$3:$A$502)-2))),"—"))</f>
        <v/>
      </c>
      <c r="M472" s="27" t="str">
        <f aca="false">IF(A472="","",IF(H472="—","—",IF(C472&amp;""=H472&amp;"","✓","✗")))</f>
        <v/>
      </c>
      <c r="N472" s="27" t="str">
        <f aca="false">IF(A472="","",IF(H472="—","—",IF(D472&amp;""=I472&amp;"","✓","✗")))</f>
        <v/>
      </c>
      <c r="O472" s="27" t="str">
        <f aca="false">IF(A472="","",IF(H472="—","—",IF(ABS(E472-J472)&lt;0.01,"✓","✗")))</f>
        <v/>
      </c>
      <c r="P472" s="27" t="str">
        <f aca="false">IF(A472="","",IF(H472="—","—",IF(F472&amp;""=K472&amp;"","✓","✗")))</f>
        <v/>
      </c>
      <c r="Q472" s="27" t="str">
        <f aca="false">IF(A472="","",IF(H472="—","—",IF(G472&amp;""=L472&amp;"","✓","✗")))</f>
        <v/>
      </c>
      <c r="R472" s="27" t="str">
        <f aca="false">IF(A472="","",IF(COUNTIF(M472:Q472,"—")=5,"⚠ NO SCD ROW",IF(COUNTIF(M472:Q472,"✗")&gt;0,"❌ MISMATCH","✅ MATCH")))</f>
        <v/>
      </c>
    </row>
    <row r="473" customFormat="false" ht="15" hidden="false" customHeight="true" outlineLevel="0" collapsed="false">
      <c r="A473" s="22" t="str">
        <f aca="false">IF(Daily_Data!A472="","",Daily_Data!A472)</f>
        <v/>
      </c>
      <c r="B473" s="23" t="str">
        <f aca="false">IF(Daily_Data!B472="","",Daily_Data!B472)</f>
        <v/>
      </c>
      <c r="C473" s="23" t="str">
        <f aca="false">IF(A473="","",Daily_Data!C472)</f>
        <v/>
      </c>
      <c r="D473" s="23" t="str">
        <f aca="false">IF(A473="","",Daily_Data!D472)</f>
        <v/>
      </c>
      <c r="E473" s="24" t="str">
        <f aca="false">IF(A473="","",Daily_Data!E472)</f>
        <v/>
      </c>
      <c r="F473" s="23" t="str">
        <f aca="false">IF(A473="","",Daily_Data!F472)</f>
        <v/>
      </c>
      <c r="G473" s="23" t="str">
        <f aca="false">IF(A473="","",Daily_Data!G472)</f>
        <v/>
      </c>
      <c r="H473" s="25" t="str">
        <f aca="false">IF(A473="","",IFERROR(INDEX(SCD_Data!$C$3:$C$502,SUMPRODUCT((SCD_Data!$A$3:$A$502=B473)*(IFERROR(DATEVALUE(SCD_Data!$H$3:$H$502&amp;""),SCD_Data!$H$3:$H$502)&lt;=IFERROR(DATEVALUE(A473&amp;""),A473))*(IFERROR(DATEVALUE(SCD_Data!$I$3:$I$502&amp;""),SCD_Data!$I$3:$I$502)&gt;=IFERROR(DATEVALUE(A473&amp;""),A473))*(ROW(SCD_Data!$A$3:$A$502)-2))),"—"))</f>
        <v/>
      </c>
      <c r="I473" s="25" t="str">
        <f aca="false">IF(A473="","",IFERROR(INDEX(SCD_Data!$D$3:$D$502,SUMPRODUCT((SCD_Data!$A$3:$A$502=B473)*(IFERROR(DATEVALUE(SCD_Data!$H$3:$H$502&amp;""),SCD_Data!$H$3:$H$502)&lt;=IFERROR(DATEVALUE(A473&amp;""),A473))*(IFERROR(DATEVALUE(SCD_Data!$I$3:$I$502&amp;""),SCD_Data!$I$3:$I$502)&gt;=IFERROR(DATEVALUE(A473&amp;""),A473))*(ROW(SCD_Data!$A$3:$A$502)-2))),"—"))</f>
        <v/>
      </c>
      <c r="J473" s="26" t="str">
        <f aca="false">IF(A473="","",IFERROR(INDEX(SCD_Data!$E$3:$E$502,SUMPRODUCT((SCD_Data!$A$3:$A$502=B473)*(IFERROR(DATEVALUE(SCD_Data!$H$3:$H$502&amp;""),SCD_Data!$H$3:$H$502)&lt;=IFERROR(DATEVALUE(A473&amp;""),A473))*(IFERROR(DATEVALUE(SCD_Data!$I$3:$I$502&amp;""),SCD_Data!$I$3:$I$502)&gt;=IFERROR(DATEVALUE(A473&amp;""),A473))*(ROW(SCD_Data!$A$3:$A$502)-2))),"—"))</f>
        <v/>
      </c>
      <c r="K473" s="25" t="str">
        <f aca="false">IF(A473="","",IFERROR(INDEX(SCD_Data!$F$3:$F$502,SUMPRODUCT((SCD_Data!$A$3:$A$502=B473)*(IFERROR(DATEVALUE(SCD_Data!$H$3:$H$502&amp;""),SCD_Data!$H$3:$H$502)&lt;=IFERROR(DATEVALUE(A473&amp;""),A473))*(IFERROR(DATEVALUE(SCD_Data!$I$3:$I$502&amp;""),SCD_Data!$I$3:$I$502)&gt;=IFERROR(DATEVALUE(A473&amp;""),A473))*(ROW(SCD_Data!$A$3:$A$502)-2))),"—"))</f>
        <v/>
      </c>
      <c r="L473" s="25" t="str">
        <f aca="false">IF(A473="","",IFERROR(INDEX(SCD_Data!$G$3:$G$502,SUMPRODUCT((SCD_Data!$A$3:$A$502=B473)*(IFERROR(DATEVALUE(SCD_Data!$H$3:$H$502&amp;""),SCD_Data!$H$3:$H$502)&lt;=IFERROR(DATEVALUE(A473&amp;""),A473))*(IFERROR(DATEVALUE(SCD_Data!$I$3:$I$502&amp;""),SCD_Data!$I$3:$I$502)&gt;=IFERROR(DATEVALUE(A473&amp;""),A473))*(ROW(SCD_Data!$A$3:$A$502)-2))),"—"))</f>
        <v/>
      </c>
      <c r="M473" s="27" t="str">
        <f aca="false">IF(A473="","",IF(H473="—","—",IF(C473&amp;""=H473&amp;"","✓","✗")))</f>
        <v/>
      </c>
      <c r="N473" s="27" t="str">
        <f aca="false">IF(A473="","",IF(H473="—","—",IF(D473&amp;""=I473&amp;"","✓","✗")))</f>
        <v/>
      </c>
      <c r="O473" s="27" t="str">
        <f aca="false">IF(A473="","",IF(H473="—","—",IF(ABS(E473-J473)&lt;0.01,"✓","✗")))</f>
        <v/>
      </c>
      <c r="P473" s="27" t="str">
        <f aca="false">IF(A473="","",IF(H473="—","—",IF(F473&amp;""=K473&amp;"","✓","✗")))</f>
        <v/>
      </c>
      <c r="Q473" s="27" t="str">
        <f aca="false">IF(A473="","",IF(H473="—","—",IF(G473&amp;""=L473&amp;"","✓","✗")))</f>
        <v/>
      </c>
      <c r="R473" s="27" t="str">
        <f aca="false">IF(A473="","",IF(COUNTIF(M473:Q473,"—")=5,"⚠ NO SCD ROW",IF(COUNTIF(M473:Q473,"✗")&gt;0,"❌ MISMATCH","✅ MATCH")))</f>
        <v/>
      </c>
    </row>
    <row r="474" customFormat="false" ht="15" hidden="false" customHeight="true" outlineLevel="0" collapsed="false">
      <c r="A474" s="22" t="str">
        <f aca="false">IF(Daily_Data!A473="","",Daily_Data!A473)</f>
        <v/>
      </c>
      <c r="B474" s="23" t="str">
        <f aca="false">IF(Daily_Data!B473="","",Daily_Data!B473)</f>
        <v/>
      </c>
      <c r="C474" s="23" t="str">
        <f aca="false">IF(A474="","",Daily_Data!C473)</f>
        <v/>
      </c>
      <c r="D474" s="23" t="str">
        <f aca="false">IF(A474="","",Daily_Data!D473)</f>
        <v/>
      </c>
      <c r="E474" s="24" t="str">
        <f aca="false">IF(A474="","",Daily_Data!E473)</f>
        <v/>
      </c>
      <c r="F474" s="23" t="str">
        <f aca="false">IF(A474="","",Daily_Data!F473)</f>
        <v/>
      </c>
      <c r="G474" s="23" t="str">
        <f aca="false">IF(A474="","",Daily_Data!G473)</f>
        <v/>
      </c>
      <c r="H474" s="25" t="str">
        <f aca="false">IF(A474="","",IFERROR(INDEX(SCD_Data!$C$3:$C$502,SUMPRODUCT((SCD_Data!$A$3:$A$502=B474)*(IFERROR(DATEVALUE(SCD_Data!$H$3:$H$502&amp;""),SCD_Data!$H$3:$H$502)&lt;=IFERROR(DATEVALUE(A474&amp;""),A474))*(IFERROR(DATEVALUE(SCD_Data!$I$3:$I$502&amp;""),SCD_Data!$I$3:$I$502)&gt;=IFERROR(DATEVALUE(A474&amp;""),A474))*(ROW(SCD_Data!$A$3:$A$502)-2))),"—"))</f>
        <v/>
      </c>
      <c r="I474" s="25" t="str">
        <f aca="false">IF(A474="","",IFERROR(INDEX(SCD_Data!$D$3:$D$502,SUMPRODUCT((SCD_Data!$A$3:$A$502=B474)*(IFERROR(DATEVALUE(SCD_Data!$H$3:$H$502&amp;""),SCD_Data!$H$3:$H$502)&lt;=IFERROR(DATEVALUE(A474&amp;""),A474))*(IFERROR(DATEVALUE(SCD_Data!$I$3:$I$502&amp;""),SCD_Data!$I$3:$I$502)&gt;=IFERROR(DATEVALUE(A474&amp;""),A474))*(ROW(SCD_Data!$A$3:$A$502)-2))),"—"))</f>
        <v/>
      </c>
      <c r="J474" s="26" t="str">
        <f aca="false">IF(A474="","",IFERROR(INDEX(SCD_Data!$E$3:$E$502,SUMPRODUCT((SCD_Data!$A$3:$A$502=B474)*(IFERROR(DATEVALUE(SCD_Data!$H$3:$H$502&amp;""),SCD_Data!$H$3:$H$502)&lt;=IFERROR(DATEVALUE(A474&amp;""),A474))*(IFERROR(DATEVALUE(SCD_Data!$I$3:$I$502&amp;""),SCD_Data!$I$3:$I$502)&gt;=IFERROR(DATEVALUE(A474&amp;""),A474))*(ROW(SCD_Data!$A$3:$A$502)-2))),"—"))</f>
        <v/>
      </c>
      <c r="K474" s="25" t="str">
        <f aca="false">IF(A474="","",IFERROR(INDEX(SCD_Data!$F$3:$F$502,SUMPRODUCT((SCD_Data!$A$3:$A$502=B474)*(IFERROR(DATEVALUE(SCD_Data!$H$3:$H$502&amp;""),SCD_Data!$H$3:$H$502)&lt;=IFERROR(DATEVALUE(A474&amp;""),A474))*(IFERROR(DATEVALUE(SCD_Data!$I$3:$I$502&amp;""),SCD_Data!$I$3:$I$502)&gt;=IFERROR(DATEVALUE(A474&amp;""),A474))*(ROW(SCD_Data!$A$3:$A$502)-2))),"—"))</f>
        <v/>
      </c>
      <c r="L474" s="25" t="str">
        <f aca="false">IF(A474="","",IFERROR(INDEX(SCD_Data!$G$3:$G$502,SUMPRODUCT((SCD_Data!$A$3:$A$502=B474)*(IFERROR(DATEVALUE(SCD_Data!$H$3:$H$502&amp;""),SCD_Data!$H$3:$H$502)&lt;=IFERROR(DATEVALUE(A474&amp;""),A474))*(IFERROR(DATEVALUE(SCD_Data!$I$3:$I$502&amp;""),SCD_Data!$I$3:$I$502)&gt;=IFERROR(DATEVALUE(A474&amp;""),A474))*(ROW(SCD_Data!$A$3:$A$502)-2))),"—"))</f>
        <v/>
      </c>
      <c r="M474" s="27" t="str">
        <f aca="false">IF(A474="","",IF(H474="—","—",IF(C474&amp;""=H474&amp;"","✓","✗")))</f>
        <v/>
      </c>
      <c r="N474" s="27" t="str">
        <f aca="false">IF(A474="","",IF(H474="—","—",IF(D474&amp;""=I474&amp;"","✓","✗")))</f>
        <v/>
      </c>
      <c r="O474" s="27" t="str">
        <f aca="false">IF(A474="","",IF(H474="—","—",IF(ABS(E474-J474)&lt;0.01,"✓","✗")))</f>
        <v/>
      </c>
      <c r="P474" s="27" t="str">
        <f aca="false">IF(A474="","",IF(H474="—","—",IF(F474&amp;""=K474&amp;"","✓","✗")))</f>
        <v/>
      </c>
      <c r="Q474" s="27" t="str">
        <f aca="false">IF(A474="","",IF(H474="—","—",IF(G474&amp;""=L474&amp;"","✓","✗")))</f>
        <v/>
      </c>
      <c r="R474" s="27" t="str">
        <f aca="false">IF(A474="","",IF(COUNTIF(M474:Q474,"—")=5,"⚠ NO SCD ROW",IF(COUNTIF(M474:Q474,"✗")&gt;0,"❌ MISMATCH","✅ MATCH")))</f>
        <v/>
      </c>
    </row>
    <row r="475" customFormat="false" ht="15" hidden="false" customHeight="true" outlineLevel="0" collapsed="false">
      <c r="A475" s="22" t="str">
        <f aca="false">IF(Daily_Data!A474="","",Daily_Data!A474)</f>
        <v/>
      </c>
      <c r="B475" s="23" t="str">
        <f aca="false">IF(Daily_Data!B474="","",Daily_Data!B474)</f>
        <v/>
      </c>
      <c r="C475" s="23" t="str">
        <f aca="false">IF(A475="","",Daily_Data!C474)</f>
        <v/>
      </c>
      <c r="D475" s="23" t="str">
        <f aca="false">IF(A475="","",Daily_Data!D474)</f>
        <v/>
      </c>
      <c r="E475" s="24" t="str">
        <f aca="false">IF(A475="","",Daily_Data!E474)</f>
        <v/>
      </c>
      <c r="F475" s="23" t="str">
        <f aca="false">IF(A475="","",Daily_Data!F474)</f>
        <v/>
      </c>
      <c r="G475" s="23" t="str">
        <f aca="false">IF(A475="","",Daily_Data!G474)</f>
        <v/>
      </c>
      <c r="H475" s="25" t="str">
        <f aca="false">IF(A475="","",IFERROR(INDEX(SCD_Data!$C$3:$C$502,SUMPRODUCT((SCD_Data!$A$3:$A$502=B475)*(IFERROR(DATEVALUE(SCD_Data!$H$3:$H$502&amp;""),SCD_Data!$H$3:$H$502)&lt;=IFERROR(DATEVALUE(A475&amp;""),A475))*(IFERROR(DATEVALUE(SCD_Data!$I$3:$I$502&amp;""),SCD_Data!$I$3:$I$502)&gt;=IFERROR(DATEVALUE(A475&amp;""),A475))*(ROW(SCD_Data!$A$3:$A$502)-2))),"—"))</f>
        <v/>
      </c>
      <c r="I475" s="25" t="str">
        <f aca="false">IF(A475="","",IFERROR(INDEX(SCD_Data!$D$3:$D$502,SUMPRODUCT((SCD_Data!$A$3:$A$502=B475)*(IFERROR(DATEVALUE(SCD_Data!$H$3:$H$502&amp;""),SCD_Data!$H$3:$H$502)&lt;=IFERROR(DATEVALUE(A475&amp;""),A475))*(IFERROR(DATEVALUE(SCD_Data!$I$3:$I$502&amp;""),SCD_Data!$I$3:$I$502)&gt;=IFERROR(DATEVALUE(A475&amp;""),A475))*(ROW(SCD_Data!$A$3:$A$502)-2))),"—"))</f>
        <v/>
      </c>
      <c r="J475" s="26" t="str">
        <f aca="false">IF(A475="","",IFERROR(INDEX(SCD_Data!$E$3:$E$502,SUMPRODUCT((SCD_Data!$A$3:$A$502=B475)*(IFERROR(DATEVALUE(SCD_Data!$H$3:$H$502&amp;""),SCD_Data!$H$3:$H$502)&lt;=IFERROR(DATEVALUE(A475&amp;""),A475))*(IFERROR(DATEVALUE(SCD_Data!$I$3:$I$502&amp;""),SCD_Data!$I$3:$I$502)&gt;=IFERROR(DATEVALUE(A475&amp;""),A475))*(ROW(SCD_Data!$A$3:$A$502)-2))),"—"))</f>
        <v/>
      </c>
      <c r="K475" s="25" t="str">
        <f aca="false">IF(A475="","",IFERROR(INDEX(SCD_Data!$F$3:$F$502,SUMPRODUCT((SCD_Data!$A$3:$A$502=B475)*(IFERROR(DATEVALUE(SCD_Data!$H$3:$H$502&amp;""),SCD_Data!$H$3:$H$502)&lt;=IFERROR(DATEVALUE(A475&amp;""),A475))*(IFERROR(DATEVALUE(SCD_Data!$I$3:$I$502&amp;""),SCD_Data!$I$3:$I$502)&gt;=IFERROR(DATEVALUE(A475&amp;""),A475))*(ROW(SCD_Data!$A$3:$A$502)-2))),"—"))</f>
        <v/>
      </c>
      <c r="L475" s="25" t="str">
        <f aca="false">IF(A475="","",IFERROR(INDEX(SCD_Data!$G$3:$G$502,SUMPRODUCT((SCD_Data!$A$3:$A$502=B475)*(IFERROR(DATEVALUE(SCD_Data!$H$3:$H$502&amp;""),SCD_Data!$H$3:$H$502)&lt;=IFERROR(DATEVALUE(A475&amp;""),A475))*(IFERROR(DATEVALUE(SCD_Data!$I$3:$I$502&amp;""),SCD_Data!$I$3:$I$502)&gt;=IFERROR(DATEVALUE(A475&amp;""),A475))*(ROW(SCD_Data!$A$3:$A$502)-2))),"—"))</f>
        <v/>
      </c>
      <c r="M475" s="27" t="str">
        <f aca="false">IF(A475="","",IF(H475="—","—",IF(C475&amp;""=H475&amp;"","✓","✗")))</f>
        <v/>
      </c>
      <c r="N475" s="27" t="str">
        <f aca="false">IF(A475="","",IF(H475="—","—",IF(D475&amp;""=I475&amp;"","✓","✗")))</f>
        <v/>
      </c>
      <c r="O475" s="27" t="str">
        <f aca="false">IF(A475="","",IF(H475="—","—",IF(ABS(E475-J475)&lt;0.01,"✓","✗")))</f>
        <v/>
      </c>
      <c r="P475" s="27" t="str">
        <f aca="false">IF(A475="","",IF(H475="—","—",IF(F475&amp;""=K475&amp;"","✓","✗")))</f>
        <v/>
      </c>
      <c r="Q475" s="27" t="str">
        <f aca="false">IF(A475="","",IF(H475="—","—",IF(G475&amp;""=L475&amp;"","✓","✗")))</f>
        <v/>
      </c>
      <c r="R475" s="27" t="str">
        <f aca="false">IF(A475="","",IF(COUNTIF(M475:Q475,"—")=5,"⚠ NO SCD ROW",IF(COUNTIF(M475:Q475,"✗")&gt;0,"❌ MISMATCH","✅ MATCH")))</f>
        <v/>
      </c>
    </row>
    <row r="476" customFormat="false" ht="15" hidden="false" customHeight="true" outlineLevel="0" collapsed="false">
      <c r="A476" s="22" t="str">
        <f aca="false">IF(Daily_Data!A475="","",Daily_Data!A475)</f>
        <v/>
      </c>
      <c r="B476" s="23" t="str">
        <f aca="false">IF(Daily_Data!B475="","",Daily_Data!B475)</f>
        <v/>
      </c>
      <c r="C476" s="23" t="str">
        <f aca="false">IF(A476="","",Daily_Data!C475)</f>
        <v/>
      </c>
      <c r="D476" s="23" t="str">
        <f aca="false">IF(A476="","",Daily_Data!D475)</f>
        <v/>
      </c>
      <c r="E476" s="24" t="str">
        <f aca="false">IF(A476="","",Daily_Data!E475)</f>
        <v/>
      </c>
      <c r="F476" s="23" t="str">
        <f aca="false">IF(A476="","",Daily_Data!F475)</f>
        <v/>
      </c>
      <c r="G476" s="23" t="str">
        <f aca="false">IF(A476="","",Daily_Data!G475)</f>
        <v/>
      </c>
      <c r="H476" s="25" t="str">
        <f aca="false">IF(A476="","",IFERROR(INDEX(SCD_Data!$C$3:$C$502,SUMPRODUCT((SCD_Data!$A$3:$A$502=B476)*(IFERROR(DATEVALUE(SCD_Data!$H$3:$H$502&amp;""),SCD_Data!$H$3:$H$502)&lt;=IFERROR(DATEVALUE(A476&amp;""),A476))*(IFERROR(DATEVALUE(SCD_Data!$I$3:$I$502&amp;""),SCD_Data!$I$3:$I$502)&gt;=IFERROR(DATEVALUE(A476&amp;""),A476))*(ROW(SCD_Data!$A$3:$A$502)-2))),"—"))</f>
        <v/>
      </c>
      <c r="I476" s="25" t="str">
        <f aca="false">IF(A476="","",IFERROR(INDEX(SCD_Data!$D$3:$D$502,SUMPRODUCT((SCD_Data!$A$3:$A$502=B476)*(IFERROR(DATEVALUE(SCD_Data!$H$3:$H$502&amp;""),SCD_Data!$H$3:$H$502)&lt;=IFERROR(DATEVALUE(A476&amp;""),A476))*(IFERROR(DATEVALUE(SCD_Data!$I$3:$I$502&amp;""),SCD_Data!$I$3:$I$502)&gt;=IFERROR(DATEVALUE(A476&amp;""),A476))*(ROW(SCD_Data!$A$3:$A$502)-2))),"—"))</f>
        <v/>
      </c>
      <c r="J476" s="26" t="str">
        <f aca="false">IF(A476="","",IFERROR(INDEX(SCD_Data!$E$3:$E$502,SUMPRODUCT((SCD_Data!$A$3:$A$502=B476)*(IFERROR(DATEVALUE(SCD_Data!$H$3:$H$502&amp;""),SCD_Data!$H$3:$H$502)&lt;=IFERROR(DATEVALUE(A476&amp;""),A476))*(IFERROR(DATEVALUE(SCD_Data!$I$3:$I$502&amp;""),SCD_Data!$I$3:$I$502)&gt;=IFERROR(DATEVALUE(A476&amp;""),A476))*(ROW(SCD_Data!$A$3:$A$502)-2))),"—"))</f>
        <v/>
      </c>
      <c r="K476" s="25" t="str">
        <f aca="false">IF(A476="","",IFERROR(INDEX(SCD_Data!$F$3:$F$502,SUMPRODUCT((SCD_Data!$A$3:$A$502=B476)*(IFERROR(DATEVALUE(SCD_Data!$H$3:$H$502&amp;""),SCD_Data!$H$3:$H$502)&lt;=IFERROR(DATEVALUE(A476&amp;""),A476))*(IFERROR(DATEVALUE(SCD_Data!$I$3:$I$502&amp;""),SCD_Data!$I$3:$I$502)&gt;=IFERROR(DATEVALUE(A476&amp;""),A476))*(ROW(SCD_Data!$A$3:$A$502)-2))),"—"))</f>
        <v/>
      </c>
      <c r="L476" s="25" t="str">
        <f aca="false">IF(A476="","",IFERROR(INDEX(SCD_Data!$G$3:$G$502,SUMPRODUCT((SCD_Data!$A$3:$A$502=B476)*(IFERROR(DATEVALUE(SCD_Data!$H$3:$H$502&amp;""),SCD_Data!$H$3:$H$502)&lt;=IFERROR(DATEVALUE(A476&amp;""),A476))*(IFERROR(DATEVALUE(SCD_Data!$I$3:$I$502&amp;""),SCD_Data!$I$3:$I$502)&gt;=IFERROR(DATEVALUE(A476&amp;""),A476))*(ROW(SCD_Data!$A$3:$A$502)-2))),"—"))</f>
        <v/>
      </c>
      <c r="M476" s="27" t="str">
        <f aca="false">IF(A476="","",IF(H476="—","—",IF(C476&amp;""=H476&amp;"","✓","✗")))</f>
        <v/>
      </c>
      <c r="N476" s="27" t="str">
        <f aca="false">IF(A476="","",IF(H476="—","—",IF(D476&amp;""=I476&amp;"","✓","✗")))</f>
        <v/>
      </c>
      <c r="O476" s="27" t="str">
        <f aca="false">IF(A476="","",IF(H476="—","—",IF(ABS(E476-J476)&lt;0.01,"✓","✗")))</f>
        <v/>
      </c>
      <c r="P476" s="27" t="str">
        <f aca="false">IF(A476="","",IF(H476="—","—",IF(F476&amp;""=K476&amp;"","✓","✗")))</f>
        <v/>
      </c>
      <c r="Q476" s="27" t="str">
        <f aca="false">IF(A476="","",IF(H476="—","—",IF(G476&amp;""=L476&amp;"","✓","✗")))</f>
        <v/>
      </c>
      <c r="R476" s="27" t="str">
        <f aca="false">IF(A476="","",IF(COUNTIF(M476:Q476,"—")=5,"⚠ NO SCD ROW",IF(COUNTIF(M476:Q476,"✗")&gt;0,"❌ MISMATCH","✅ MATCH")))</f>
        <v/>
      </c>
    </row>
    <row r="477" customFormat="false" ht="15" hidden="false" customHeight="true" outlineLevel="0" collapsed="false">
      <c r="A477" s="22" t="str">
        <f aca="false">IF(Daily_Data!A476="","",Daily_Data!A476)</f>
        <v/>
      </c>
      <c r="B477" s="23" t="str">
        <f aca="false">IF(Daily_Data!B476="","",Daily_Data!B476)</f>
        <v/>
      </c>
      <c r="C477" s="23" t="str">
        <f aca="false">IF(A477="","",Daily_Data!C476)</f>
        <v/>
      </c>
      <c r="D477" s="23" t="str">
        <f aca="false">IF(A477="","",Daily_Data!D476)</f>
        <v/>
      </c>
      <c r="E477" s="24" t="str">
        <f aca="false">IF(A477="","",Daily_Data!E476)</f>
        <v/>
      </c>
      <c r="F477" s="23" t="str">
        <f aca="false">IF(A477="","",Daily_Data!F476)</f>
        <v/>
      </c>
      <c r="G477" s="23" t="str">
        <f aca="false">IF(A477="","",Daily_Data!G476)</f>
        <v/>
      </c>
      <c r="H477" s="25" t="str">
        <f aca="false">IF(A477="","",IFERROR(INDEX(SCD_Data!$C$3:$C$502,SUMPRODUCT((SCD_Data!$A$3:$A$502=B477)*(IFERROR(DATEVALUE(SCD_Data!$H$3:$H$502&amp;""),SCD_Data!$H$3:$H$502)&lt;=IFERROR(DATEVALUE(A477&amp;""),A477))*(IFERROR(DATEVALUE(SCD_Data!$I$3:$I$502&amp;""),SCD_Data!$I$3:$I$502)&gt;=IFERROR(DATEVALUE(A477&amp;""),A477))*(ROW(SCD_Data!$A$3:$A$502)-2))),"—"))</f>
        <v/>
      </c>
      <c r="I477" s="25" t="str">
        <f aca="false">IF(A477="","",IFERROR(INDEX(SCD_Data!$D$3:$D$502,SUMPRODUCT((SCD_Data!$A$3:$A$502=B477)*(IFERROR(DATEVALUE(SCD_Data!$H$3:$H$502&amp;""),SCD_Data!$H$3:$H$502)&lt;=IFERROR(DATEVALUE(A477&amp;""),A477))*(IFERROR(DATEVALUE(SCD_Data!$I$3:$I$502&amp;""),SCD_Data!$I$3:$I$502)&gt;=IFERROR(DATEVALUE(A477&amp;""),A477))*(ROW(SCD_Data!$A$3:$A$502)-2))),"—"))</f>
        <v/>
      </c>
      <c r="J477" s="26" t="str">
        <f aca="false">IF(A477="","",IFERROR(INDEX(SCD_Data!$E$3:$E$502,SUMPRODUCT((SCD_Data!$A$3:$A$502=B477)*(IFERROR(DATEVALUE(SCD_Data!$H$3:$H$502&amp;""),SCD_Data!$H$3:$H$502)&lt;=IFERROR(DATEVALUE(A477&amp;""),A477))*(IFERROR(DATEVALUE(SCD_Data!$I$3:$I$502&amp;""),SCD_Data!$I$3:$I$502)&gt;=IFERROR(DATEVALUE(A477&amp;""),A477))*(ROW(SCD_Data!$A$3:$A$502)-2))),"—"))</f>
        <v/>
      </c>
      <c r="K477" s="25" t="str">
        <f aca="false">IF(A477="","",IFERROR(INDEX(SCD_Data!$F$3:$F$502,SUMPRODUCT((SCD_Data!$A$3:$A$502=B477)*(IFERROR(DATEVALUE(SCD_Data!$H$3:$H$502&amp;""),SCD_Data!$H$3:$H$502)&lt;=IFERROR(DATEVALUE(A477&amp;""),A477))*(IFERROR(DATEVALUE(SCD_Data!$I$3:$I$502&amp;""),SCD_Data!$I$3:$I$502)&gt;=IFERROR(DATEVALUE(A477&amp;""),A477))*(ROW(SCD_Data!$A$3:$A$502)-2))),"—"))</f>
        <v/>
      </c>
      <c r="L477" s="25" t="str">
        <f aca="false">IF(A477="","",IFERROR(INDEX(SCD_Data!$G$3:$G$502,SUMPRODUCT((SCD_Data!$A$3:$A$502=B477)*(IFERROR(DATEVALUE(SCD_Data!$H$3:$H$502&amp;""),SCD_Data!$H$3:$H$502)&lt;=IFERROR(DATEVALUE(A477&amp;""),A477))*(IFERROR(DATEVALUE(SCD_Data!$I$3:$I$502&amp;""),SCD_Data!$I$3:$I$502)&gt;=IFERROR(DATEVALUE(A477&amp;""),A477))*(ROW(SCD_Data!$A$3:$A$502)-2))),"—"))</f>
        <v/>
      </c>
      <c r="M477" s="27" t="str">
        <f aca="false">IF(A477="","",IF(H477="—","—",IF(C477&amp;""=H477&amp;"","✓","✗")))</f>
        <v/>
      </c>
      <c r="N477" s="27" t="str">
        <f aca="false">IF(A477="","",IF(H477="—","—",IF(D477&amp;""=I477&amp;"","✓","✗")))</f>
        <v/>
      </c>
      <c r="O477" s="27" t="str">
        <f aca="false">IF(A477="","",IF(H477="—","—",IF(ABS(E477-J477)&lt;0.01,"✓","✗")))</f>
        <v/>
      </c>
      <c r="P477" s="27" t="str">
        <f aca="false">IF(A477="","",IF(H477="—","—",IF(F477&amp;""=K477&amp;"","✓","✗")))</f>
        <v/>
      </c>
      <c r="Q477" s="27" t="str">
        <f aca="false">IF(A477="","",IF(H477="—","—",IF(G477&amp;""=L477&amp;"","✓","✗")))</f>
        <v/>
      </c>
      <c r="R477" s="27" t="str">
        <f aca="false">IF(A477="","",IF(COUNTIF(M477:Q477,"—")=5,"⚠ NO SCD ROW",IF(COUNTIF(M477:Q477,"✗")&gt;0,"❌ MISMATCH","✅ MATCH")))</f>
        <v/>
      </c>
    </row>
    <row r="478" customFormat="false" ht="15" hidden="false" customHeight="true" outlineLevel="0" collapsed="false">
      <c r="A478" s="22" t="str">
        <f aca="false">IF(Daily_Data!A477="","",Daily_Data!A477)</f>
        <v/>
      </c>
      <c r="B478" s="23" t="str">
        <f aca="false">IF(Daily_Data!B477="","",Daily_Data!B477)</f>
        <v/>
      </c>
      <c r="C478" s="23" t="str">
        <f aca="false">IF(A478="","",Daily_Data!C477)</f>
        <v/>
      </c>
      <c r="D478" s="23" t="str">
        <f aca="false">IF(A478="","",Daily_Data!D477)</f>
        <v/>
      </c>
      <c r="E478" s="24" t="str">
        <f aca="false">IF(A478="","",Daily_Data!E477)</f>
        <v/>
      </c>
      <c r="F478" s="23" t="str">
        <f aca="false">IF(A478="","",Daily_Data!F477)</f>
        <v/>
      </c>
      <c r="G478" s="23" t="str">
        <f aca="false">IF(A478="","",Daily_Data!G477)</f>
        <v/>
      </c>
      <c r="H478" s="25" t="str">
        <f aca="false">IF(A478="","",IFERROR(INDEX(SCD_Data!$C$3:$C$502,SUMPRODUCT((SCD_Data!$A$3:$A$502=B478)*(IFERROR(DATEVALUE(SCD_Data!$H$3:$H$502&amp;""),SCD_Data!$H$3:$H$502)&lt;=IFERROR(DATEVALUE(A478&amp;""),A478))*(IFERROR(DATEVALUE(SCD_Data!$I$3:$I$502&amp;""),SCD_Data!$I$3:$I$502)&gt;=IFERROR(DATEVALUE(A478&amp;""),A478))*(ROW(SCD_Data!$A$3:$A$502)-2))),"—"))</f>
        <v/>
      </c>
      <c r="I478" s="25" t="str">
        <f aca="false">IF(A478="","",IFERROR(INDEX(SCD_Data!$D$3:$D$502,SUMPRODUCT((SCD_Data!$A$3:$A$502=B478)*(IFERROR(DATEVALUE(SCD_Data!$H$3:$H$502&amp;""),SCD_Data!$H$3:$H$502)&lt;=IFERROR(DATEVALUE(A478&amp;""),A478))*(IFERROR(DATEVALUE(SCD_Data!$I$3:$I$502&amp;""),SCD_Data!$I$3:$I$502)&gt;=IFERROR(DATEVALUE(A478&amp;""),A478))*(ROW(SCD_Data!$A$3:$A$502)-2))),"—"))</f>
        <v/>
      </c>
      <c r="J478" s="26" t="str">
        <f aca="false">IF(A478="","",IFERROR(INDEX(SCD_Data!$E$3:$E$502,SUMPRODUCT((SCD_Data!$A$3:$A$502=B478)*(IFERROR(DATEVALUE(SCD_Data!$H$3:$H$502&amp;""),SCD_Data!$H$3:$H$502)&lt;=IFERROR(DATEVALUE(A478&amp;""),A478))*(IFERROR(DATEVALUE(SCD_Data!$I$3:$I$502&amp;""),SCD_Data!$I$3:$I$502)&gt;=IFERROR(DATEVALUE(A478&amp;""),A478))*(ROW(SCD_Data!$A$3:$A$502)-2))),"—"))</f>
        <v/>
      </c>
      <c r="K478" s="25" t="str">
        <f aca="false">IF(A478="","",IFERROR(INDEX(SCD_Data!$F$3:$F$502,SUMPRODUCT((SCD_Data!$A$3:$A$502=B478)*(IFERROR(DATEVALUE(SCD_Data!$H$3:$H$502&amp;""),SCD_Data!$H$3:$H$502)&lt;=IFERROR(DATEVALUE(A478&amp;""),A478))*(IFERROR(DATEVALUE(SCD_Data!$I$3:$I$502&amp;""),SCD_Data!$I$3:$I$502)&gt;=IFERROR(DATEVALUE(A478&amp;""),A478))*(ROW(SCD_Data!$A$3:$A$502)-2))),"—"))</f>
        <v/>
      </c>
      <c r="L478" s="25" t="str">
        <f aca="false">IF(A478="","",IFERROR(INDEX(SCD_Data!$G$3:$G$502,SUMPRODUCT((SCD_Data!$A$3:$A$502=B478)*(IFERROR(DATEVALUE(SCD_Data!$H$3:$H$502&amp;""),SCD_Data!$H$3:$H$502)&lt;=IFERROR(DATEVALUE(A478&amp;""),A478))*(IFERROR(DATEVALUE(SCD_Data!$I$3:$I$502&amp;""),SCD_Data!$I$3:$I$502)&gt;=IFERROR(DATEVALUE(A478&amp;""),A478))*(ROW(SCD_Data!$A$3:$A$502)-2))),"—"))</f>
        <v/>
      </c>
      <c r="M478" s="27" t="str">
        <f aca="false">IF(A478="","",IF(H478="—","—",IF(C478&amp;""=H478&amp;"","✓","✗")))</f>
        <v/>
      </c>
      <c r="N478" s="27" t="str">
        <f aca="false">IF(A478="","",IF(H478="—","—",IF(D478&amp;""=I478&amp;"","✓","✗")))</f>
        <v/>
      </c>
      <c r="O478" s="27" t="str">
        <f aca="false">IF(A478="","",IF(H478="—","—",IF(ABS(E478-J478)&lt;0.01,"✓","✗")))</f>
        <v/>
      </c>
      <c r="P478" s="27" t="str">
        <f aca="false">IF(A478="","",IF(H478="—","—",IF(F478&amp;""=K478&amp;"","✓","✗")))</f>
        <v/>
      </c>
      <c r="Q478" s="27" t="str">
        <f aca="false">IF(A478="","",IF(H478="—","—",IF(G478&amp;""=L478&amp;"","✓","✗")))</f>
        <v/>
      </c>
      <c r="R478" s="27" t="str">
        <f aca="false">IF(A478="","",IF(COUNTIF(M478:Q478,"—")=5,"⚠ NO SCD ROW",IF(COUNTIF(M478:Q478,"✗")&gt;0,"❌ MISMATCH","✅ MATCH")))</f>
        <v/>
      </c>
    </row>
    <row r="479" customFormat="false" ht="15" hidden="false" customHeight="true" outlineLevel="0" collapsed="false">
      <c r="A479" s="22" t="str">
        <f aca="false">IF(Daily_Data!A478="","",Daily_Data!A478)</f>
        <v/>
      </c>
      <c r="B479" s="23" t="str">
        <f aca="false">IF(Daily_Data!B478="","",Daily_Data!B478)</f>
        <v/>
      </c>
      <c r="C479" s="23" t="str">
        <f aca="false">IF(A479="","",Daily_Data!C478)</f>
        <v/>
      </c>
      <c r="D479" s="23" t="str">
        <f aca="false">IF(A479="","",Daily_Data!D478)</f>
        <v/>
      </c>
      <c r="E479" s="24" t="str">
        <f aca="false">IF(A479="","",Daily_Data!E478)</f>
        <v/>
      </c>
      <c r="F479" s="23" t="str">
        <f aca="false">IF(A479="","",Daily_Data!F478)</f>
        <v/>
      </c>
      <c r="G479" s="23" t="str">
        <f aca="false">IF(A479="","",Daily_Data!G478)</f>
        <v/>
      </c>
      <c r="H479" s="25" t="str">
        <f aca="false">IF(A479="","",IFERROR(INDEX(SCD_Data!$C$3:$C$502,SUMPRODUCT((SCD_Data!$A$3:$A$502=B479)*(IFERROR(DATEVALUE(SCD_Data!$H$3:$H$502&amp;""),SCD_Data!$H$3:$H$502)&lt;=IFERROR(DATEVALUE(A479&amp;""),A479))*(IFERROR(DATEVALUE(SCD_Data!$I$3:$I$502&amp;""),SCD_Data!$I$3:$I$502)&gt;=IFERROR(DATEVALUE(A479&amp;""),A479))*(ROW(SCD_Data!$A$3:$A$502)-2))),"—"))</f>
        <v/>
      </c>
      <c r="I479" s="25" t="str">
        <f aca="false">IF(A479="","",IFERROR(INDEX(SCD_Data!$D$3:$D$502,SUMPRODUCT((SCD_Data!$A$3:$A$502=B479)*(IFERROR(DATEVALUE(SCD_Data!$H$3:$H$502&amp;""),SCD_Data!$H$3:$H$502)&lt;=IFERROR(DATEVALUE(A479&amp;""),A479))*(IFERROR(DATEVALUE(SCD_Data!$I$3:$I$502&amp;""),SCD_Data!$I$3:$I$502)&gt;=IFERROR(DATEVALUE(A479&amp;""),A479))*(ROW(SCD_Data!$A$3:$A$502)-2))),"—"))</f>
        <v/>
      </c>
      <c r="J479" s="26" t="str">
        <f aca="false">IF(A479="","",IFERROR(INDEX(SCD_Data!$E$3:$E$502,SUMPRODUCT((SCD_Data!$A$3:$A$502=B479)*(IFERROR(DATEVALUE(SCD_Data!$H$3:$H$502&amp;""),SCD_Data!$H$3:$H$502)&lt;=IFERROR(DATEVALUE(A479&amp;""),A479))*(IFERROR(DATEVALUE(SCD_Data!$I$3:$I$502&amp;""),SCD_Data!$I$3:$I$502)&gt;=IFERROR(DATEVALUE(A479&amp;""),A479))*(ROW(SCD_Data!$A$3:$A$502)-2))),"—"))</f>
        <v/>
      </c>
      <c r="K479" s="25" t="str">
        <f aca="false">IF(A479="","",IFERROR(INDEX(SCD_Data!$F$3:$F$502,SUMPRODUCT((SCD_Data!$A$3:$A$502=B479)*(IFERROR(DATEVALUE(SCD_Data!$H$3:$H$502&amp;""),SCD_Data!$H$3:$H$502)&lt;=IFERROR(DATEVALUE(A479&amp;""),A479))*(IFERROR(DATEVALUE(SCD_Data!$I$3:$I$502&amp;""),SCD_Data!$I$3:$I$502)&gt;=IFERROR(DATEVALUE(A479&amp;""),A479))*(ROW(SCD_Data!$A$3:$A$502)-2))),"—"))</f>
        <v/>
      </c>
      <c r="L479" s="25" t="str">
        <f aca="false">IF(A479="","",IFERROR(INDEX(SCD_Data!$G$3:$G$502,SUMPRODUCT((SCD_Data!$A$3:$A$502=B479)*(IFERROR(DATEVALUE(SCD_Data!$H$3:$H$502&amp;""),SCD_Data!$H$3:$H$502)&lt;=IFERROR(DATEVALUE(A479&amp;""),A479))*(IFERROR(DATEVALUE(SCD_Data!$I$3:$I$502&amp;""),SCD_Data!$I$3:$I$502)&gt;=IFERROR(DATEVALUE(A479&amp;""),A479))*(ROW(SCD_Data!$A$3:$A$502)-2))),"—"))</f>
        <v/>
      </c>
      <c r="M479" s="27" t="str">
        <f aca="false">IF(A479="","",IF(H479="—","—",IF(C479&amp;""=H479&amp;"","✓","✗")))</f>
        <v/>
      </c>
      <c r="N479" s="27" t="str">
        <f aca="false">IF(A479="","",IF(H479="—","—",IF(D479&amp;""=I479&amp;"","✓","✗")))</f>
        <v/>
      </c>
      <c r="O479" s="27" t="str">
        <f aca="false">IF(A479="","",IF(H479="—","—",IF(ABS(E479-J479)&lt;0.01,"✓","✗")))</f>
        <v/>
      </c>
      <c r="P479" s="27" t="str">
        <f aca="false">IF(A479="","",IF(H479="—","—",IF(F479&amp;""=K479&amp;"","✓","✗")))</f>
        <v/>
      </c>
      <c r="Q479" s="27" t="str">
        <f aca="false">IF(A479="","",IF(H479="—","—",IF(G479&amp;""=L479&amp;"","✓","✗")))</f>
        <v/>
      </c>
      <c r="R479" s="27" t="str">
        <f aca="false">IF(A479="","",IF(COUNTIF(M479:Q479,"—")=5,"⚠ NO SCD ROW",IF(COUNTIF(M479:Q479,"✗")&gt;0,"❌ MISMATCH","✅ MATCH")))</f>
        <v/>
      </c>
    </row>
    <row r="480" customFormat="false" ht="15" hidden="false" customHeight="true" outlineLevel="0" collapsed="false">
      <c r="A480" s="22" t="str">
        <f aca="false">IF(Daily_Data!A479="","",Daily_Data!A479)</f>
        <v/>
      </c>
      <c r="B480" s="23" t="str">
        <f aca="false">IF(Daily_Data!B479="","",Daily_Data!B479)</f>
        <v/>
      </c>
      <c r="C480" s="23" t="str">
        <f aca="false">IF(A480="","",Daily_Data!C479)</f>
        <v/>
      </c>
      <c r="D480" s="23" t="str">
        <f aca="false">IF(A480="","",Daily_Data!D479)</f>
        <v/>
      </c>
      <c r="E480" s="24" t="str">
        <f aca="false">IF(A480="","",Daily_Data!E479)</f>
        <v/>
      </c>
      <c r="F480" s="23" t="str">
        <f aca="false">IF(A480="","",Daily_Data!F479)</f>
        <v/>
      </c>
      <c r="G480" s="23" t="str">
        <f aca="false">IF(A480="","",Daily_Data!G479)</f>
        <v/>
      </c>
      <c r="H480" s="25" t="str">
        <f aca="false">IF(A480="","",IFERROR(INDEX(SCD_Data!$C$3:$C$502,SUMPRODUCT((SCD_Data!$A$3:$A$502=B480)*(IFERROR(DATEVALUE(SCD_Data!$H$3:$H$502&amp;""),SCD_Data!$H$3:$H$502)&lt;=IFERROR(DATEVALUE(A480&amp;""),A480))*(IFERROR(DATEVALUE(SCD_Data!$I$3:$I$502&amp;""),SCD_Data!$I$3:$I$502)&gt;=IFERROR(DATEVALUE(A480&amp;""),A480))*(ROW(SCD_Data!$A$3:$A$502)-2))),"—"))</f>
        <v/>
      </c>
      <c r="I480" s="25" t="str">
        <f aca="false">IF(A480="","",IFERROR(INDEX(SCD_Data!$D$3:$D$502,SUMPRODUCT((SCD_Data!$A$3:$A$502=B480)*(IFERROR(DATEVALUE(SCD_Data!$H$3:$H$502&amp;""),SCD_Data!$H$3:$H$502)&lt;=IFERROR(DATEVALUE(A480&amp;""),A480))*(IFERROR(DATEVALUE(SCD_Data!$I$3:$I$502&amp;""),SCD_Data!$I$3:$I$502)&gt;=IFERROR(DATEVALUE(A480&amp;""),A480))*(ROW(SCD_Data!$A$3:$A$502)-2))),"—"))</f>
        <v/>
      </c>
      <c r="J480" s="26" t="str">
        <f aca="false">IF(A480="","",IFERROR(INDEX(SCD_Data!$E$3:$E$502,SUMPRODUCT((SCD_Data!$A$3:$A$502=B480)*(IFERROR(DATEVALUE(SCD_Data!$H$3:$H$502&amp;""),SCD_Data!$H$3:$H$502)&lt;=IFERROR(DATEVALUE(A480&amp;""),A480))*(IFERROR(DATEVALUE(SCD_Data!$I$3:$I$502&amp;""),SCD_Data!$I$3:$I$502)&gt;=IFERROR(DATEVALUE(A480&amp;""),A480))*(ROW(SCD_Data!$A$3:$A$502)-2))),"—"))</f>
        <v/>
      </c>
      <c r="K480" s="25" t="str">
        <f aca="false">IF(A480="","",IFERROR(INDEX(SCD_Data!$F$3:$F$502,SUMPRODUCT((SCD_Data!$A$3:$A$502=B480)*(IFERROR(DATEVALUE(SCD_Data!$H$3:$H$502&amp;""),SCD_Data!$H$3:$H$502)&lt;=IFERROR(DATEVALUE(A480&amp;""),A480))*(IFERROR(DATEVALUE(SCD_Data!$I$3:$I$502&amp;""),SCD_Data!$I$3:$I$502)&gt;=IFERROR(DATEVALUE(A480&amp;""),A480))*(ROW(SCD_Data!$A$3:$A$502)-2))),"—"))</f>
        <v/>
      </c>
      <c r="L480" s="25" t="str">
        <f aca="false">IF(A480="","",IFERROR(INDEX(SCD_Data!$G$3:$G$502,SUMPRODUCT((SCD_Data!$A$3:$A$502=B480)*(IFERROR(DATEVALUE(SCD_Data!$H$3:$H$502&amp;""),SCD_Data!$H$3:$H$502)&lt;=IFERROR(DATEVALUE(A480&amp;""),A480))*(IFERROR(DATEVALUE(SCD_Data!$I$3:$I$502&amp;""),SCD_Data!$I$3:$I$502)&gt;=IFERROR(DATEVALUE(A480&amp;""),A480))*(ROW(SCD_Data!$A$3:$A$502)-2))),"—"))</f>
        <v/>
      </c>
      <c r="M480" s="27" t="str">
        <f aca="false">IF(A480="","",IF(H480="—","—",IF(C480&amp;""=H480&amp;"","✓","✗")))</f>
        <v/>
      </c>
      <c r="N480" s="27" t="str">
        <f aca="false">IF(A480="","",IF(H480="—","—",IF(D480&amp;""=I480&amp;"","✓","✗")))</f>
        <v/>
      </c>
      <c r="O480" s="27" t="str">
        <f aca="false">IF(A480="","",IF(H480="—","—",IF(ABS(E480-J480)&lt;0.01,"✓","✗")))</f>
        <v/>
      </c>
      <c r="P480" s="27" t="str">
        <f aca="false">IF(A480="","",IF(H480="—","—",IF(F480&amp;""=K480&amp;"","✓","✗")))</f>
        <v/>
      </c>
      <c r="Q480" s="27" t="str">
        <f aca="false">IF(A480="","",IF(H480="—","—",IF(G480&amp;""=L480&amp;"","✓","✗")))</f>
        <v/>
      </c>
      <c r="R480" s="27" t="str">
        <f aca="false">IF(A480="","",IF(COUNTIF(M480:Q480,"—")=5,"⚠ NO SCD ROW",IF(COUNTIF(M480:Q480,"✗")&gt;0,"❌ MISMATCH","✅ MATCH")))</f>
        <v/>
      </c>
    </row>
    <row r="481" customFormat="false" ht="15" hidden="false" customHeight="true" outlineLevel="0" collapsed="false">
      <c r="A481" s="22" t="str">
        <f aca="false">IF(Daily_Data!A480="","",Daily_Data!A480)</f>
        <v/>
      </c>
      <c r="B481" s="23" t="str">
        <f aca="false">IF(Daily_Data!B480="","",Daily_Data!B480)</f>
        <v/>
      </c>
      <c r="C481" s="23" t="str">
        <f aca="false">IF(A481="","",Daily_Data!C480)</f>
        <v/>
      </c>
      <c r="D481" s="23" t="str">
        <f aca="false">IF(A481="","",Daily_Data!D480)</f>
        <v/>
      </c>
      <c r="E481" s="24" t="str">
        <f aca="false">IF(A481="","",Daily_Data!E480)</f>
        <v/>
      </c>
      <c r="F481" s="23" t="str">
        <f aca="false">IF(A481="","",Daily_Data!F480)</f>
        <v/>
      </c>
      <c r="G481" s="23" t="str">
        <f aca="false">IF(A481="","",Daily_Data!G480)</f>
        <v/>
      </c>
      <c r="H481" s="25" t="str">
        <f aca="false">IF(A481="","",IFERROR(INDEX(SCD_Data!$C$3:$C$502,SUMPRODUCT((SCD_Data!$A$3:$A$502=B481)*(IFERROR(DATEVALUE(SCD_Data!$H$3:$H$502&amp;""),SCD_Data!$H$3:$H$502)&lt;=IFERROR(DATEVALUE(A481&amp;""),A481))*(IFERROR(DATEVALUE(SCD_Data!$I$3:$I$502&amp;""),SCD_Data!$I$3:$I$502)&gt;=IFERROR(DATEVALUE(A481&amp;""),A481))*(ROW(SCD_Data!$A$3:$A$502)-2))),"—"))</f>
        <v/>
      </c>
      <c r="I481" s="25" t="str">
        <f aca="false">IF(A481="","",IFERROR(INDEX(SCD_Data!$D$3:$D$502,SUMPRODUCT((SCD_Data!$A$3:$A$502=B481)*(IFERROR(DATEVALUE(SCD_Data!$H$3:$H$502&amp;""),SCD_Data!$H$3:$H$502)&lt;=IFERROR(DATEVALUE(A481&amp;""),A481))*(IFERROR(DATEVALUE(SCD_Data!$I$3:$I$502&amp;""),SCD_Data!$I$3:$I$502)&gt;=IFERROR(DATEVALUE(A481&amp;""),A481))*(ROW(SCD_Data!$A$3:$A$502)-2))),"—"))</f>
        <v/>
      </c>
      <c r="J481" s="26" t="str">
        <f aca="false">IF(A481="","",IFERROR(INDEX(SCD_Data!$E$3:$E$502,SUMPRODUCT((SCD_Data!$A$3:$A$502=B481)*(IFERROR(DATEVALUE(SCD_Data!$H$3:$H$502&amp;""),SCD_Data!$H$3:$H$502)&lt;=IFERROR(DATEVALUE(A481&amp;""),A481))*(IFERROR(DATEVALUE(SCD_Data!$I$3:$I$502&amp;""),SCD_Data!$I$3:$I$502)&gt;=IFERROR(DATEVALUE(A481&amp;""),A481))*(ROW(SCD_Data!$A$3:$A$502)-2))),"—"))</f>
        <v/>
      </c>
      <c r="K481" s="25" t="str">
        <f aca="false">IF(A481="","",IFERROR(INDEX(SCD_Data!$F$3:$F$502,SUMPRODUCT((SCD_Data!$A$3:$A$502=B481)*(IFERROR(DATEVALUE(SCD_Data!$H$3:$H$502&amp;""),SCD_Data!$H$3:$H$502)&lt;=IFERROR(DATEVALUE(A481&amp;""),A481))*(IFERROR(DATEVALUE(SCD_Data!$I$3:$I$502&amp;""),SCD_Data!$I$3:$I$502)&gt;=IFERROR(DATEVALUE(A481&amp;""),A481))*(ROW(SCD_Data!$A$3:$A$502)-2))),"—"))</f>
        <v/>
      </c>
      <c r="L481" s="25" t="str">
        <f aca="false">IF(A481="","",IFERROR(INDEX(SCD_Data!$G$3:$G$502,SUMPRODUCT((SCD_Data!$A$3:$A$502=B481)*(IFERROR(DATEVALUE(SCD_Data!$H$3:$H$502&amp;""),SCD_Data!$H$3:$H$502)&lt;=IFERROR(DATEVALUE(A481&amp;""),A481))*(IFERROR(DATEVALUE(SCD_Data!$I$3:$I$502&amp;""),SCD_Data!$I$3:$I$502)&gt;=IFERROR(DATEVALUE(A481&amp;""),A481))*(ROW(SCD_Data!$A$3:$A$502)-2))),"—"))</f>
        <v/>
      </c>
      <c r="M481" s="27" t="str">
        <f aca="false">IF(A481="","",IF(H481="—","—",IF(C481&amp;""=H481&amp;"","✓","✗")))</f>
        <v/>
      </c>
      <c r="N481" s="27" t="str">
        <f aca="false">IF(A481="","",IF(H481="—","—",IF(D481&amp;""=I481&amp;"","✓","✗")))</f>
        <v/>
      </c>
      <c r="O481" s="27" t="str">
        <f aca="false">IF(A481="","",IF(H481="—","—",IF(ABS(E481-J481)&lt;0.01,"✓","✗")))</f>
        <v/>
      </c>
      <c r="P481" s="27" t="str">
        <f aca="false">IF(A481="","",IF(H481="—","—",IF(F481&amp;""=K481&amp;"","✓","✗")))</f>
        <v/>
      </c>
      <c r="Q481" s="27" t="str">
        <f aca="false">IF(A481="","",IF(H481="—","—",IF(G481&amp;""=L481&amp;"","✓","✗")))</f>
        <v/>
      </c>
      <c r="R481" s="27" t="str">
        <f aca="false">IF(A481="","",IF(COUNTIF(M481:Q481,"—")=5,"⚠ NO SCD ROW",IF(COUNTIF(M481:Q481,"✗")&gt;0,"❌ MISMATCH","✅ MATCH")))</f>
        <v/>
      </c>
    </row>
    <row r="482" customFormat="false" ht="15" hidden="false" customHeight="true" outlineLevel="0" collapsed="false">
      <c r="A482" s="22" t="str">
        <f aca="false">IF(Daily_Data!A481="","",Daily_Data!A481)</f>
        <v/>
      </c>
      <c r="B482" s="23" t="str">
        <f aca="false">IF(Daily_Data!B481="","",Daily_Data!B481)</f>
        <v/>
      </c>
      <c r="C482" s="23" t="str">
        <f aca="false">IF(A482="","",Daily_Data!C481)</f>
        <v/>
      </c>
      <c r="D482" s="23" t="str">
        <f aca="false">IF(A482="","",Daily_Data!D481)</f>
        <v/>
      </c>
      <c r="E482" s="24" t="str">
        <f aca="false">IF(A482="","",Daily_Data!E481)</f>
        <v/>
      </c>
      <c r="F482" s="23" t="str">
        <f aca="false">IF(A482="","",Daily_Data!F481)</f>
        <v/>
      </c>
      <c r="G482" s="23" t="str">
        <f aca="false">IF(A482="","",Daily_Data!G481)</f>
        <v/>
      </c>
      <c r="H482" s="25" t="str">
        <f aca="false">IF(A482="","",IFERROR(INDEX(SCD_Data!$C$3:$C$502,SUMPRODUCT((SCD_Data!$A$3:$A$502=B482)*(IFERROR(DATEVALUE(SCD_Data!$H$3:$H$502&amp;""),SCD_Data!$H$3:$H$502)&lt;=IFERROR(DATEVALUE(A482&amp;""),A482))*(IFERROR(DATEVALUE(SCD_Data!$I$3:$I$502&amp;""),SCD_Data!$I$3:$I$502)&gt;=IFERROR(DATEVALUE(A482&amp;""),A482))*(ROW(SCD_Data!$A$3:$A$502)-2))),"—"))</f>
        <v/>
      </c>
      <c r="I482" s="25" t="str">
        <f aca="false">IF(A482="","",IFERROR(INDEX(SCD_Data!$D$3:$D$502,SUMPRODUCT((SCD_Data!$A$3:$A$502=B482)*(IFERROR(DATEVALUE(SCD_Data!$H$3:$H$502&amp;""),SCD_Data!$H$3:$H$502)&lt;=IFERROR(DATEVALUE(A482&amp;""),A482))*(IFERROR(DATEVALUE(SCD_Data!$I$3:$I$502&amp;""),SCD_Data!$I$3:$I$502)&gt;=IFERROR(DATEVALUE(A482&amp;""),A482))*(ROW(SCD_Data!$A$3:$A$502)-2))),"—"))</f>
        <v/>
      </c>
      <c r="J482" s="26" t="str">
        <f aca="false">IF(A482="","",IFERROR(INDEX(SCD_Data!$E$3:$E$502,SUMPRODUCT((SCD_Data!$A$3:$A$502=B482)*(IFERROR(DATEVALUE(SCD_Data!$H$3:$H$502&amp;""),SCD_Data!$H$3:$H$502)&lt;=IFERROR(DATEVALUE(A482&amp;""),A482))*(IFERROR(DATEVALUE(SCD_Data!$I$3:$I$502&amp;""),SCD_Data!$I$3:$I$502)&gt;=IFERROR(DATEVALUE(A482&amp;""),A482))*(ROW(SCD_Data!$A$3:$A$502)-2))),"—"))</f>
        <v/>
      </c>
      <c r="K482" s="25" t="str">
        <f aca="false">IF(A482="","",IFERROR(INDEX(SCD_Data!$F$3:$F$502,SUMPRODUCT((SCD_Data!$A$3:$A$502=B482)*(IFERROR(DATEVALUE(SCD_Data!$H$3:$H$502&amp;""),SCD_Data!$H$3:$H$502)&lt;=IFERROR(DATEVALUE(A482&amp;""),A482))*(IFERROR(DATEVALUE(SCD_Data!$I$3:$I$502&amp;""),SCD_Data!$I$3:$I$502)&gt;=IFERROR(DATEVALUE(A482&amp;""),A482))*(ROW(SCD_Data!$A$3:$A$502)-2))),"—"))</f>
        <v/>
      </c>
      <c r="L482" s="25" t="str">
        <f aca="false">IF(A482="","",IFERROR(INDEX(SCD_Data!$G$3:$G$502,SUMPRODUCT((SCD_Data!$A$3:$A$502=B482)*(IFERROR(DATEVALUE(SCD_Data!$H$3:$H$502&amp;""),SCD_Data!$H$3:$H$502)&lt;=IFERROR(DATEVALUE(A482&amp;""),A482))*(IFERROR(DATEVALUE(SCD_Data!$I$3:$I$502&amp;""),SCD_Data!$I$3:$I$502)&gt;=IFERROR(DATEVALUE(A482&amp;""),A482))*(ROW(SCD_Data!$A$3:$A$502)-2))),"—"))</f>
        <v/>
      </c>
      <c r="M482" s="27" t="str">
        <f aca="false">IF(A482="","",IF(H482="—","—",IF(C482&amp;""=H482&amp;"","✓","✗")))</f>
        <v/>
      </c>
      <c r="N482" s="27" t="str">
        <f aca="false">IF(A482="","",IF(H482="—","—",IF(D482&amp;""=I482&amp;"","✓","✗")))</f>
        <v/>
      </c>
      <c r="O482" s="27" t="str">
        <f aca="false">IF(A482="","",IF(H482="—","—",IF(ABS(E482-J482)&lt;0.01,"✓","✗")))</f>
        <v/>
      </c>
      <c r="P482" s="27" t="str">
        <f aca="false">IF(A482="","",IF(H482="—","—",IF(F482&amp;""=K482&amp;"","✓","✗")))</f>
        <v/>
      </c>
      <c r="Q482" s="27" t="str">
        <f aca="false">IF(A482="","",IF(H482="—","—",IF(G482&amp;""=L482&amp;"","✓","✗")))</f>
        <v/>
      </c>
      <c r="R482" s="27" t="str">
        <f aca="false">IF(A482="","",IF(COUNTIF(M482:Q482,"—")=5,"⚠ NO SCD ROW",IF(COUNTIF(M482:Q482,"✗")&gt;0,"❌ MISMATCH","✅ MATCH")))</f>
        <v/>
      </c>
    </row>
    <row r="483" customFormat="false" ht="15" hidden="false" customHeight="true" outlineLevel="0" collapsed="false">
      <c r="A483" s="22" t="str">
        <f aca="false">IF(Daily_Data!A482="","",Daily_Data!A482)</f>
        <v/>
      </c>
      <c r="B483" s="23" t="str">
        <f aca="false">IF(Daily_Data!B482="","",Daily_Data!B482)</f>
        <v/>
      </c>
      <c r="C483" s="23" t="str">
        <f aca="false">IF(A483="","",Daily_Data!C482)</f>
        <v/>
      </c>
      <c r="D483" s="23" t="str">
        <f aca="false">IF(A483="","",Daily_Data!D482)</f>
        <v/>
      </c>
      <c r="E483" s="24" t="str">
        <f aca="false">IF(A483="","",Daily_Data!E482)</f>
        <v/>
      </c>
      <c r="F483" s="23" t="str">
        <f aca="false">IF(A483="","",Daily_Data!F482)</f>
        <v/>
      </c>
      <c r="G483" s="23" t="str">
        <f aca="false">IF(A483="","",Daily_Data!G482)</f>
        <v/>
      </c>
      <c r="H483" s="25" t="str">
        <f aca="false">IF(A483="","",IFERROR(INDEX(SCD_Data!$C$3:$C$502,SUMPRODUCT((SCD_Data!$A$3:$A$502=B483)*(IFERROR(DATEVALUE(SCD_Data!$H$3:$H$502&amp;""),SCD_Data!$H$3:$H$502)&lt;=IFERROR(DATEVALUE(A483&amp;""),A483))*(IFERROR(DATEVALUE(SCD_Data!$I$3:$I$502&amp;""),SCD_Data!$I$3:$I$502)&gt;=IFERROR(DATEVALUE(A483&amp;""),A483))*(ROW(SCD_Data!$A$3:$A$502)-2))),"—"))</f>
        <v/>
      </c>
      <c r="I483" s="25" t="str">
        <f aca="false">IF(A483="","",IFERROR(INDEX(SCD_Data!$D$3:$D$502,SUMPRODUCT((SCD_Data!$A$3:$A$502=B483)*(IFERROR(DATEVALUE(SCD_Data!$H$3:$H$502&amp;""),SCD_Data!$H$3:$H$502)&lt;=IFERROR(DATEVALUE(A483&amp;""),A483))*(IFERROR(DATEVALUE(SCD_Data!$I$3:$I$502&amp;""),SCD_Data!$I$3:$I$502)&gt;=IFERROR(DATEVALUE(A483&amp;""),A483))*(ROW(SCD_Data!$A$3:$A$502)-2))),"—"))</f>
        <v/>
      </c>
      <c r="J483" s="26" t="str">
        <f aca="false">IF(A483="","",IFERROR(INDEX(SCD_Data!$E$3:$E$502,SUMPRODUCT((SCD_Data!$A$3:$A$502=B483)*(IFERROR(DATEVALUE(SCD_Data!$H$3:$H$502&amp;""),SCD_Data!$H$3:$H$502)&lt;=IFERROR(DATEVALUE(A483&amp;""),A483))*(IFERROR(DATEVALUE(SCD_Data!$I$3:$I$502&amp;""),SCD_Data!$I$3:$I$502)&gt;=IFERROR(DATEVALUE(A483&amp;""),A483))*(ROW(SCD_Data!$A$3:$A$502)-2))),"—"))</f>
        <v/>
      </c>
      <c r="K483" s="25" t="str">
        <f aca="false">IF(A483="","",IFERROR(INDEX(SCD_Data!$F$3:$F$502,SUMPRODUCT((SCD_Data!$A$3:$A$502=B483)*(IFERROR(DATEVALUE(SCD_Data!$H$3:$H$502&amp;""),SCD_Data!$H$3:$H$502)&lt;=IFERROR(DATEVALUE(A483&amp;""),A483))*(IFERROR(DATEVALUE(SCD_Data!$I$3:$I$502&amp;""),SCD_Data!$I$3:$I$502)&gt;=IFERROR(DATEVALUE(A483&amp;""),A483))*(ROW(SCD_Data!$A$3:$A$502)-2))),"—"))</f>
        <v/>
      </c>
      <c r="L483" s="25" t="str">
        <f aca="false">IF(A483="","",IFERROR(INDEX(SCD_Data!$G$3:$G$502,SUMPRODUCT((SCD_Data!$A$3:$A$502=B483)*(IFERROR(DATEVALUE(SCD_Data!$H$3:$H$502&amp;""),SCD_Data!$H$3:$H$502)&lt;=IFERROR(DATEVALUE(A483&amp;""),A483))*(IFERROR(DATEVALUE(SCD_Data!$I$3:$I$502&amp;""),SCD_Data!$I$3:$I$502)&gt;=IFERROR(DATEVALUE(A483&amp;""),A483))*(ROW(SCD_Data!$A$3:$A$502)-2))),"—"))</f>
        <v/>
      </c>
      <c r="M483" s="27" t="str">
        <f aca="false">IF(A483="","",IF(H483="—","—",IF(C483&amp;""=H483&amp;"","✓","✗")))</f>
        <v/>
      </c>
      <c r="N483" s="27" t="str">
        <f aca="false">IF(A483="","",IF(H483="—","—",IF(D483&amp;""=I483&amp;"","✓","✗")))</f>
        <v/>
      </c>
      <c r="O483" s="27" t="str">
        <f aca="false">IF(A483="","",IF(H483="—","—",IF(ABS(E483-J483)&lt;0.01,"✓","✗")))</f>
        <v/>
      </c>
      <c r="P483" s="27" t="str">
        <f aca="false">IF(A483="","",IF(H483="—","—",IF(F483&amp;""=K483&amp;"","✓","✗")))</f>
        <v/>
      </c>
      <c r="Q483" s="27" t="str">
        <f aca="false">IF(A483="","",IF(H483="—","—",IF(G483&amp;""=L483&amp;"","✓","✗")))</f>
        <v/>
      </c>
      <c r="R483" s="27" t="str">
        <f aca="false">IF(A483="","",IF(COUNTIF(M483:Q483,"—")=5,"⚠ NO SCD ROW",IF(COUNTIF(M483:Q483,"✗")&gt;0,"❌ MISMATCH","✅ MATCH")))</f>
        <v/>
      </c>
    </row>
    <row r="484" customFormat="false" ht="15" hidden="false" customHeight="true" outlineLevel="0" collapsed="false">
      <c r="A484" s="22" t="str">
        <f aca="false">IF(Daily_Data!A483="","",Daily_Data!A483)</f>
        <v/>
      </c>
      <c r="B484" s="23" t="str">
        <f aca="false">IF(Daily_Data!B483="","",Daily_Data!B483)</f>
        <v/>
      </c>
      <c r="C484" s="23" t="str">
        <f aca="false">IF(A484="","",Daily_Data!C483)</f>
        <v/>
      </c>
      <c r="D484" s="23" t="str">
        <f aca="false">IF(A484="","",Daily_Data!D483)</f>
        <v/>
      </c>
      <c r="E484" s="24" t="str">
        <f aca="false">IF(A484="","",Daily_Data!E483)</f>
        <v/>
      </c>
      <c r="F484" s="23" t="str">
        <f aca="false">IF(A484="","",Daily_Data!F483)</f>
        <v/>
      </c>
      <c r="G484" s="23" t="str">
        <f aca="false">IF(A484="","",Daily_Data!G483)</f>
        <v/>
      </c>
      <c r="H484" s="25" t="str">
        <f aca="false">IF(A484="","",IFERROR(INDEX(SCD_Data!$C$3:$C$502,SUMPRODUCT((SCD_Data!$A$3:$A$502=B484)*(IFERROR(DATEVALUE(SCD_Data!$H$3:$H$502&amp;""),SCD_Data!$H$3:$H$502)&lt;=IFERROR(DATEVALUE(A484&amp;""),A484))*(IFERROR(DATEVALUE(SCD_Data!$I$3:$I$502&amp;""),SCD_Data!$I$3:$I$502)&gt;=IFERROR(DATEVALUE(A484&amp;""),A484))*(ROW(SCD_Data!$A$3:$A$502)-2))),"—"))</f>
        <v/>
      </c>
      <c r="I484" s="25" t="str">
        <f aca="false">IF(A484="","",IFERROR(INDEX(SCD_Data!$D$3:$D$502,SUMPRODUCT((SCD_Data!$A$3:$A$502=B484)*(IFERROR(DATEVALUE(SCD_Data!$H$3:$H$502&amp;""),SCD_Data!$H$3:$H$502)&lt;=IFERROR(DATEVALUE(A484&amp;""),A484))*(IFERROR(DATEVALUE(SCD_Data!$I$3:$I$502&amp;""),SCD_Data!$I$3:$I$502)&gt;=IFERROR(DATEVALUE(A484&amp;""),A484))*(ROW(SCD_Data!$A$3:$A$502)-2))),"—"))</f>
        <v/>
      </c>
      <c r="J484" s="26" t="str">
        <f aca="false">IF(A484="","",IFERROR(INDEX(SCD_Data!$E$3:$E$502,SUMPRODUCT((SCD_Data!$A$3:$A$502=B484)*(IFERROR(DATEVALUE(SCD_Data!$H$3:$H$502&amp;""),SCD_Data!$H$3:$H$502)&lt;=IFERROR(DATEVALUE(A484&amp;""),A484))*(IFERROR(DATEVALUE(SCD_Data!$I$3:$I$502&amp;""),SCD_Data!$I$3:$I$502)&gt;=IFERROR(DATEVALUE(A484&amp;""),A484))*(ROW(SCD_Data!$A$3:$A$502)-2))),"—"))</f>
        <v/>
      </c>
      <c r="K484" s="25" t="str">
        <f aca="false">IF(A484="","",IFERROR(INDEX(SCD_Data!$F$3:$F$502,SUMPRODUCT((SCD_Data!$A$3:$A$502=B484)*(IFERROR(DATEVALUE(SCD_Data!$H$3:$H$502&amp;""),SCD_Data!$H$3:$H$502)&lt;=IFERROR(DATEVALUE(A484&amp;""),A484))*(IFERROR(DATEVALUE(SCD_Data!$I$3:$I$502&amp;""),SCD_Data!$I$3:$I$502)&gt;=IFERROR(DATEVALUE(A484&amp;""),A484))*(ROW(SCD_Data!$A$3:$A$502)-2))),"—"))</f>
        <v/>
      </c>
      <c r="L484" s="25" t="str">
        <f aca="false">IF(A484="","",IFERROR(INDEX(SCD_Data!$G$3:$G$502,SUMPRODUCT((SCD_Data!$A$3:$A$502=B484)*(IFERROR(DATEVALUE(SCD_Data!$H$3:$H$502&amp;""),SCD_Data!$H$3:$H$502)&lt;=IFERROR(DATEVALUE(A484&amp;""),A484))*(IFERROR(DATEVALUE(SCD_Data!$I$3:$I$502&amp;""),SCD_Data!$I$3:$I$502)&gt;=IFERROR(DATEVALUE(A484&amp;""),A484))*(ROW(SCD_Data!$A$3:$A$502)-2))),"—"))</f>
        <v/>
      </c>
      <c r="M484" s="27" t="str">
        <f aca="false">IF(A484="","",IF(H484="—","—",IF(C484&amp;""=H484&amp;"","✓","✗")))</f>
        <v/>
      </c>
      <c r="N484" s="27" t="str">
        <f aca="false">IF(A484="","",IF(H484="—","—",IF(D484&amp;""=I484&amp;"","✓","✗")))</f>
        <v/>
      </c>
      <c r="O484" s="27" t="str">
        <f aca="false">IF(A484="","",IF(H484="—","—",IF(ABS(E484-J484)&lt;0.01,"✓","✗")))</f>
        <v/>
      </c>
      <c r="P484" s="27" t="str">
        <f aca="false">IF(A484="","",IF(H484="—","—",IF(F484&amp;""=K484&amp;"","✓","✗")))</f>
        <v/>
      </c>
      <c r="Q484" s="27" t="str">
        <f aca="false">IF(A484="","",IF(H484="—","—",IF(G484&amp;""=L484&amp;"","✓","✗")))</f>
        <v/>
      </c>
      <c r="R484" s="27" t="str">
        <f aca="false">IF(A484="","",IF(COUNTIF(M484:Q484,"—")=5,"⚠ NO SCD ROW",IF(COUNTIF(M484:Q484,"✗")&gt;0,"❌ MISMATCH","✅ MATCH")))</f>
        <v/>
      </c>
    </row>
    <row r="485" customFormat="false" ht="15" hidden="false" customHeight="true" outlineLevel="0" collapsed="false">
      <c r="A485" s="22" t="str">
        <f aca="false">IF(Daily_Data!A484="","",Daily_Data!A484)</f>
        <v/>
      </c>
      <c r="B485" s="23" t="str">
        <f aca="false">IF(Daily_Data!B484="","",Daily_Data!B484)</f>
        <v/>
      </c>
      <c r="C485" s="23" t="str">
        <f aca="false">IF(A485="","",Daily_Data!C484)</f>
        <v/>
      </c>
      <c r="D485" s="23" t="str">
        <f aca="false">IF(A485="","",Daily_Data!D484)</f>
        <v/>
      </c>
      <c r="E485" s="24" t="str">
        <f aca="false">IF(A485="","",Daily_Data!E484)</f>
        <v/>
      </c>
      <c r="F485" s="23" t="str">
        <f aca="false">IF(A485="","",Daily_Data!F484)</f>
        <v/>
      </c>
      <c r="G485" s="23" t="str">
        <f aca="false">IF(A485="","",Daily_Data!G484)</f>
        <v/>
      </c>
      <c r="H485" s="25" t="str">
        <f aca="false">IF(A485="","",IFERROR(INDEX(SCD_Data!$C$3:$C$502,SUMPRODUCT((SCD_Data!$A$3:$A$502=B485)*(IFERROR(DATEVALUE(SCD_Data!$H$3:$H$502&amp;""),SCD_Data!$H$3:$H$502)&lt;=IFERROR(DATEVALUE(A485&amp;""),A485))*(IFERROR(DATEVALUE(SCD_Data!$I$3:$I$502&amp;""),SCD_Data!$I$3:$I$502)&gt;=IFERROR(DATEVALUE(A485&amp;""),A485))*(ROW(SCD_Data!$A$3:$A$502)-2))),"—"))</f>
        <v/>
      </c>
      <c r="I485" s="25" t="str">
        <f aca="false">IF(A485="","",IFERROR(INDEX(SCD_Data!$D$3:$D$502,SUMPRODUCT((SCD_Data!$A$3:$A$502=B485)*(IFERROR(DATEVALUE(SCD_Data!$H$3:$H$502&amp;""),SCD_Data!$H$3:$H$502)&lt;=IFERROR(DATEVALUE(A485&amp;""),A485))*(IFERROR(DATEVALUE(SCD_Data!$I$3:$I$502&amp;""),SCD_Data!$I$3:$I$502)&gt;=IFERROR(DATEVALUE(A485&amp;""),A485))*(ROW(SCD_Data!$A$3:$A$502)-2))),"—"))</f>
        <v/>
      </c>
      <c r="J485" s="26" t="str">
        <f aca="false">IF(A485="","",IFERROR(INDEX(SCD_Data!$E$3:$E$502,SUMPRODUCT((SCD_Data!$A$3:$A$502=B485)*(IFERROR(DATEVALUE(SCD_Data!$H$3:$H$502&amp;""),SCD_Data!$H$3:$H$502)&lt;=IFERROR(DATEVALUE(A485&amp;""),A485))*(IFERROR(DATEVALUE(SCD_Data!$I$3:$I$502&amp;""),SCD_Data!$I$3:$I$502)&gt;=IFERROR(DATEVALUE(A485&amp;""),A485))*(ROW(SCD_Data!$A$3:$A$502)-2))),"—"))</f>
        <v/>
      </c>
      <c r="K485" s="25" t="str">
        <f aca="false">IF(A485="","",IFERROR(INDEX(SCD_Data!$F$3:$F$502,SUMPRODUCT((SCD_Data!$A$3:$A$502=B485)*(IFERROR(DATEVALUE(SCD_Data!$H$3:$H$502&amp;""),SCD_Data!$H$3:$H$502)&lt;=IFERROR(DATEVALUE(A485&amp;""),A485))*(IFERROR(DATEVALUE(SCD_Data!$I$3:$I$502&amp;""),SCD_Data!$I$3:$I$502)&gt;=IFERROR(DATEVALUE(A485&amp;""),A485))*(ROW(SCD_Data!$A$3:$A$502)-2))),"—"))</f>
        <v/>
      </c>
      <c r="L485" s="25" t="str">
        <f aca="false">IF(A485="","",IFERROR(INDEX(SCD_Data!$G$3:$G$502,SUMPRODUCT((SCD_Data!$A$3:$A$502=B485)*(IFERROR(DATEVALUE(SCD_Data!$H$3:$H$502&amp;""),SCD_Data!$H$3:$H$502)&lt;=IFERROR(DATEVALUE(A485&amp;""),A485))*(IFERROR(DATEVALUE(SCD_Data!$I$3:$I$502&amp;""),SCD_Data!$I$3:$I$502)&gt;=IFERROR(DATEVALUE(A485&amp;""),A485))*(ROW(SCD_Data!$A$3:$A$502)-2))),"—"))</f>
        <v/>
      </c>
      <c r="M485" s="27" t="str">
        <f aca="false">IF(A485="","",IF(H485="—","—",IF(C485&amp;""=H485&amp;"","✓","✗")))</f>
        <v/>
      </c>
      <c r="N485" s="27" t="str">
        <f aca="false">IF(A485="","",IF(H485="—","—",IF(D485&amp;""=I485&amp;"","✓","✗")))</f>
        <v/>
      </c>
      <c r="O485" s="27" t="str">
        <f aca="false">IF(A485="","",IF(H485="—","—",IF(ABS(E485-J485)&lt;0.01,"✓","✗")))</f>
        <v/>
      </c>
      <c r="P485" s="27" t="str">
        <f aca="false">IF(A485="","",IF(H485="—","—",IF(F485&amp;""=K485&amp;"","✓","✗")))</f>
        <v/>
      </c>
      <c r="Q485" s="27" t="str">
        <f aca="false">IF(A485="","",IF(H485="—","—",IF(G485&amp;""=L485&amp;"","✓","✗")))</f>
        <v/>
      </c>
      <c r="R485" s="27" t="str">
        <f aca="false">IF(A485="","",IF(COUNTIF(M485:Q485,"—")=5,"⚠ NO SCD ROW",IF(COUNTIF(M485:Q485,"✗")&gt;0,"❌ MISMATCH","✅ MATCH")))</f>
        <v/>
      </c>
    </row>
    <row r="486" customFormat="false" ht="15" hidden="false" customHeight="true" outlineLevel="0" collapsed="false">
      <c r="A486" s="22" t="str">
        <f aca="false">IF(Daily_Data!A485="","",Daily_Data!A485)</f>
        <v/>
      </c>
      <c r="B486" s="23" t="str">
        <f aca="false">IF(Daily_Data!B485="","",Daily_Data!B485)</f>
        <v/>
      </c>
      <c r="C486" s="23" t="str">
        <f aca="false">IF(A486="","",Daily_Data!C485)</f>
        <v/>
      </c>
      <c r="D486" s="23" t="str">
        <f aca="false">IF(A486="","",Daily_Data!D485)</f>
        <v/>
      </c>
      <c r="E486" s="24" t="str">
        <f aca="false">IF(A486="","",Daily_Data!E485)</f>
        <v/>
      </c>
      <c r="F486" s="23" t="str">
        <f aca="false">IF(A486="","",Daily_Data!F485)</f>
        <v/>
      </c>
      <c r="G486" s="23" t="str">
        <f aca="false">IF(A486="","",Daily_Data!G485)</f>
        <v/>
      </c>
      <c r="H486" s="25" t="str">
        <f aca="false">IF(A486="","",IFERROR(INDEX(SCD_Data!$C$3:$C$502,SUMPRODUCT((SCD_Data!$A$3:$A$502=B486)*(IFERROR(DATEVALUE(SCD_Data!$H$3:$H$502&amp;""),SCD_Data!$H$3:$H$502)&lt;=IFERROR(DATEVALUE(A486&amp;""),A486))*(IFERROR(DATEVALUE(SCD_Data!$I$3:$I$502&amp;""),SCD_Data!$I$3:$I$502)&gt;=IFERROR(DATEVALUE(A486&amp;""),A486))*(ROW(SCD_Data!$A$3:$A$502)-2))),"—"))</f>
        <v/>
      </c>
      <c r="I486" s="25" t="str">
        <f aca="false">IF(A486="","",IFERROR(INDEX(SCD_Data!$D$3:$D$502,SUMPRODUCT((SCD_Data!$A$3:$A$502=B486)*(IFERROR(DATEVALUE(SCD_Data!$H$3:$H$502&amp;""),SCD_Data!$H$3:$H$502)&lt;=IFERROR(DATEVALUE(A486&amp;""),A486))*(IFERROR(DATEVALUE(SCD_Data!$I$3:$I$502&amp;""),SCD_Data!$I$3:$I$502)&gt;=IFERROR(DATEVALUE(A486&amp;""),A486))*(ROW(SCD_Data!$A$3:$A$502)-2))),"—"))</f>
        <v/>
      </c>
      <c r="J486" s="26" t="str">
        <f aca="false">IF(A486="","",IFERROR(INDEX(SCD_Data!$E$3:$E$502,SUMPRODUCT((SCD_Data!$A$3:$A$502=B486)*(IFERROR(DATEVALUE(SCD_Data!$H$3:$H$502&amp;""),SCD_Data!$H$3:$H$502)&lt;=IFERROR(DATEVALUE(A486&amp;""),A486))*(IFERROR(DATEVALUE(SCD_Data!$I$3:$I$502&amp;""),SCD_Data!$I$3:$I$502)&gt;=IFERROR(DATEVALUE(A486&amp;""),A486))*(ROW(SCD_Data!$A$3:$A$502)-2))),"—"))</f>
        <v/>
      </c>
      <c r="K486" s="25" t="str">
        <f aca="false">IF(A486="","",IFERROR(INDEX(SCD_Data!$F$3:$F$502,SUMPRODUCT((SCD_Data!$A$3:$A$502=B486)*(IFERROR(DATEVALUE(SCD_Data!$H$3:$H$502&amp;""),SCD_Data!$H$3:$H$502)&lt;=IFERROR(DATEVALUE(A486&amp;""),A486))*(IFERROR(DATEVALUE(SCD_Data!$I$3:$I$502&amp;""),SCD_Data!$I$3:$I$502)&gt;=IFERROR(DATEVALUE(A486&amp;""),A486))*(ROW(SCD_Data!$A$3:$A$502)-2))),"—"))</f>
        <v/>
      </c>
      <c r="L486" s="25" t="str">
        <f aca="false">IF(A486="","",IFERROR(INDEX(SCD_Data!$G$3:$G$502,SUMPRODUCT((SCD_Data!$A$3:$A$502=B486)*(IFERROR(DATEVALUE(SCD_Data!$H$3:$H$502&amp;""),SCD_Data!$H$3:$H$502)&lt;=IFERROR(DATEVALUE(A486&amp;""),A486))*(IFERROR(DATEVALUE(SCD_Data!$I$3:$I$502&amp;""),SCD_Data!$I$3:$I$502)&gt;=IFERROR(DATEVALUE(A486&amp;""),A486))*(ROW(SCD_Data!$A$3:$A$502)-2))),"—"))</f>
        <v/>
      </c>
      <c r="M486" s="27" t="str">
        <f aca="false">IF(A486="","",IF(H486="—","—",IF(C486&amp;""=H486&amp;"","✓","✗")))</f>
        <v/>
      </c>
      <c r="N486" s="27" t="str">
        <f aca="false">IF(A486="","",IF(H486="—","—",IF(D486&amp;""=I486&amp;"","✓","✗")))</f>
        <v/>
      </c>
      <c r="O486" s="27" t="str">
        <f aca="false">IF(A486="","",IF(H486="—","—",IF(ABS(E486-J486)&lt;0.01,"✓","✗")))</f>
        <v/>
      </c>
      <c r="P486" s="27" t="str">
        <f aca="false">IF(A486="","",IF(H486="—","—",IF(F486&amp;""=K486&amp;"","✓","✗")))</f>
        <v/>
      </c>
      <c r="Q486" s="27" t="str">
        <f aca="false">IF(A486="","",IF(H486="—","—",IF(G486&amp;""=L486&amp;"","✓","✗")))</f>
        <v/>
      </c>
      <c r="R486" s="27" t="str">
        <f aca="false">IF(A486="","",IF(COUNTIF(M486:Q486,"—")=5,"⚠ NO SCD ROW",IF(COUNTIF(M486:Q486,"✗")&gt;0,"❌ MISMATCH","✅ MATCH")))</f>
        <v/>
      </c>
    </row>
    <row r="487" customFormat="false" ht="15" hidden="false" customHeight="true" outlineLevel="0" collapsed="false">
      <c r="A487" s="22" t="str">
        <f aca="false">IF(Daily_Data!A486="","",Daily_Data!A486)</f>
        <v/>
      </c>
      <c r="B487" s="23" t="str">
        <f aca="false">IF(Daily_Data!B486="","",Daily_Data!B486)</f>
        <v/>
      </c>
      <c r="C487" s="23" t="str">
        <f aca="false">IF(A487="","",Daily_Data!C486)</f>
        <v/>
      </c>
      <c r="D487" s="23" t="str">
        <f aca="false">IF(A487="","",Daily_Data!D486)</f>
        <v/>
      </c>
      <c r="E487" s="24" t="str">
        <f aca="false">IF(A487="","",Daily_Data!E486)</f>
        <v/>
      </c>
      <c r="F487" s="23" t="str">
        <f aca="false">IF(A487="","",Daily_Data!F486)</f>
        <v/>
      </c>
      <c r="G487" s="23" t="str">
        <f aca="false">IF(A487="","",Daily_Data!G486)</f>
        <v/>
      </c>
      <c r="H487" s="25" t="str">
        <f aca="false">IF(A487="","",IFERROR(INDEX(SCD_Data!$C$3:$C$502,SUMPRODUCT((SCD_Data!$A$3:$A$502=B487)*(IFERROR(DATEVALUE(SCD_Data!$H$3:$H$502&amp;""),SCD_Data!$H$3:$H$502)&lt;=IFERROR(DATEVALUE(A487&amp;""),A487))*(IFERROR(DATEVALUE(SCD_Data!$I$3:$I$502&amp;""),SCD_Data!$I$3:$I$502)&gt;=IFERROR(DATEVALUE(A487&amp;""),A487))*(ROW(SCD_Data!$A$3:$A$502)-2))),"—"))</f>
        <v/>
      </c>
      <c r="I487" s="25" t="str">
        <f aca="false">IF(A487="","",IFERROR(INDEX(SCD_Data!$D$3:$D$502,SUMPRODUCT((SCD_Data!$A$3:$A$502=B487)*(IFERROR(DATEVALUE(SCD_Data!$H$3:$H$502&amp;""),SCD_Data!$H$3:$H$502)&lt;=IFERROR(DATEVALUE(A487&amp;""),A487))*(IFERROR(DATEVALUE(SCD_Data!$I$3:$I$502&amp;""),SCD_Data!$I$3:$I$502)&gt;=IFERROR(DATEVALUE(A487&amp;""),A487))*(ROW(SCD_Data!$A$3:$A$502)-2))),"—"))</f>
        <v/>
      </c>
      <c r="J487" s="26" t="str">
        <f aca="false">IF(A487="","",IFERROR(INDEX(SCD_Data!$E$3:$E$502,SUMPRODUCT((SCD_Data!$A$3:$A$502=B487)*(IFERROR(DATEVALUE(SCD_Data!$H$3:$H$502&amp;""),SCD_Data!$H$3:$H$502)&lt;=IFERROR(DATEVALUE(A487&amp;""),A487))*(IFERROR(DATEVALUE(SCD_Data!$I$3:$I$502&amp;""),SCD_Data!$I$3:$I$502)&gt;=IFERROR(DATEVALUE(A487&amp;""),A487))*(ROW(SCD_Data!$A$3:$A$502)-2))),"—"))</f>
        <v/>
      </c>
      <c r="K487" s="25" t="str">
        <f aca="false">IF(A487="","",IFERROR(INDEX(SCD_Data!$F$3:$F$502,SUMPRODUCT((SCD_Data!$A$3:$A$502=B487)*(IFERROR(DATEVALUE(SCD_Data!$H$3:$H$502&amp;""),SCD_Data!$H$3:$H$502)&lt;=IFERROR(DATEVALUE(A487&amp;""),A487))*(IFERROR(DATEVALUE(SCD_Data!$I$3:$I$502&amp;""),SCD_Data!$I$3:$I$502)&gt;=IFERROR(DATEVALUE(A487&amp;""),A487))*(ROW(SCD_Data!$A$3:$A$502)-2))),"—"))</f>
        <v/>
      </c>
      <c r="L487" s="25" t="str">
        <f aca="false">IF(A487="","",IFERROR(INDEX(SCD_Data!$G$3:$G$502,SUMPRODUCT((SCD_Data!$A$3:$A$502=B487)*(IFERROR(DATEVALUE(SCD_Data!$H$3:$H$502&amp;""),SCD_Data!$H$3:$H$502)&lt;=IFERROR(DATEVALUE(A487&amp;""),A487))*(IFERROR(DATEVALUE(SCD_Data!$I$3:$I$502&amp;""),SCD_Data!$I$3:$I$502)&gt;=IFERROR(DATEVALUE(A487&amp;""),A487))*(ROW(SCD_Data!$A$3:$A$502)-2))),"—"))</f>
        <v/>
      </c>
      <c r="M487" s="27" t="str">
        <f aca="false">IF(A487="","",IF(H487="—","—",IF(C487&amp;""=H487&amp;"","✓","✗")))</f>
        <v/>
      </c>
      <c r="N487" s="27" t="str">
        <f aca="false">IF(A487="","",IF(H487="—","—",IF(D487&amp;""=I487&amp;"","✓","✗")))</f>
        <v/>
      </c>
      <c r="O487" s="27" t="str">
        <f aca="false">IF(A487="","",IF(H487="—","—",IF(ABS(E487-J487)&lt;0.01,"✓","✗")))</f>
        <v/>
      </c>
      <c r="P487" s="27" t="str">
        <f aca="false">IF(A487="","",IF(H487="—","—",IF(F487&amp;""=K487&amp;"","✓","✗")))</f>
        <v/>
      </c>
      <c r="Q487" s="27" t="str">
        <f aca="false">IF(A487="","",IF(H487="—","—",IF(G487&amp;""=L487&amp;"","✓","✗")))</f>
        <v/>
      </c>
      <c r="R487" s="27" t="str">
        <f aca="false">IF(A487="","",IF(COUNTIF(M487:Q487,"—")=5,"⚠ NO SCD ROW",IF(COUNTIF(M487:Q487,"✗")&gt;0,"❌ MISMATCH","✅ MATCH")))</f>
        <v/>
      </c>
    </row>
    <row r="488" customFormat="false" ht="15" hidden="false" customHeight="true" outlineLevel="0" collapsed="false">
      <c r="A488" s="22" t="str">
        <f aca="false">IF(Daily_Data!A487="","",Daily_Data!A487)</f>
        <v/>
      </c>
      <c r="B488" s="23" t="str">
        <f aca="false">IF(Daily_Data!B487="","",Daily_Data!B487)</f>
        <v/>
      </c>
      <c r="C488" s="23" t="str">
        <f aca="false">IF(A488="","",Daily_Data!C487)</f>
        <v/>
      </c>
      <c r="D488" s="23" t="str">
        <f aca="false">IF(A488="","",Daily_Data!D487)</f>
        <v/>
      </c>
      <c r="E488" s="24" t="str">
        <f aca="false">IF(A488="","",Daily_Data!E487)</f>
        <v/>
      </c>
      <c r="F488" s="23" t="str">
        <f aca="false">IF(A488="","",Daily_Data!F487)</f>
        <v/>
      </c>
      <c r="G488" s="23" t="str">
        <f aca="false">IF(A488="","",Daily_Data!G487)</f>
        <v/>
      </c>
      <c r="H488" s="25" t="str">
        <f aca="false">IF(A488="","",IFERROR(INDEX(SCD_Data!$C$3:$C$502,SUMPRODUCT((SCD_Data!$A$3:$A$502=B488)*(IFERROR(DATEVALUE(SCD_Data!$H$3:$H$502&amp;""),SCD_Data!$H$3:$H$502)&lt;=IFERROR(DATEVALUE(A488&amp;""),A488))*(IFERROR(DATEVALUE(SCD_Data!$I$3:$I$502&amp;""),SCD_Data!$I$3:$I$502)&gt;=IFERROR(DATEVALUE(A488&amp;""),A488))*(ROW(SCD_Data!$A$3:$A$502)-2))),"—"))</f>
        <v/>
      </c>
      <c r="I488" s="25" t="str">
        <f aca="false">IF(A488="","",IFERROR(INDEX(SCD_Data!$D$3:$D$502,SUMPRODUCT((SCD_Data!$A$3:$A$502=B488)*(IFERROR(DATEVALUE(SCD_Data!$H$3:$H$502&amp;""),SCD_Data!$H$3:$H$502)&lt;=IFERROR(DATEVALUE(A488&amp;""),A488))*(IFERROR(DATEVALUE(SCD_Data!$I$3:$I$502&amp;""),SCD_Data!$I$3:$I$502)&gt;=IFERROR(DATEVALUE(A488&amp;""),A488))*(ROW(SCD_Data!$A$3:$A$502)-2))),"—"))</f>
        <v/>
      </c>
      <c r="J488" s="26" t="str">
        <f aca="false">IF(A488="","",IFERROR(INDEX(SCD_Data!$E$3:$E$502,SUMPRODUCT((SCD_Data!$A$3:$A$502=B488)*(IFERROR(DATEVALUE(SCD_Data!$H$3:$H$502&amp;""),SCD_Data!$H$3:$H$502)&lt;=IFERROR(DATEVALUE(A488&amp;""),A488))*(IFERROR(DATEVALUE(SCD_Data!$I$3:$I$502&amp;""),SCD_Data!$I$3:$I$502)&gt;=IFERROR(DATEVALUE(A488&amp;""),A488))*(ROW(SCD_Data!$A$3:$A$502)-2))),"—"))</f>
        <v/>
      </c>
      <c r="K488" s="25" t="str">
        <f aca="false">IF(A488="","",IFERROR(INDEX(SCD_Data!$F$3:$F$502,SUMPRODUCT((SCD_Data!$A$3:$A$502=B488)*(IFERROR(DATEVALUE(SCD_Data!$H$3:$H$502&amp;""),SCD_Data!$H$3:$H$502)&lt;=IFERROR(DATEVALUE(A488&amp;""),A488))*(IFERROR(DATEVALUE(SCD_Data!$I$3:$I$502&amp;""),SCD_Data!$I$3:$I$502)&gt;=IFERROR(DATEVALUE(A488&amp;""),A488))*(ROW(SCD_Data!$A$3:$A$502)-2))),"—"))</f>
        <v/>
      </c>
      <c r="L488" s="25" t="str">
        <f aca="false">IF(A488="","",IFERROR(INDEX(SCD_Data!$G$3:$G$502,SUMPRODUCT((SCD_Data!$A$3:$A$502=B488)*(IFERROR(DATEVALUE(SCD_Data!$H$3:$H$502&amp;""),SCD_Data!$H$3:$H$502)&lt;=IFERROR(DATEVALUE(A488&amp;""),A488))*(IFERROR(DATEVALUE(SCD_Data!$I$3:$I$502&amp;""),SCD_Data!$I$3:$I$502)&gt;=IFERROR(DATEVALUE(A488&amp;""),A488))*(ROW(SCD_Data!$A$3:$A$502)-2))),"—"))</f>
        <v/>
      </c>
      <c r="M488" s="27" t="str">
        <f aca="false">IF(A488="","",IF(H488="—","—",IF(C488&amp;""=H488&amp;"","✓","✗")))</f>
        <v/>
      </c>
      <c r="N488" s="27" t="str">
        <f aca="false">IF(A488="","",IF(H488="—","—",IF(D488&amp;""=I488&amp;"","✓","✗")))</f>
        <v/>
      </c>
      <c r="O488" s="27" t="str">
        <f aca="false">IF(A488="","",IF(H488="—","—",IF(ABS(E488-J488)&lt;0.01,"✓","✗")))</f>
        <v/>
      </c>
      <c r="P488" s="27" t="str">
        <f aca="false">IF(A488="","",IF(H488="—","—",IF(F488&amp;""=K488&amp;"","✓","✗")))</f>
        <v/>
      </c>
      <c r="Q488" s="27" t="str">
        <f aca="false">IF(A488="","",IF(H488="—","—",IF(G488&amp;""=L488&amp;"","✓","✗")))</f>
        <v/>
      </c>
      <c r="R488" s="27" t="str">
        <f aca="false">IF(A488="","",IF(COUNTIF(M488:Q488,"—")=5,"⚠ NO SCD ROW",IF(COUNTIF(M488:Q488,"✗")&gt;0,"❌ MISMATCH","✅ MATCH")))</f>
        <v/>
      </c>
    </row>
    <row r="489" customFormat="false" ht="15" hidden="false" customHeight="true" outlineLevel="0" collapsed="false">
      <c r="A489" s="22" t="str">
        <f aca="false">IF(Daily_Data!A488="","",Daily_Data!A488)</f>
        <v/>
      </c>
      <c r="B489" s="23" t="str">
        <f aca="false">IF(Daily_Data!B488="","",Daily_Data!B488)</f>
        <v/>
      </c>
      <c r="C489" s="23" t="str">
        <f aca="false">IF(A489="","",Daily_Data!C488)</f>
        <v/>
      </c>
      <c r="D489" s="23" t="str">
        <f aca="false">IF(A489="","",Daily_Data!D488)</f>
        <v/>
      </c>
      <c r="E489" s="24" t="str">
        <f aca="false">IF(A489="","",Daily_Data!E488)</f>
        <v/>
      </c>
      <c r="F489" s="23" t="str">
        <f aca="false">IF(A489="","",Daily_Data!F488)</f>
        <v/>
      </c>
      <c r="G489" s="23" t="str">
        <f aca="false">IF(A489="","",Daily_Data!G488)</f>
        <v/>
      </c>
      <c r="H489" s="25" t="str">
        <f aca="false">IF(A489="","",IFERROR(INDEX(SCD_Data!$C$3:$C$502,SUMPRODUCT((SCD_Data!$A$3:$A$502=B489)*(IFERROR(DATEVALUE(SCD_Data!$H$3:$H$502&amp;""),SCD_Data!$H$3:$H$502)&lt;=IFERROR(DATEVALUE(A489&amp;""),A489))*(IFERROR(DATEVALUE(SCD_Data!$I$3:$I$502&amp;""),SCD_Data!$I$3:$I$502)&gt;=IFERROR(DATEVALUE(A489&amp;""),A489))*(ROW(SCD_Data!$A$3:$A$502)-2))),"—"))</f>
        <v/>
      </c>
      <c r="I489" s="25" t="str">
        <f aca="false">IF(A489="","",IFERROR(INDEX(SCD_Data!$D$3:$D$502,SUMPRODUCT((SCD_Data!$A$3:$A$502=B489)*(IFERROR(DATEVALUE(SCD_Data!$H$3:$H$502&amp;""),SCD_Data!$H$3:$H$502)&lt;=IFERROR(DATEVALUE(A489&amp;""),A489))*(IFERROR(DATEVALUE(SCD_Data!$I$3:$I$502&amp;""),SCD_Data!$I$3:$I$502)&gt;=IFERROR(DATEVALUE(A489&amp;""),A489))*(ROW(SCD_Data!$A$3:$A$502)-2))),"—"))</f>
        <v/>
      </c>
      <c r="J489" s="26" t="str">
        <f aca="false">IF(A489="","",IFERROR(INDEX(SCD_Data!$E$3:$E$502,SUMPRODUCT((SCD_Data!$A$3:$A$502=B489)*(IFERROR(DATEVALUE(SCD_Data!$H$3:$H$502&amp;""),SCD_Data!$H$3:$H$502)&lt;=IFERROR(DATEVALUE(A489&amp;""),A489))*(IFERROR(DATEVALUE(SCD_Data!$I$3:$I$502&amp;""),SCD_Data!$I$3:$I$502)&gt;=IFERROR(DATEVALUE(A489&amp;""),A489))*(ROW(SCD_Data!$A$3:$A$502)-2))),"—"))</f>
        <v/>
      </c>
      <c r="K489" s="25" t="str">
        <f aca="false">IF(A489="","",IFERROR(INDEX(SCD_Data!$F$3:$F$502,SUMPRODUCT((SCD_Data!$A$3:$A$502=B489)*(IFERROR(DATEVALUE(SCD_Data!$H$3:$H$502&amp;""),SCD_Data!$H$3:$H$502)&lt;=IFERROR(DATEVALUE(A489&amp;""),A489))*(IFERROR(DATEVALUE(SCD_Data!$I$3:$I$502&amp;""),SCD_Data!$I$3:$I$502)&gt;=IFERROR(DATEVALUE(A489&amp;""),A489))*(ROW(SCD_Data!$A$3:$A$502)-2))),"—"))</f>
        <v/>
      </c>
      <c r="L489" s="25" t="str">
        <f aca="false">IF(A489="","",IFERROR(INDEX(SCD_Data!$G$3:$G$502,SUMPRODUCT((SCD_Data!$A$3:$A$502=B489)*(IFERROR(DATEVALUE(SCD_Data!$H$3:$H$502&amp;""),SCD_Data!$H$3:$H$502)&lt;=IFERROR(DATEVALUE(A489&amp;""),A489))*(IFERROR(DATEVALUE(SCD_Data!$I$3:$I$502&amp;""),SCD_Data!$I$3:$I$502)&gt;=IFERROR(DATEVALUE(A489&amp;""),A489))*(ROW(SCD_Data!$A$3:$A$502)-2))),"—"))</f>
        <v/>
      </c>
      <c r="M489" s="27" t="str">
        <f aca="false">IF(A489="","",IF(H489="—","—",IF(C489&amp;""=H489&amp;"","✓","✗")))</f>
        <v/>
      </c>
      <c r="N489" s="27" t="str">
        <f aca="false">IF(A489="","",IF(H489="—","—",IF(D489&amp;""=I489&amp;"","✓","✗")))</f>
        <v/>
      </c>
      <c r="O489" s="27" t="str">
        <f aca="false">IF(A489="","",IF(H489="—","—",IF(ABS(E489-J489)&lt;0.01,"✓","✗")))</f>
        <v/>
      </c>
      <c r="P489" s="27" t="str">
        <f aca="false">IF(A489="","",IF(H489="—","—",IF(F489&amp;""=K489&amp;"","✓","✗")))</f>
        <v/>
      </c>
      <c r="Q489" s="27" t="str">
        <f aca="false">IF(A489="","",IF(H489="—","—",IF(G489&amp;""=L489&amp;"","✓","✗")))</f>
        <v/>
      </c>
      <c r="R489" s="27" t="str">
        <f aca="false">IF(A489="","",IF(COUNTIF(M489:Q489,"—")=5,"⚠ NO SCD ROW",IF(COUNTIF(M489:Q489,"✗")&gt;0,"❌ MISMATCH","✅ MATCH")))</f>
        <v/>
      </c>
    </row>
    <row r="490" customFormat="false" ht="15" hidden="false" customHeight="true" outlineLevel="0" collapsed="false">
      <c r="A490" s="22" t="str">
        <f aca="false">IF(Daily_Data!A489="","",Daily_Data!A489)</f>
        <v/>
      </c>
      <c r="B490" s="23" t="str">
        <f aca="false">IF(Daily_Data!B489="","",Daily_Data!B489)</f>
        <v/>
      </c>
      <c r="C490" s="23" t="str">
        <f aca="false">IF(A490="","",Daily_Data!C489)</f>
        <v/>
      </c>
      <c r="D490" s="23" t="str">
        <f aca="false">IF(A490="","",Daily_Data!D489)</f>
        <v/>
      </c>
      <c r="E490" s="24" t="str">
        <f aca="false">IF(A490="","",Daily_Data!E489)</f>
        <v/>
      </c>
      <c r="F490" s="23" t="str">
        <f aca="false">IF(A490="","",Daily_Data!F489)</f>
        <v/>
      </c>
      <c r="G490" s="23" t="str">
        <f aca="false">IF(A490="","",Daily_Data!G489)</f>
        <v/>
      </c>
      <c r="H490" s="25" t="str">
        <f aca="false">IF(A490="","",IFERROR(INDEX(SCD_Data!$C$3:$C$502,SUMPRODUCT((SCD_Data!$A$3:$A$502=B490)*(IFERROR(DATEVALUE(SCD_Data!$H$3:$H$502&amp;""),SCD_Data!$H$3:$H$502)&lt;=IFERROR(DATEVALUE(A490&amp;""),A490))*(IFERROR(DATEVALUE(SCD_Data!$I$3:$I$502&amp;""),SCD_Data!$I$3:$I$502)&gt;=IFERROR(DATEVALUE(A490&amp;""),A490))*(ROW(SCD_Data!$A$3:$A$502)-2))),"—"))</f>
        <v/>
      </c>
      <c r="I490" s="25" t="str">
        <f aca="false">IF(A490="","",IFERROR(INDEX(SCD_Data!$D$3:$D$502,SUMPRODUCT((SCD_Data!$A$3:$A$502=B490)*(IFERROR(DATEVALUE(SCD_Data!$H$3:$H$502&amp;""),SCD_Data!$H$3:$H$502)&lt;=IFERROR(DATEVALUE(A490&amp;""),A490))*(IFERROR(DATEVALUE(SCD_Data!$I$3:$I$502&amp;""),SCD_Data!$I$3:$I$502)&gt;=IFERROR(DATEVALUE(A490&amp;""),A490))*(ROW(SCD_Data!$A$3:$A$502)-2))),"—"))</f>
        <v/>
      </c>
      <c r="J490" s="26" t="str">
        <f aca="false">IF(A490="","",IFERROR(INDEX(SCD_Data!$E$3:$E$502,SUMPRODUCT((SCD_Data!$A$3:$A$502=B490)*(IFERROR(DATEVALUE(SCD_Data!$H$3:$H$502&amp;""),SCD_Data!$H$3:$H$502)&lt;=IFERROR(DATEVALUE(A490&amp;""),A490))*(IFERROR(DATEVALUE(SCD_Data!$I$3:$I$502&amp;""),SCD_Data!$I$3:$I$502)&gt;=IFERROR(DATEVALUE(A490&amp;""),A490))*(ROW(SCD_Data!$A$3:$A$502)-2))),"—"))</f>
        <v/>
      </c>
      <c r="K490" s="25" t="str">
        <f aca="false">IF(A490="","",IFERROR(INDEX(SCD_Data!$F$3:$F$502,SUMPRODUCT((SCD_Data!$A$3:$A$502=B490)*(IFERROR(DATEVALUE(SCD_Data!$H$3:$H$502&amp;""),SCD_Data!$H$3:$H$502)&lt;=IFERROR(DATEVALUE(A490&amp;""),A490))*(IFERROR(DATEVALUE(SCD_Data!$I$3:$I$502&amp;""),SCD_Data!$I$3:$I$502)&gt;=IFERROR(DATEVALUE(A490&amp;""),A490))*(ROW(SCD_Data!$A$3:$A$502)-2))),"—"))</f>
        <v/>
      </c>
      <c r="L490" s="25" t="str">
        <f aca="false">IF(A490="","",IFERROR(INDEX(SCD_Data!$G$3:$G$502,SUMPRODUCT((SCD_Data!$A$3:$A$502=B490)*(IFERROR(DATEVALUE(SCD_Data!$H$3:$H$502&amp;""),SCD_Data!$H$3:$H$502)&lt;=IFERROR(DATEVALUE(A490&amp;""),A490))*(IFERROR(DATEVALUE(SCD_Data!$I$3:$I$502&amp;""),SCD_Data!$I$3:$I$502)&gt;=IFERROR(DATEVALUE(A490&amp;""),A490))*(ROW(SCD_Data!$A$3:$A$502)-2))),"—"))</f>
        <v/>
      </c>
      <c r="M490" s="27" t="str">
        <f aca="false">IF(A490="","",IF(H490="—","—",IF(C490&amp;""=H490&amp;"","✓","✗")))</f>
        <v/>
      </c>
      <c r="N490" s="27" t="str">
        <f aca="false">IF(A490="","",IF(H490="—","—",IF(D490&amp;""=I490&amp;"","✓","✗")))</f>
        <v/>
      </c>
      <c r="O490" s="27" t="str">
        <f aca="false">IF(A490="","",IF(H490="—","—",IF(ABS(E490-J490)&lt;0.01,"✓","✗")))</f>
        <v/>
      </c>
      <c r="P490" s="27" t="str">
        <f aca="false">IF(A490="","",IF(H490="—","—",IF(F490&amp;""=K490&amp;"","✓","✗")))</f>
        <v/>
      </c>
      <c r="Q490" s="27" t="str">
        <f aca="false">IF(A490="","",IF(H490="—","—",IF(G490&amp;""=L490&amp;"","✓","✗")))</f>
        <v/>
      </c>
      <c r="R490" s="27" t="str">
        <f aca="false">IF(A490="","",IF(COUNTIF(M490:Q490,"—")=5,"⚠ NO SCD ROW",IF(COUNTIF(M490:Q490,"✗")&gt;0,"❌ MISMATCH","✅ MATCH")))</f>
        <v/>
      </c>
    </row>
    <row r="491" customFormat="false" ht="15" hidden="false" customHeight="true" outlineLevel="0" collapsed="false">
      <c r="A491" s="22" t="str">
        <f aca="false">IF(Daily_Data!A490="","",Daily_Data!A490)</f>
        <v/>
      </c>
      <c r="B491" s="23" t="str">
        <f aca="false">IF(Daily_Data!B490="","",Daily_Data!B490)</f>
        <v/>
      </c>
      <c r="C491" s="23" t="str">
        <f aca="false">IF(A491="","",Daily_Data!C490)</f>
        <v/>
      </c>
      <c r="D491" s="23" t="str">
        <f aca="false">IF(A491="","",Daily_Data!D490)</f>
        <v/>
      </c>
      <c r="E491" s="24" t="str">
        <f aca="false">IF(A491="","",Daily_Data!E490)</f>
        <v/>
      </c>
      <c r="F491" s="23" t="str">
        <f aca="false">IF(A491="","",Daily_Data!F490)</f>
        <v/>
      </c>
      <c r="G491" s="23" t="str">
        <f aca="false">IF(A491="","",Daily_Data!G490)</f>
        <v/>
      </c>
      <c r="H491" s="25" t="str">
        <f aca="false">IF(A491="","",IFERROR(INDEX(SCD_Data!$C$3:$C$502,SUMPRODUCT((SCD_Data!$A$3:$A$502=B491)*(IFERROR(DATEVALUE(SCD_Data!$H$3:$H$502&amp;""),SCD_Data!$H$3:$H$502)&lt;=IFERROR(DATEVALUE(A491&amp;""),A491))*(IFERROR(DATEVALUE(SCD_Data!$I$3:$I$502&amp;""),SCD_Data!$I$3:$I$502)&gt;=IFERROR(DATEVALUE(A491&amp;""),A491))*(ROW(SCD_Data!$A$3:$A$502)-2))),"—"))</f>
        <v/>
      </c>
      <c r="I491" s="25" t="str">
        <f aca="false">IF(A491="","",IFERROR(INDEX(SCD_Data!$D$3:$D$502,SUMPRODUCT((SCD_Data!$A$3:$A$502=B491)*(IFERROR(DATEVALUE(SCD_Data!$H$3:$H$502&amp;""),SCD_Data!$H$3:$H$502)&lt;=IFERROR(DATEVALUE(A491&amp;""),A491))*(IFERROR(DATEVALUE(SCD_Data!$I$3:$I$502&amp;""),SCD_Data!$I$3:$I$502)&gt;=IFERROR(DATEVALUE(A491&amp;""),A491))*(ROW(SCD_Data!$A$3:$A$502)-2))),"—"))</f>
        <v/>
      </c>
      <c r="J491" s="26" t="str">
        <f aca="false">IF(A491="","",IFERROR(INDEX(SCD_Data!$E$3:$E$502,SUMPRODUCT((SCD_Data!$A$3:$A$502=B491)*(IFERROR(DATEVALUE(SCD_Data!$H$3:$H$502&amp;""),SCD_Data!$H$3:$H$502)&lt;=IFERROR(DATEVALUE(A491&amp;""),A491))*(IFERROR(DATEVALUE(SCD_Data!$I$3:$I$502&amp;""),SCD_Data!$I$3:$I$502)&gt;=IFERROR(DATEVALUE(A491&amp;""),A491))*(ROW(SCD_Data!$A$3:$A$502)-2))),"—"))</f>
        <v/>
      </c>
      <c r="K491" s="25" t="str">
        <f aca="false">IF(A491="","",IFERROR(INDEX(SCD_Data!$F$3:$F$502,SUMPRODUCT((SCD_Data!$A$3:$A$502=B491)*(IFERROR(DATEVALUE(SCD_Data!$H$3:$H$502&amp;""),SCD_Data!$H$3:$H$502)&lt;=IFERROR(DATEVALUE(A491&amp;""),A491))*(IFERROR(DATEVALUE(SCD_Data!$I$3:$I$502&amp;""),SCD_Data!$I$3:$I$502)&gt;=IFERROR(DATEVALUE(A491&amp;""),A491))*(ROW(SCD_Data!$A$3:$A$502)-2))),"—"))</f>
        <v/>
      </c>
      <c r="L491" s="25" t="str">
        <f aca="false">IF(A491="","",IFERROR(INDEX(SCD_Data!$G$3:$G$502,SUMPRODUCT((SCD_Data!$A$3:$A$502=B491)*(IFERROR(DATEVALUE(SCD_Data!$H$3:$H$502&amp;""),SCD_Data!$H$3:$H$502)&lt;=IFERROR(DATEVALUE(A491&amp;""),A491))*(IFERROR(DATEVALUE(SCD_Data!$I$3:$I$502&amp;""),SCD_Data!$I$3:$I$502)&gt;=IFERROR(DATEVALUE(A491&amp;""),A491))*(ROW(SCD_Data!$A$3:$A$502)-2))),"—"))</f>
        <v/>
      </c>
      <c r="M491" s="27" t="str">
        <f aca="false">IF(A491="","",IF(H491="—","—",IF(C491&amp;""=H491&amp;"","✓","✗")))</f>
        <v/>
      </c>
      <c r="N491" s="27" t="str">
        <f aca="false">IF(A491="","",IF(H491="—","—",IF(D491&amp;""=I491&amp;"","✓","✗")))</f>
        <v/>
      </c>
      <c r="O491" s="27" t="str">
        <f aca="false">IF(A491="","",IF(H491="—","—",IF(ABS(E491-J491)&lt;0.01,"✓","✗")))</f>
        <v/>
      </c>
      <c r="P491" s="27" t="str">
        <f aca="false">IF(A491="","",IF(H491="—","—",IF(F491&amp;""=K491&amp;"","✓","✗")))</f>
        <v/>
      </c>
      <c r="Q491" s="27" t="str">
        <f aca="false">IF(A491="","",IF(H491="—","—",IF(G491&amp;""=L491&amp;"","✓","✗")))</f>
        <v/>
      </c>
      <c r="R491" s="27" t="str">
        <f aca="false">IF(A491="","",IF(COUNTIF(M491:Q491,"—")=5,"⚠ NO SCD ROW",IF(COUNTIF(M491:Q491,"✗")&gt;0,"❌ MISMATCH","✅ MATCH")))</f>
        <v/>
      </c>
    </row>
    <row r="492" customFormat="false" ht="15" hidden="false" customHeight="true" outlineLevel="0" collapsed="false">
      <c r="A492" s="22" t="str">
        <f aca="false">IF(Daily_Data!A491="","",Daily_Data!A491)</f>
        <v/>
      </c>
      <c r="B492" s="23" t="str">
        <f aca="false">IF(Daily_Data!B491="","",Daily_Data!B491)</f>
        <v/>
      </c>
      <c r="C492" s="23" t="str">
        <f aca="false">IF(A492="","",Daily_Data!C491)</f>
        <v/>
      </c>
      <c r="D492" s="23" t="str">
        <f aca="false">IF(A492="","",Daily_Data!D491)</f>
        <v/>
      </c>
      <c r="E492" s="24" t="str">
        <f aca="false">IF(A492="","",Daily_Data!E491)</f>
        <v/>
      </c>
      <c r="F492" s="23" t="str">
        <f aca="false">IF(A492="","",Daily_Data!F491)</f>
        <v/>
      </c>
      <c r="G492" s="23" t="str">
        <f aca="false">IF(A492="","",Daily_Data!G491)</f>
        <v/>
      </c>
      <c r="H492" s="25" t="str">
        <f aca="false">IF(A492="","",IFERROR(INDEX(SCD_Data!$C$3:$C$502,SUMPRODUCT((SCD_Data!$A$3:$A$502=B492)*(IFERROR(DATEVALUE(SCD_Data!$H$3:$H$502&amp;""),SCD_Data!$H$3:$H$502)&lt;=IFERROR(DATEVALUE(A492&amp;""),A492))*(IFERROR(DATEVALUE(SCD_Data!$I$3:$I$502&amp;""),SCD_Data!$I$3:$I$502)&gt;=IFERROR(DATEVALUE(A492&amp;""),A492))*(ROW(SCD_Data!$A$3:$A$502)-2))),"—"))</f>
        <v/>
      </c>
      <c r="I492" s="25" t="str">
        <f aca="false">IF(A492="","",IFERROR(INDEX(SCD_Data!$D$3:$D$502,SUMPRODUCT((SCD_Data!$A$3:$A$502=B492)*(IFERROR(DATEVALUE(SCD_Data!$H$3:$H$502&amp;""),SCD_Data!$H$3:$H$502)&lt;=IFERROR(DATEVALUE(A492&amp;""),A492))*(IFERROR(DATEVALUE(SCD_Data!$I$3:$I$502&amp;""),SCD_Data!$I$3:$I$502)&gt;=IFERROR(DATEVALUE(A492&amp;""),A492))*(ROW(SCD_Data!$A$3:$A$502)-2))),"—"))</f>
        <v/>
      </c>
      <c r="J492" s="26" t="str">
        <f aca="false">IF(A492="","",IFERROR(INDEX(SCD_Data!$E$3:$E$502,SUMPRODUCT((SCD_Data!$A$3:$A$502=B492)*(IFERROR(DATEVALUE(SCD_Data!$H$3:$H$502&amp;""),SCD_Data!$H$3:$H$502)&lt;=IFERROR(DATEVALUE(A492&amp;""),A492))*(IFERROR(DATEVALUE(SCD_Data!$I$3:$I$502&amp;""),SCD_Data!$I$3:$I$502)&gt;=IFERROR(DATEVALUE(A492&amp;""),A492))*(ROW(SCD_Data!$A$3:$A$502)-2))),"—"))</f>
        <v/>
      </c>
      <c r="K492" s="25" t="str">
        <f aca="false">IF(A492="","",IFERROR(INDEX(SCD_Data!$F$3:$F$502,SUMPRODUCT((SCD_Data!$A$3:$A$502=B492)*(IFERROR(DATEVALUE(SCD_Data!$H$3:$H$502&amp;""),SCD_Data!$H$3:$H$502)&lt;=IFERROR(DATEVALUE(A492&amp;""),A492))*(IFERROR(DATEVALUE(SCD_Data!$I$3:$I$502&amp;""),SCD_Data!$I$3:$I$502)&gt;=IFERROR(DATEVALUE(A492&amp;""),A492))*(ROW(SCD_Data!$A$3:$A$502)-2))),"—"))</f>
        <v/>
      </c>
      <c r="L492" s="25" t="str">
        <f aca="false">IF(A492="","",IFERROR(INDEX(SCD_Data!$G$3:$G$502,SUMPRODUCT((SCD_Data!$A$3:$A$502=B492)*(IFERROR(DATEVALUE(SCD_Data!$H$3:$H$502&amp;""),SCD_Data!$H$3:$H$502)&lt;=IFERROR(DATEVALUE(A492&amp;""),A492))*(IFERROR(DATEVALUE(SCD_Data!$I$3:$I$502&amp;""),SCD_Data!$I$3:$I$502)&gt;=IFERROR(DATEVALUE(A492&amp;""),A492))*(ROW(SCD_Data!$A$3:$A$502)-2))),"—"))</f>
        <v/>
      </c>
      <c r="M492" s="27" t="str">
        <f aca="false">IF(A492="","",IF(H492="—","—",IF(C492&amp;""=H492&amp;"","✓","✗")))</f>
        <v/>
      </c>
      <c r="N492" s="27" t="str">
        <f aca="false">IF(A492="","",IF(H492="—","—",IF(D492&amp;""=I492&amp;"","✓","✗")))</f>
        <v/>
      </c>
      <c r="O492" s="27" t="str">
        <f aca="false">IF(A492="","",IF(H492="—","—",IF(ABS(E492-J492)&lt;0.01,"✓","✗")))</f>
        <v/>
      </c>
      <c r="P492" s="27" t="str">
        <f aca="false">IF(A492="","",IF(H492="—","—",IF(F492&amp;""=K492&amp;"","✓","✗")))</f>
        <v/>
      </c>
      <c r="Q492" s="27" t="str">
        <f aca="false">IF(A492="","",IF(H492="—","—",IF(G492&amp;""=L492&amp;"","✓","✗")))</f>
        <v/>
      </c>
      <c r="R492" s="27" t="str">
        <f aca="false">IF(A492="","",IF(COUNTIF(M492:Q492,"—")=5,"⚠ NO SCD ROW",IF(COUNTIF(M492:Q492,"✗")&gt;0,"❌ MISMATCH","✅ MATCH")))</f>
        <v/>
      </c>
    </row>
    <row r="493" customFormat="false" ht="15" hidden="false" customHeight="true" outlineLevel="0" collapsed="false">
      <c r="A493" s="22" t="str">
        <f aca="false">IF(Daily_Data!A492="","",Daily_Data!A492)</f>
        <v/>
      </c>
      <c r="B493" s="23" t="str">
        <f aca="false">IF(Daily_Data!B492="","",Daily_Data!B492)</f>
        <v/>
      </c>
      <c r="C493" s="23" t="str">
        <f aca="false">IF(A493="","",Daily_Data!C492)</f>
        <v/>
      </c>
      <c r="D493" s="23" t="str">
        <f aca="false">IF(A493="","",Daily_Data!D492)</f>
        <v/>
      </c>
      <c r="E493" s="24" t="str">
        <f aca="false">IF(A493="","",Daily_Data!E492)</f>
        <v/>
      </c>
      <c r="F493" s="23" t="str">
        <f aca="false">IF(A493="","",Daily_Data!F492)</f>
        <v/>
      </c>
      <c r="G493" s="23" t="str">
        <f aca="false">IF(A493="","",Daily_Data!G492)</f>
        <v/>
      </c>
      <c r="H493" s="25" t="str">
        <f aca="false">IF(A493="","",IFERROR(INDEX(SCD_Data!$C$3:$C$502,SUMPRODUCT((SCD_Data!$A$3:$A$502=B493)*(IFERROR(DATEVALUE(SCD_Data!$H$3:$H$502&amp;""),SCD_Data!$H$3:$H$502)&lt;=IFERROR(DATEVALUE(A493&amp;""),A493))*(IFERROR(DATEVALUE(SCD_Data!$I$3:$I$502&amp;""),SCD_Data!$I$3:$I$502)&gt;=IFERROR(DATEVALUE(A493&amp;""),A493))*(ROW(SCD_Data!$A$3:$A$502)-2))),"—"))</f>
        <v/>
      </c>
      <c r="I493" s="25" t="str">
        <f aca="false">IF(A493="","",IFERROR(INDEX(SCD_Data!$D$3:$D$502,SUMPRODUCT((SCD_Data!$A$3:$A$502=B493)*(IFERROR(DATEVALUE(SCD_Data!$H$3:$H$502&amp;""),SCD_Data!$H$3:$H$502)&lt;=IFERROR(DATEVALUE(A493&amp;""),A493))*(IFERROR(DATEVALUE(SCD_Data!$I$3:$I$502&amp;""),SCD_Data!$I$3:$I$502)&gt;=IFERROR(DATEVALUE(A493&amp;""),A493))*(ROW(SCD_Data!$A$3:$A$502)-2))),"—"))</f>
        <v/>
      </c>
      <c r="J493" s="26" t="str">
        <f aca="false">IF(A493="","",IFERROR(INDEX(SCD_Data!$E$3:$E$502,SUMPRODUCT((SCD_Data!$A$3:$A$502=B493)*(IFERROR(DATEVALUE(SCD_Data!$H$3:$H$502&amp;""),SCD_Data!$H$3:$H$502)&lt;=IFERROR(DATEVALUE(A493&amp;""),A493))*(IFERROR(DATEVALUE(SCD_Data!$I$3:$I$502&amp;""),SCD_Data!$I$3:$I$502)&gt;=IFERROR(DATEVALUE(A493&amp;""),A493))*(ROW(SCD_Data!$A$3:$A$502)-2))),"—"))</f>
        <v/>
      </c>
      <c r="K493" s="25" t="str">
        <f aca="false">IF(A493="","",IFERROR(INDEX(SCD_Data!$F$3:$F$502,SUMPRODUCT((SCD_Data!$A$3:$A$502=B493)*(IFERROR(DATEVALUE(SCD_Data!$H$3:$H$502&amp;""),SCD_Data!$H$3:$H$502)&lt;=IFERROR(DATEVALUE(A493&amp;""),A493))*(IFERROR(DATEVALUE(SCD_Data!$I$3:$I$502&amp;""),SCD_Data!$I$3:$I$502)&gt;=IFERROR(DATEVALUE(A493&amp;""),A493))*(ROW(SCD_Data!$A$3:$A$502)-2))),"—"))</f>
        <v/>
      </c>
      <c r="L493" s="25" t="str">
        <f aca="false">IF(A493="","",IFERROR(INDEX(SCD_Data!$G$3:$G$502,SUMPRODUCT((SCD_Data!$A$3:$A$502=B493)*(IFERROR(DATEVALUE(SCD_Data!$H$3:$H$502&amp;""),SCD_Data!$H$3:$H$502)&lt;=IFERROR(DATEVALUE(A493&amp;""),A493))*(IFERROR(DATEVALUE(SCD_Data!$I$3:$I$502&amp;""),SCD_Data!$I$3:$I$502)&gt;=IFERROR(DATEVALUE(A493&amp;""),A493))*(ROW(SCD_Data!$A$3:$A$502)-2))),"—"))</f>
        <v/>
      </c>
      <c r="M493" s="27" t="str">
        <f aca="false">IF(A493="","",IF(H493="—","—",IF(C493&amp;""=H493&amp;"","✓","✗")))</f>
        <v/>
      </c>
      <c r="N493" s="27" t="str">
        <f aca="false">IF(A493="","",IF(H493="—","—",IF(D493&amp;""=I493&amp;"","✓","✗")))</f>
        <v/>
      </c>
      <c r="O493" s="27" t="str">
        <f aca="false">IF(A493="","",IF(H493="—","—",IF(ABS(E493-J493)&lt;0.01,"✓","✗")))</f>
        <v/>
      </c>
      <c r="P493" s="27" t="str">
        <f aca="false">IF(A493="","",IF(H493="—","—",IF(F493&amp;""=K493&amp;"","✓","✗")))</f>
        <v/>
      </c>
      <c r="Q493" s="27" t="str">
        <f aca="false">IF(A493="","",IF(H493="—","—",IF(G493&amp;""=L493&amp;"","✓","✗")))</f>
        <v/>
      </c>
      <c r="R493" s="27" t="str">
        <f aca="false">IF(A493="","",IF(COUNTIF(M493:Q493,"—")=5,"⚠ NO SCD ROW",IF(COUNTIF(M493:Q493,"✗")&gt;0,"❌ MISMATCH","✅ MATCH")))</f>
        <v/>
      </c>
    </row>
    <row r="494" customFormat="false" ht="15" hidden="false" customHeight="true" outlineLevel="0" collapsed="false">
      <c r="A494" s="22" t="str">
        <f aca="false">IF(Daily_Data!A493="","",Daily_Data!A493)</f>
        <v/>
      </c>
      <c r="B494" s="23" t="str">
        <f aca="false">IF(Daily_Data!B493="","",Daily_Data!B493)</f>
        <v/>
      </c>
      <c r="C494" s="23" t="str">
        <f aca="false">IF(A494="","",Daily_Data!C493)</f>
        <v/>
      </c>
      <c r="D494" s="23" t="str">
        <f aca="false">IF(A494="","",Daily_Data!D493)</f>
        <v/>
      </c>
      <c r="E494" s="24" t="str">
        <f aca="false">IF(A494="","",Daily_Data!E493)</f>
        <v/>
      </c>
      <c r="F494" s="23" t="str">
        <f aca="false">IF(A494="","",Daily_Data!F493)</f>
        <v/>
      </c>
      <c r="G494" s="23" t="str">
        <f aca="false">IF(A494="","",Daily_Data!G493)</f>
        <v/>
      </c>
      <c r="H494" s="25" t="str">
        <f aca="false">IF(A494="","",IFERROR(INDEX(SCD_Data!$C$3:$C$502,SUMPRODUCT((SCD_Data!$A$3:$A$502=B494)*(IFERROR(DATEVALUE(SCD_Data!$H$3:$H$502&amp;""),SCD_Data!$H$3:$H$502)&lt;=IFERROR(DATEVALUE(A494&amp;""),A494))*(IFERROR(DATEVALUE(SCD_Data!$I$3:$I$502&amp;""),SCD_Data!$I$3:$I$502)&gt;=IFERROR(DATEVALUE(A494&amp;""),A494))*(ROW(SCD_Data!$A$3:$A$502)-2))),"—"))</f>
        <v/>
      </c>
      <c r="I494" s="25" t="str">
        <f aca="false">IF(A494="","",IFERROR(INDEX(SCD_Data!$D$3:$D$502,SUMPRODUCT((SCD_Data!$A$3:$A$502=B494)*(IFERROR(DATEVALUE(SCD_Data!$H$3:$H$502&amp;""),SCD_Data!$H$3:$H$502)&lt;=IFERROR(DATEVALUE(A494&amp;""),A494))*(IFERROR(DATEVALUE(SCD_Data!$I$3:$I$502&amp;""),SCD_Data!$I$3:$I$502)&gt;=IFERROR(DATEVALUE(A494&amp;""),A494))*(ROW(SCD_Data!$A$3:$A$502)-2))),"—"))</f>
        <v/>
      </c>
      <c r="J494" s="26" t="str">
        <f aca="false">IF(A494="","",IFERROR(INDEX(SCD_Data!$E$3:$E$502,SUMPRODUCT((SCD_Data!$A$3:$A$502=B494)*(IFERROR(DATEVALUE(SCD_Data!$H$3:$H$502&amp;""),SCD_Data!$H$3:$H$502)&lt;=IFERROR(DATEVALUE(A494&amp;""),A494))*(IFERROR(DATEVALUE(SCD_Data!$I$3:$I$502&amp;""),SCD_Data!$I$3:$I$502)&gt;=IFERROR(DATEVALUE(A494&amp;""),A494))*(ROW(SCD_Data!$A$3:$A$502)-2))),"—"))</f>
        <v/>
      </c>
      <c r="K494" s="25" t="str">
        <f aca="false">IF(A494="","",IFERROR(INDEX(SCD_Data!$F$3:$F$502,SUMPRODUCT((SCD_Data!$A$3:$A$502=B494)*(IFERROR(DATEVALUE(SCD_Data!$H$3:$H$502&amp;""),SCD_Data!$H$3:$H$502)&lt;=IFERROR(DATEVALUE(A494&amp;""),A494))*(IFERROR(DATEVALUE(SCD_Data!$I$3:$I$502&amp;""),SCD_Data!$I$3:$I$502)&gt;=IFERROR(DATEVALUE(A494&amp;""),A494))*(ROW(SCD_Data!$A$3:$A$502)-2))),"—"))</f>
        <v/>
      </c>
      <c r="L494" s="25" t="str">
        <f aca="false">IF(A494="","",IFERROR(INDEX(SCD_Data!$G$3:$G$502,SUMPRODUCT((SCD_Data!$A$3:$A$502=B494)*(IFERROR(DATEVALUE(SCD_Data!$H$3:$H$502&amp;""),SCD_Data!$H$3:$H$502)&lt;=IFERROR(DATEVALUE(A494&amp;""),A494))*(IFERROR(DATEVALUE(SCD_Data!$I$3:$I$502&amp;""),SCD_Data!$I$3:$I$502)&gt;=IFERROR(DATEVALUE(A494&amp;""),A494))*(ROW(SCD_Data!$A$3:$A$502)-2))),"—"))</f>
        <v/>
      </c>
      <c r="M494" s="27" t="str">
        <f aca="false">IF(A494="","",IF(H494="—","—",IF(C494&amp;""=H494&amp;"","✓","✗")))</f>
        <v/>
      </c>
      <c r="N494" s="27" t="str">
        <f aca="false">IF(A494="","",IF(H494="—","—",IF(D494&amp;""=I494&amp;"","✓","✗")))</f>
        <v/>
      </c>
      <c r="O494" s="27" t="str">
        <f aca="false">IF(A494="","",IF(H494="—","—",IF(ABS(E494-J494)&lt;0.01,"✓","✗")))</f>
        <v/>
      </c>
      <c r="P494" s="27" t="str">
        <f aca="false">IF(A494="","",IF(H494="—","—",IF(F494&amp;""=K494&amp;"","✓","✗")))</f>
        <v/>
      </c>
      <c r="Q494" s="27" t="str">
        <f aca="false">IF(A494="","",IF(H494="—","—",IF(G494&amp;""=L494&amp;"","✓","✗")))</f>
        <v/>
      </c>
      <c r="R494" s="27" t="str">
        <f aca="false">IF(A494="","",IF(COUNTIF(M494:Q494,"—")=5,"⚠ NO SCD ROW",IF(COUNTIF(M494:Q494,"✗")&gt;0,"❌ MISMATCH","✅ MATCH")))</f>
        <v/>
      </c>
    </row>
    <row r="495" customFormat="false" ht="15" hidden="false" customHeight="true" outlineLevel="0" collapsed="false">
      <c r="A495" s="22" t="str">
        <f aca="false">IF(Daily_Data!A494="","",Daily_Data!A494)</f>
        <v/>
      </c>
      <c r="B495" s="23" t="str">
        <f aca="false">IF(Daily_Data!B494="","",Daily_Data!B494)</f>
        <v/>
      </c>
      <c r="C495" s="23" t="str">
        <f aca="false">IF(A495="","",Daily_Data!C494)</f>
        <v/>
      </c>
      <c r="D495" s="23" t="str">
        <f aca="false">IF(A495="","",Daily_Data!D494)</f>
        <v/>
      </c>
      <c r="E495" s="24" t="str">
        <f aca="false">IF(A495="","",Daily_Data!E494)</f>
        <v/>
      </c>
      <c r="F495" s="23" t="str">
        <f aca="false">IF(A495="","",Daily_Data!F494)</f>
        <v/>
      </c>
      <c r="G495" s="23" t="str">
        <f aca="false">IF(A495="","",Daily_Data!G494)</f>
        <v/>
      </c>
      <c r="H495" s="25" t="str">
        <f aca="false">IF(A495="","",IFERROR(INDEX(SCD_Data!$C$3:$C$502,SUMPRODUCT((SCD_Data!$A$3:$A$502=B495)*(IFERROR(DATEVALUE(SCD_Data!$H$3:$H$502&amp;""),SCD_Data!$H$3:$H$502)&lt;=IFERROR(DATEVALUE(A495&amp;""),A495))*(IFERROR(DATEVALUE(SCD_Data!$I$3:$I$502&amp;""),SCD_Data!$I$3:$I$502)&gt;=IFERROR(DATEVALUE(A495&amp;""),A495))*(ROW(SCD_Data!$A$3:$A$502)-2))),"—"))</f>
        <v/>
      </c>
      <c r="I495" s="25" t="str">
        <f aca="false">IF(A495="","",IFERROR(INDEX(SCD_Data!$D$3:$D$502,SUMPRODUCT((SCD_Data!$A$3:$A$502=B495)*(IFERROR(DATEVALUE(SCD_Data!$H$3:$H$502&amp;""),SCD_Data!$H$3:$H$502)&lt;=IFERROR(DATEVALUE(A495&amp;""),A495))*(IFERROR(DATEVALUE(SCD_Data!$I$3:$I$502&amp;""),SCD_Data!$I$3:$I$502)&gt;=IFERROR(DATEVALUE(A495&amp;""),A495))*(ROW(SCD_Data!$A$3:$A$502)-2))),"—"))</f>
        <v/>
      </c>
      <c r="J495" s="26" t="str">
        <f aca="false">IF(A495="","",IFERROR(INDEX(SCD_Data!$E$3:$E$502,SUMPRODUCT((SCD_Data!$A$3:$A$502=B495)*(IFERROR(DATEVALUE(SCD_Data!$H$3:$H$502&amp;""),SCD_Data!$H$3:$H$502)&lt;=IFERROR(DATEVALUE(A495&amp;""),A495))*(IFERROR(DATEVALUE(SCD_Data!$I$3:$I$502&amp;""),SCD_Data!$I$3:$I$502)&gt;=IFERROR(DATEVALUE(A495&amp;""),A495))*(ROW(SCD_Data!$A$3:$A$502)-2))),"—"))</f>
        <v/>
      </c>
      <c r="K495" s="25" t="str">
        <f aca="false">IF(A495="","",IFERROR(INDEX(SCD_Data!$F$3:$F$502,SUMPRODUCT((SCD_Data!$A$3:$A$502=B495)*(IFERROR(DATEVALUE(SCD_Data!$H$3:$H$502&amp;""),SCD_Data!$H$3:$H$502)&lt;=IFERROR(DATEVALUE(A495&amp;""),A495))*(IFERROR(DATEVALUE(SCD_Data!$I$3:$I$502&amp;""),SCD_Data!$I$3:$I$502)&gt;=IFERROR(DATEVALUE(A495&amp;""),A495))*(ROW(SCD_Data!$A$3:$A$502)-2))),"—"))</f>
        <v/>
      </c>
      <c r="L495" s="25" t="str">
        <f aca="false">IF(A495="","",IFERROR(INDEX(SCD_Data!$G$3:$G$502,SUMPRODUCT((SCD_Data!$A$3:$A$502=B495)*(IFERROR(DATEVALUE(SCD_Data!$H$3:$H$502&amp;""),SCD_Data!$H$3:$H$502)&lt;=IFERROR(DATEVALUE(A495&amp;""),A495))*(IFERROR(DATEVALUE(SCD_Data!$I$3:$I$502&amp;""),SCD_Data!$I$3:$I$502)&gt;=IFERROR(DATEVALUE(A495&amp;""),A495))*(ROW(SCD_Data!$A$3:$A$502)-2))),"—"))</f>
        <v/>
      </c>
      <c r="M495" s="27" t="str">
        <f aca="false">IF(A495="","",IF(H495="—","—",IF(C495&amp;""=H495&amp;"","✓","✗")))</f>
        <v/>
      </c>
      <c r="N495" s="27" t="str">
        <f aca="false">IF(A495="","",IF(H495="—","—",IF(D495&amp;""=I495&amp;"","✓","✗")))</f>
        <v/>
      </c>
      <c r="O495" s="27" t="str">
        <f aca="false">IF(A495="","",IF(H495="—","—",IF(ABS(E495-J495)&lt;0.01,"✓","✗")))</f>
        <v/>
      </c>
      <c r="P495" s="27" t="str">
        <f aca="false">IF(A495="","",IF(H495="—","—",IF(F495&amp;""=K495&amp;"","✓","✗")))</f>
        <v/>
      </c>
      <c r="Q495" s="27" t="str">
        <f aca="false">IF(A495="","",IF(H495="—","—",IF(G495&amp;""=L495&amp;"","✓","✗")))</f>
        <v/>
      </c>
      <c r="R495" s="27" t="str">
        <f aca="false">IF(A495="","",IF(COUNTIF(M495:Q495,"—")=5,"⚠ NO SCD ROW",IF(COUNTIF(M495:Q495,"✗")&gt;0,"❌ MISMATCH","✅ MATCH")))</f>
        <v/>
      </c>
    </row>
    <row r="496" customFormat="false" ht="15" hidden="false" customHeight="true" outlineLevel="0" collapsed="false">
      <c r="A496" s="22" t="str">
        <f aca="false">IF(Daily_Data!A495="","",Daily_Data!A495)</f>
        <v/>
      </c>
      <c r="B496" s="23" t="str">
        <f aca="false">IF(Daily_Data!B495="","",Daily_Data!B495)</f>
        <v/>
      </c>
      <c r="C496" s="23" t="str">
        <f aca="false">IF(A496="","",Daily_Data!C495)</f>
        <v/>
      </c>
      <c r="D496" s="23" t="str">
        <f aca="false">IF(A496="","",Daily_Data!D495)</f>
        <v/>
      </c>
      <c r="E496" s="24" t="str">
        <f aca="false">IF(A496="","",Daily_Data!E495)</f>
        <v/>
      </c>
      <c r="F496" s="23" t="str">
        <f aca="false">IF(A496="","",Daily_Data!F495)</f>
        <v/>
      </c>
      <c r="G496" s="23" t="str">
        <f aca="false">IF(A496="","",Daily_Data!G495)</f>
        <v/>
      </c>
      <c r="H496" s="25" t="str">
        <f aca="false">IF(A496="","",IFERROR(INDEX(SCD_Data!$C$3:$C$502,SUMPRODUCT((SCD_Data!$A$3:$A$502=B496)*(IFERROR(DATEVALUE(SCD_Data!$H$3:$H$502&amp;""),SCD_Data!$H$3:$H$502)&lt;=IFERROR(DATEVALUE(A496&amp;""),A496))*(IFERROR(DATEVALUE(SCD_Data!$I$3:$I$502&amp;""),SCD_Data!$I$3:$I$502)&gt;=IFERROR(DATEVALUE(A496&amp;""),A496))*(ROW(SCD_Data!$A$3:$A$502)-2))),"—"))</f>
        <v/>
      </c>
      <c r="I496" s="25" t="str">
        <f aca="false">IF(A496="","",IFERROR(INDEX(SCD_Data!$D$3:$D$502,SUMPRODUCT((SCD_Data!$A$3:$A$502=B496)*(IFERROR(DATEVALUE(SCD_Data!$H$3:$H$502&amp;""),SCD_Data!$H$3:$H$502)&lt;=IFERROR(DATEVALUE(A496&amp;""),A496))*(IFERROR(DATEVALUE(SCD_Data!$I$3:$I$502&amp;""),SCD_Data!$I$3:$I$502)&gt;=IFERROR(DATEVALUE(A496&amp;""),A496))*(ROW(SCD_Data!$A$3:$A$502)-2))),"—"))</f>
        <v/>
      </c>
      <c r="J496" s="26" t="str">
        <f aca="false">IF(A496="","",IFERROR(INDEX(SCD_Data!$E$3:$E$502,SUMPRODUCT((SCD_Data!$A$3:$A$502=B496)*(IFERROR(DATEVALUE(SCD_Data!$H$3:$H$502&amp;""),SCD_Data!$H$3:$H$502)&lt;=IFERROR(DATEVALUE(A496&amp;""),A496))*(IFERROR(DATEVALUE(SCD_Data!$I$3:$I$502&amp;""),SCD_Data!$I$3:$I$502)&gt;=IFERROR(DATEVALUE(A496&amp;""),A496))*(ROW(SCD_Data!$A$3:$A$502)-2))),"—"))</f>
        <v/>
      </c>
      <c r="K496" s="25" t="str">
        <f aca="false">IF(A496="","",IFERROR(INDEX(SCD_Data!$F$3:$F$502,SUMPRODUCT((SCD_Data!$A$3:$A$502=B496)*(IFERROR(DATEVALUE(SCD_Data!$H$3:$H$502&amp;""),SCD_Data!$H$3:$H$502)&lt;=IFERROR(DATEVALUE(A496&amp;""),A496))*(IFERROR(DATEVALUE(SCD_Data!$I$3:$I$502&amp;""),SCD_Data!$I$3:$I$502)&gt;=IFERROR(DATEVALUE(A496&amp;""),A496))*(ROW(SCD_Data!$A$3:$A$502)-2))),"—"))</f>
        <v/>
      </c>
      <c r="L496" s="25" t="str">
        <f aca="false">IF(A496="","",IFERROR(INDEX(SCD_Data!$G$3:$G$502,SUMPRODUCT((SCD_Data!$A$3:$A$502=B496)*(IFERROR(DATEVALUE(SCD_Data!$H$3:$H$502&amp;""),SCD_Data!$H$3:$H$502)&lt;=IFERROR(DATEVALUE(A496&amp;""),A496))*(IFERROR(DATEVALUE(SCD_Data!$I$3:$I$502&amp;""),SCD_Data!$I$3:$I$502)&gt;=IFERROR(DATEVALUE(A496&amp;""),A496))*(ROW(SCD_Data!$A$3:$A$502)-2))),"—"))</f>
        <v/>
      </c>
      <c r="M496" s="27" t="str">
        <f aca="false">IF(A496="","",IF(H496="—","—",IF(C496&amp;""=H496&amp;"","✓","✗")))</f>
        <v/>
      </c>
      <c r="N496" s="27" t="str">
        <f aca="false">IF(A496="","",IF(H496="—","—",IF(D496&amp;""=I496&amp;"","✓","✗")))</f>
        <v/>
      </c>
      <c r="O496" s="27" t="str">
        <f aca="false">IF(A496="","",IF(H496="—","—",IF(ABS(E496-J496)&lt;0.01,"✓","✗")))</f>
        <v/>
      </c>
      <c r="P496" s="27" t="str">
        <f aca="false">IF(A496="","",IF(H496="—","—",IF(F496&amp;""=K496&amp;"","✓","✗")))</f>
        <v/>
      </c>
      <c r="Q496" s="27" t="str">
        <f aca="false">IF(A496="","",IF(H496="—","—",IF(G496&amp;""=L496&amp;"","✓","✗")))</f>
        <v/>
      </c>
      <c r="R496" s="27" t="str">
        <f aca="false">IF(A496="","",IF(COUNTIF(M496:Q496,"—")=5,"⚠ NO SCD ROW",IF(COUNTIF(M496:Q496,"✗")&gt;0,"❌ MISMATCH","✅ MATCH")))</f>
        <v/>
      </c>
    </row>
    <row r="497" customFormat="false" ht="15" hidden="false" customHeight="true" outlineLevel="0" collapsed="false">
      <c r="A497" s="22" t="str">
        <f aca="false">IF(Daily_Data!A496="","",Daily_Data!A496)</f>
        <v/>
      </c>
      <c r="B497" s="23" t="str">
        <f aca="false">IF(Daily_Data!B496="","",Daily_Data!B496)</f>
        <v/>
      </c>
      <c r="C497" s="23" t="str">
        <f aca="false">IF(A497="","",Daily_Data!C496)</f>
        <v/>
      </c>
      <c r="D497" s="23" t="str">
        <f aca="false">IF(A497="","",Daily_Data!D496)</f>
        <v/>
      </c>
      <c r="E497" s="24" t="str">
        <f aca="false">IF(A497="","",Daily_Data!E496)</f>
        <v/>
      </c>
      <c r="F497" s="23" t="str">
        <f aca="false">IF(A497="","",Daily_Data!F496)</f>
        <v/>
      </c>
      <c r="G497" s="23" t="str">
        <f aca="false">IF(A497="","",Daily_Data!G496)</f>
        <v/>
      </c>
      <c r="H497" s="25" t="str">
        <f aca="false">IF(A497="","",IFERROR(INDEX(SCD_Data!$C$3:$C$502,SUMPRODUCT((SCD_Data!$A$3:$A$502=B497)*(IFERROR(DATEVALUE(SCD_Data!$H$3:$H$502&amp;""),SCD_Data!$H$3:$H$502)&lt;=IFERROR(DATEVALUE(A497&amp;""),A497))*(IFERROR(DATEVALUE(SCD_Data!$I$3:$I$502&amp;""),SCD_Data!$I$3:$I$502)&gt;=IFERROR(DATEVALUE(A497&amp;""),A497))*(ROW(SCD_Data!$A$3:$A$502)-2))),"—"))</f>
        <v/>
      </c>
      <c r="I497" s="25" t="str">
        <f aca="false">IF(A497="","",IFERROR(INDEX(SCD_Data!$D$3:$D$502,SUMPRODUCT((SCD_Data!$A$3:$A$502=B497)*(IFERROR(DATEVALUE(SCD_Data!$H$3:$H$502&amp;""),SCD_Data!$H$3:$H$502)&lt;=IFERROR(DATEVALUE(A497&amp;""),A497))*(IFERROR(DATEVALUE(SCD_Data!$I$3:$I$502&amp;""),SCD_Data!$I$3:$I$502)&gt;=IFERROR(DATEVALUE(A497&amp;""),A497))*(ROW(SCD_Data!$A$3:$A$502)-2))),"—"))</f>
        <v/>
      </c>
      <c r="J497" s="26" t="str">
        <f aca="false">IF(A497="","",IFERROR(INDEX(SCD_Data!$E$3:$E$502,SUMPRODUCT((SCD_Data!$A$3:$A$502=B497)*(IFERROR(DATEVALUE(SCD_Data!$H$3:$H$502&amp;""),SCD_Data!$H$3:$H$502)&lt;=IFERROR(DATEVALUE(A497&amp;""),A497))*(IFERROR(DATEVALUE(SCD_Data!$I$3:$I$502&amp;""),SCD_Data!$I$3:$I$502)&gt;=IFERROR(DATEVALUE(A497&amp;""),A497))*(ROW(SCD_Data!$A$3:$A$502)-2))),"—"))</f>
        <v/>
      </c>
      <c r="K497" s="25" t="str">
        <f aca="false">IF(A497="","",IFERROR(INDEX(SCD_Data!$F$3:$F$502,SUMPRODUCT((SCD_Data!$A$3:$A$502=B497)*(IFERROR(DATEVALUE(SCD_Data!$H$3:$H$502&amp;""),SCD_Data!$H$3:$H$502)&lt;=IFERROR(DATEVALUE(A497&amp;""),A497))*(IFERROR(DATEVALUE(SCD_Data!$I$3:$I$502&amp;""),SCD_Data!$I$3:$I$502)&gt;=IFERROR(DATEVALUE(A497&amp;""),A497))*(ROW(SCD_Data!$A$3:$A$502)-2))),"—"))</f>
        <v/>
      </c>
      <c r="L497" s="25" t="str">
        <f aca="false">IF(A497="","",IFERROR(INDEX(SCD_Data!$G$3:$G$502,SUMPRODUCT((SCD_Data!$A$3:$A$502=B497)*(IFERROR(DATEVALUE(SCD_Data!$H$3:$H$502&amp;""),SCD_Data!$H$3:$H$502)&lt;=IFERROR(DATEVALUE(A497&amp;""),A497))*(IFERROR(DATEVALUE(SCD_Data!$I$3:$I$502&amp;""),SCD_Data!$I$3:$I$502)&gt;=IFERROR(DATEVALUE(A497&amp;""),A497))*(ROW(SCD_Data!$A$3:$A$502)-2))),"—"))</f>
        <v/>
      </c>
      <c r="M497" s="27" t="str">
        <f aca="false">IF(A497="","",IF(H497="—","—",IF(C497&amp;""=H497&amp;"","✓","✗")))</f>
        <v/>
      </c>
      <c r="N497" s="27" t="str">
        <f aca="false">IF(A497="","",IF(H497="—","—",IF(D497&amp;""=I497&amp;"","✓","✗")))</f>
        <v/>
      </c>
      <c r="O497" s="27" t="str">
        <f aca="false">IF(A497="","",IF(H497="—","—",IF(ABS(E497-J497)&lt;0.01,"✓","✗")))</f>
        <v/>
      </c>
      <c r="P497" s="27" t="str">
        <f aca="false">IF(A497="","",IF(H497="—","—",IF(F497&amp;""=K497&amp;"","✓","✗")))</f>
        <v/>
      </c>
      <c r="Q497" s="27" t="str">
        <f aca="false">IF(A497="","",IF(H497="—","—",IF(G497&amp;""=L497&amp;"","✓","✗")))</f>
        <v/>
      </c>
      <c r="R497" s="27" t="str">
        <f aca="false">IF(A497="","",IF(COUNTIF(M497:Q497,"—")=5,"⚠ NO SCD ROW",IF(COUNTIF(M497:Q497,"✗")&gt;0,"❌ MISMATCH","✅ MATCH")))</f>
        <v/>
      </c>
    </row>
    <row r="498" customFormat="false" ht="15" hidden="false" customHeight="true" outlineLevel="0" collapsed="false">
      <c r="A498" s="22" t="str">
        <f aca="false">IF(Daily_Data!A497="","",Daily_Data!A497)</f>
        <v/>
      </c>
      <c r="B498" s="23" t="str">
        <f aca="false">IF(Daily_Data!B497="","",Daily_Data!B497)</f>
        <v/>
      </c>
      <c r="C498" s="23" t="str">
        <f aca="false">IF(A498="","",Daily_Data!C497)</f>
        <v/>
      </c>
      <c r="D498" s="23" t="str">
        <f aca="false">IF(A498="","",Daily_Data!D497)</f>
        <v/>
      </c>
      <c r="E498" s="24" t="str">
        <f aca="false">IF(A498="","",Daily_Data!E497)</f>
        <v/>
      </c>
      <c r="F498" s="23" t="str">
        <f aca="false">IF(A498="","",Daily_Data!F497)</f>
        <v/>
      </c>
      <c r="G498" s="23" t="str">
        <f aca="false">IF(A498="","",Daily_Data!G497)</f>
        <v/>
      </c>
      <c r="H498" s="25" t="str">
        <f aca="false">IF(A498="","",IFERROR(INDEX(SCD_Data!$C$3:$C$502,SUMPRODUCT((SCD_Data!$A$3:$A$502=B498)*(IFERROR(DATEVALUE(SCD_Data!$H$3:$H$502&amp;""),SCD_Data!$H$3:$H$502)&lt;=IFERROR(DATEVALUE(A498&amp;""),A498))*(IFERROR(DATEVALUE(SCD_Data!$I$3:$I$502&amp;""),SCD_Data!$I$3:$I$502)&gt;=IFERROR(DATEVALUE(A498&amp;""),A498))*(ROW(SCD_Data!$A$3:$A$502)-2))),"—"))</f>
        <v/>
      </c>
      <c r="I498" s="25" t="str">
        <f aca="false">IF(A498="","",IFERROR(INDEX(SCD_Data!$D$3:$D$502,SUMPRODUCT((SCD_Data!$A$3:$A$502=B498)*(IFERROR(DATEVALUE(SCD_Data!$H$3:$H$502&amp;""),SCD_Data!$H$3:$H$502)&lt;=IFERROR(DATEVALUE(A498&amp;""),A498))*(IFERROR(DATEVALUE(SCD_Data!$I$3:$I$502&amp;""),SCD_Data!$I$3:$I$502)&gt;=IFERROR(DATEVALUE(A498&amp;""),A498))*(ROW(SCD_Data!$A$3:$A$502)-2))),"—"))</f>
        <v/>
      </c>
      <c r="J498" s="26" t="str">
        <f aca="false">IF(A498="","",IFERROR(INDEX(SCD_Data!$E$3:$E$502,SUMPRODUCT((SCD_Data!$A$3:$A$502=B498)*(IFERROR(DATEVALUE(SCD_Data!$H$3:$H$502&amp;""),SCD_Data!$H$3:$H$502)&lt;=IFERROR(DATEVALUE(A498&amp;""),A498))*(IFERROR(DATEVALUE(SCD_Data!$I$3:$I$502&amp;""),SCD_Data!$I$3:$I$502)&gt;=IFERROR(DATEVALUE(A498&amp;""),A498))*(ROW(SCD_Data!$A$3:$A$502)-2))),"—"))</f>
        <v/>
      </c>
      <c r="K498" s="25" t="str">
        <f aca="false">IF(A498="","",IFERROR(INDEX(SCD_Data!$F$3:$F$502,SUMPRODUCT((SCD_Data!$A$3:$A$502=B498)*(IFERROR(DATEVALUE(SCD_Data!$H$3:$H$502&amp;""),SCD_Data!$H$3:$H$502)&lt;=IFERROR(DATEVALUE(A498&amp;""),A498))*(IFERROR(DATEVALUE(SCD_Data!$I$3:$I$502&amp;""),SCD_Data!$I$3:$I$502)&gt;=IFERROR(DATEVALUE(A498&amp;""),A498))*(ROW(SCD_Data!$A$3:$A$502)-2))),"—"))</f>
        <v/>
      </c>
      <c r="L498" s="25" t="str">
        <f aca="false">IF(A498="","",IFERROR(INDEX(SCD_Data!$G$3:$G$502,SUMPRODUCT((SCD_Data!$A$3:$A$502=B498)*(IFERROR(DATEVALUE(SCD_Data!$H$3:$H$502&amp;""),SCD_Data!$H$3:$H$502)&lt;=IFERROR(DATEVALUE(A498&amp;""),A498))*(IFERROR(DATEVALUE(SCD_Data!$I$3:$I$502&amp;""),SCD_Data!$I$3:$I$502)&gt;=IFERROR(DATEVALUE(A498&amp;""),A498))*(ROW(SCD_Data!$A$3:$A$502)-2))),"—"))</f>
        <v/>
      </c>
      <c r="M498" s="27" t="str">
        <f aca="false">IF(A498="","",IF(H498="—","—",IF(C498&amp;""=H498&amp;"","✓","✗")))</f>
        <v/>
      </c>
      <c r="N498" s="27" t="str">
        <f aca="false">IF(A498="","",IF(H498="—","—",IF(D498&amp;""=I498&amp;"","✓","✗")))</f>
        <v/>
      </c>
      <c r="O498" s="27" t="str">
        <f aca="false">IF(A498="","",IF(H498="—","—",IF(ABS(E498-J498)&lt;0.01,"✓","✗")))</f>
        <v/>
      </c>
      <c r="P498" s="27" t="str">
        <f aca="false">IF(A498="","",IF(H498="—","—",IF(F498&amp;""=K498&amp;"","✓","✗")))</f>
        <v/>
      </c>
      <c r="Q498" s="27" t="str">
        <f aca="false">IF(A498="","",IF(H498="—","—",IF(G498&amp;""=L498&amp;"","✓","✗")))</f>
        <v/>
      </c>
      <c r="R498" s="27" t="str">
        <f aca="false">IF(A498="","",IF(COUNTIF(M498:Q498,"—")=5,"⚠ NO SCD ROW",IF(COUNTIF(M498:Q498,"✗")&gt;0,"❌ MISMATCH","✅ MATCH")))</f>
        <v/>
      </c>
    </row>
    <row r="499" customFormat="false" ht="15" hidden="false" customHeight="true" outlineLevel="0" collapsed="false">
      <c r="A499" s="22" t="str">
        <f aca="false">IF(Daily_Data!A498="","",Daily_Data!A498)</f>
        <v/>
      </c>
      <c r="B499" s="23" t="str">
        <f aca="false">IF(Daily_Data!B498="","",Daily_Data!B498)</f>
        <v/>
      </c>
      <c r="C499" s="23" t="str">
        <f aca="false">IF(A499="","",Daily_Data!C498)</f>
        <v/>
      </c>
      <c r="D499" s="23" t="str">
        <f aca="false">IF(A499="","",Daily_Data!D498)</f>
        <v/>
      </c>
      <c r="E499" s="24" t="str">
        <f aca="false">IF(A499="","",Daily_Data!E498)</f>
        <v/>
      </c>
      <c r="F499" s="23" t="str">
        <f aca="false">IF(A499="","",Daily_Data!F498)</f>
        <v/>
      </c>
      <c r="G499" s="23" t="str">
        <f aca="false">IF(A499="","",Daily_Data!G498)</f>
        <v/>
      </c>
      <c r="H499" s="25" t="str">
        <f aca="false">IF(A499="","",IFERROR(INDEX(SCD_Data!$C$3:$C$502,SUMPRODUCT((SCD_Data!$A$3:$A$502=B499)*(IFERROR(DATEVALUE(SCD_Data!$H$3:$H$502&amp;""),SCD_Data!$H$3:$H$502)&lt;=IFERROR(DATEVALUE(A499&amp;""),A499))*(IFERROR(DATEVALUE(SCD_Data!$I$3:$I$502&amp;""),SCD_Data!$I$3:$I$502)&gt;=IFERROR(DATEVALUE(A499&amp;""),A499))*(ROW(SCD_Data!$A$3:$A$502)-2))),"—"))</f>
        <v/>
      </c>
      <c r="I499" s="25" t="str">
        <f aca="false">IF(A499="","",IFERROR(INDEX(SCD_Data!$D$3:$D$502,SUMPRODUCT((SCD_Data!$A$3:$A$502=B499)*(IFERROR(DATEVALUE(SCD_Data!$H$3:$H$502&amp;""),SCD_Data!$H$3:$H$502)&lt;=IFERROR(DATEVALUE(A499&amp;""),A499))*(IFERROR(DATEVALUE(SCD_Data!$I$3:$I$502&amp;""),SCD_Data!$I$3:$I$502)&gt;=IFERROR(DATEVALUE(A499&amp;""),A499))*(ROW(SCD_Data!$A$3:$A$502)-2))),"—"))</f>
        <v/>
      </c>
      <c r="J499" s="26" t="str">
        <f aca="false">IF(A499="","",IFERROR(INDEX(SCD_Data!$E$3:$E$502,SUMPRODUCT((SCD_Data!$A$3:$A$502=B499)*(IFERROR(DATEVALUE(SCD_Data!$H$3:$H$502&amp;""),SCD_Data!$H$3:$H$502)&lt;=IFERROR(DATEVALUE(A499&amp;""),A499))*(IFERROR(DATEVALUE(SCD_Data!$I$3:$I$502&amp;""),SCD_Data!$I$3:$I$502)&gt;=IFERROR(DATEVALUE(A499&amp;""),A499))*(ROW(SCD_Data!$A$3:$A$502)-2))),"—"))</f>
        <v/>
      </c>
      <c r="K499" s="25" t="str">
        <f aca="false">IF(A499="","",IFERROR(INDEX(SCD_Data!$F$3:$F$502,SUMPRODUCT((SCD_Data!$A$3:$A$502=B499)*(IFERROR(DATEVALUE(SCD_Data!$H$3:$H$502&amp;""),SCD_Data!$H$3:$H$502)&lt;=IFERROR(DATEVALUE(A499&amp;""),A499))*(IFERROR(DATEVALUE(SCD_Data!$I$3:$I$502&amp;""),SCD_Data!$I$3:$I$502)&gt;=IFERROR(DATEVALUE(A499&amp;""),A499))*(ROW(SCD_Data!$A$3:$A$502)-2))),"—"))</f>
        <v/>
      </c>
      <c r="L499" s="25" t="str">
        <f aca="false">IF(A499="","",IFERROR(INDEX(SCD_Data!$G$3:$G$502,SUMPRODUCT((SCD_Data!$A$3:$A$502=B499)*(IFERROR(DATEVALUE(SCD_Data!$H$3:$H$502&amp;""),SCD_Data!$H$3:$H$502)&lt;=IFERROR(DATEVALUE(A499&amp;""),A499))*(IFERROR(DATEVALUE(SCD_Data!$I$3:$I$502&amp;""),SCD_Data!$I$3:$I$502)&gt;=IFERROR(DATEVALUE(A499&amp;""),A499))*(ROW(SCD_Data!$A$3:$A$502)-2))),"—"))</f>
        <v/>
      </c>
      <c r="M499" s="27" t="str">
        <f aca="false">IF(A499="","",IF(H499="—","—",IF(C499&amp;""=H499&amp;"","✓","✗")))</f>
        <v/>
      </c>
      <c r="N499" s="27" t="str">
        <f aca="false">IF(A499="","",IF(H499="—","—",IF(D499&amp;""=I499&amp;"","✓","✗")))</f>
        <v/>
      </c>
      <c r="O499" s="27" t="str">
        <f aca="false">IF(A499="","",IF(H499="—","—",IF(ABS(E499-J499)&lt;0.01,"✓","✗")))</f>
        <v/>
      </c>
      <c r="P499" s="27" t="str">
        <f aca="false">IF(A499="","",IF(H499="—","—",IF(F499&amp;""=K499&amp;"","✓","✗")))</f>
        <v/>
      </c>
      <c r="Q499" s="27" t="str">
        <f aca="false">IF(A499="","",IF(H499="—","—",IF(G499&amp;""=L499&amp;"","✓","✗")))</f>
        <v/>
      </c>
      <c r="R499" s="27" t="str">
        <f aca="false">IF(A499="","",IF(COUNTIF(M499:Q499,"—")=5,"⚠ NO SCD ROW",IF(COUNTIF(M499:Q499,"✗")&gt;0,"❌ MISMATCH","✅ MATCH")))</f>
        <v/>
      </c>
    </row>
    <row r="500" customFormat="false" ht="15" hidden="false" customHeight="true" outlineLevel="0" collapsed="false">
      <c r="A500" s="22" t="str">
        <f aca="false">IF(Daily_Data!A499="","",Daily_Data!A499)</f>
        <v/>
      </c>
      <c r="B500" s="23" t="str">
        <f aca="false">IF(Daily_Data!B499="","",Daily_Data!B499)</f>
        <v/>
      </c>
      <c r="C500" s="23" t="str">
        <f aca="false">IF(A500="","",Daily_Data!C499)</f>
        <v/>
      </c>
      <c r="D500" s="23" t="str">
        <f aca="false">IF(A500="","",Daily_Data!D499)</f>
        <v/>
      </c>
      <c r="E500" s="24" t="str">
        <f aca="false">IF(A500="","",Daily_Data!E499)</f>
        <v/>
      </c>
      <c r="F500" s="23" t="str">
        <f aca="false">IF(A500="","",Daily_Data!F499)</f>
        <v/>
      </c>
      <c r="G500" s="23" t="str">
        <f aca="false">IF(A500="","",Daily_Data!G499)</f>
        <v/>
      </c>
      <c r="H500" s="25" t="str">
        <f aca="false">IF(A500="","",IFERROR(INDEX(SCD_Data!$C$3:$C$502,SUMPRODUCT((SCD_Data!$A$3:$A$502=B500)*(IFERROR(DATEVALUE(SCD_Data!$H$3:$H$502&amp;""),SCD_Data!$H$3:$H$502)&lt;=IFERROR(DATEVALUE(A500&amp;""),A500))*(IFERROR(DATEVALUE(SCD_Data!$I$3:$I$502&amp;""),SCD_Data!$I$3:$I$502)&gt;=IFERROR(DATEVALUE(A500&amp;""),A500))*(ROW(SCD_Data!$A$3:$A$502)-2))),"—"))</f>
        <v/>
      </c>
      <c r="I500" s="25" t="str">
        <f aca="false">IF(A500="","",IFERROR(INDEX(SCD_Data!$D$3:$D$502,SUMPRODUCT((SCD_Data!$A$3:$A$502=B500)*(IFERROR(DATEVALUE(SCD_Data!$H$3:$H$502&amp;""),SCD_Data!$H$3:$H$502)&lt;=IFERROR(DATEVALUE(A500&amp;""),A500))*(IFERROR(DATEVALUE(SCD_Data!$I$3:$I$502&amp;""),SCD_Data!$I$3:$I$502)&gt;=IFERROR(DATEVALUE(A500&amp;""),A500))*(ROW(SCD_Data!$A$3:$A$502)-2))),"—"))</f>
        <v/>
      </c>
      <c r="J500" s="26" t="str">
        <f aca="false">IF(A500="","",IFERROR(INDEX(SCD_Data!$E$3:$E$502,SUMPRODUCT((SCD_Data!$A$3:$A$502=B500)*(IFERROR(DATEVALUE(SCD_Data!$H$3:$H$502&amp;""),SCD_Data!$H$3:$H$502)&lt;=IFERROR(DATEVALUE(A500&amp;""),A500))*(IFERROR(DATEVALUE(SCD_Data!$I$3:$I$502&amp;""),SCD_Data!$I$3:$I$502)&gt;=IFERROR(DATEVALUE(A500&amp;""),A500))*(ROW(SCD_Data!$A$3:$A$502)-2))),"—"))</f>
        <v/>
      </c>
      <c r="K500" s="25" t="str">
        <f aca="false">IF(A500="","",IFERROR(INDEX(SCD_Data!$F$3:$F$502,SUMPRODUCT((SCD_Data!$A$3:$A$502=B500)*(IFERROR(DATEVALUE(SCD_Data!$H$3:$H$502&amp;""),SCD_Data!$H$3:$H$502)&lt;=IFERROR(DATEVALUE(A500&amp;""),A500))*(IFERROR(DATEVALUE(SCD_Data!$I$3:$I$502&amp;""),SCD_Data!$I$3:$I$502)&gt;=IFERROR(DATEVALUE(A500&amp;""),A500))*(ROW(SCD_Data!$A$3:$A$502)-2))),"—"))</f>
        <v/>
      </c>
      <c r="L500" s="25" t="str">
        <f aca="false">IF(A500="","",IFERROR(INDEX(SCD_Data!$G$3:$G$502,SUMPRODUCT((SCD_Data!$A$3:$A$502=B500)*(IFERROR(DATEVALUE(SCD_Data!$H$3:$H$502&amp;""),SCD_Data!$H$3:$H$502)&lt;=IFERROR(DATEVALUE(A500&amp;""),A500))*(IFERROR(DATEVALUE(SCD_Data!$I$3:$I$502&amp;""),SCD_Data!$I$3:$I$502)&gt;=IFERROR(DATEVALUE(A500&amp;""),A500))*(ROW(SCD_Data!$A$3:$A$502)-2))),"—"))</f>
        <v/>
      </c>
      <c r="M500" s="27" t="str">
        <f aca="false">IF(A500="","",IF(H500="—","—",IF(C500&amp;""=H500&amp;"","✓","✗")))</f>
        <v/>
      </c>
      <c r="N500" s="27" t="str">
        <f aca="false">IF(A500="","",IF(H500="—","—",IF(D500&amp;""=I500&amp;"","✓","✗")))</f>
        <v/>
      </c>
      <c r="O500" s="27" t="str">
        <f aca="false">IF(A500="","",IF(H500="—","—",IF(ABS(E500-J500)&lt;0.01,"✓","✗")))</f>
        <v/>
      </c>
      <c r="P500" s="27" t="str">
        <f aca="false">IF(A500="","",IF(H500="—","—",IF(F500&amp;""=K500&amp;"","✓","✗")))</f>
        <v/>
      </c>
      <c r="Q500" s="27" t="str">
        <f aca="false">IF(A500="","",IF(H500="—","—",IF(G500&amp;""=L500&amp;"","✓","✗")))</f>
        <v/>
      </c>
      <c r="R500" s="27" t="str">
        <f aca="false">IF(A500="","",IF(COUNTIF(M500:Q500,"—")=5,"⚠ NO SCD ROW",IF(COUNTIF(M500:Q500,"✗")&gt;0,"❌ MISMATCH","✅ MATCH")))</f>
        <v/>
      </c>
    </row>
    <row r="501" customFormat="false" ht="15" hidden="false" customHeight="true" outlineLevel="0" collapsed="false">
      <c r="A501" s="22" t="str">
        <f aca="false">IF(Daily_Data!A500="","",Daily_Data!A500)</f>
        <v/>
      </c>
      <c r="B501" s="23" t="str">
        <f aca="false">IF(Daily_Data!B500="","",Daily_Data!B500)</f>
        <v/>
      </c>
      <c r="C501" s="23" t="str">
        <f aca="false">IF(A501="","",Daily_Data!C500)</f>
        <v/>
      </c>
      <c r="D501" s="23" t="str">
        <f aca="false">IF(A501="","",Daily_Data!D500)</f>
        <v/>
      </c>
      <c r="E501" s="24" t="str">
        <f aca="false">IF(A501="","",Daily_Data!E500)</f>
        <v/>
      </c>
      <c r="F501" s="23" t="str">
        <f aca="false">IF(A501="","",Daily_Data!F500)</f>
        <v/>
      </c>
      <c r="G501" s="23" t="str">
        <f aca="false">IF(A501="","",Daily_Data!G500)</f>
        <v/>
      </c>
      <c r="H501" s="25" t="str">
        <f aca="false">IF(A501="","",IFERROR(INDEX(SCD_Data!$C$3:$C$502,SUMPRODUCT((SCD_Data!$A$3:$A$502=B501)*(IFERROR(DATEVALUE(SCD_Data!$H$3:$H$502&amp;""),SCD_Data!$H$3:$H$502)&lt;=IFERROR(DATEVALUE(A501&amp;""),A501))*(IFERROR(DATEVALUE(SCD_Data!$I$3:$I$502&amp;""),SCD_Data!$I$3:$I$502)&gt;=IFERROR(DATEVALUE(A501&amp;""),A501))*(ROW(SCD_Data!$A$3:$A$502)-2))),"—"))</f>
        <v/>
      </c>
      <c r="I501" s="25" t="str">
        <f aca="false">IF(A501="","",IFERROR(INDEX(SCD_Data!$D$3:$D$502,SUMPRODUCT((SCD_Data!$A$3:$A$502=B501)*(IFERROR(DATEVALUE(SCD_Data!$H$3:$H$502&amp;""),SCD_Data!$H$3:$H$502)&lt;=IFERROR(DATEVALUE(A501&amp;""),A501))*(IFERROR(DATEVALUE(SCD_Data!$I$3:$I$502&amp;""),SCD_Data!$I$3:$I$502)&gt;=IFERROR(DATEVALUE(A501&amp;""),A501))*(ROW(SCD_Data!$A$3:$A$502)-2))),"—"))</f>
        <v/>
      </c>
      <c r="J501" s="26" t="str">
        <f aca="false">IF(A501="","",IFERROR(INDEX(SCD_Data!$E$3:$E$502,SUMPRODUCT((SCD_Data!$A$3:$A$502=B501)*(IFERROR(DATEVALUE(SCD_Data!$H$3:$H$502&amp;""),SCD_Data!$H$3:$H$502)&lt;=IFERROR(DATEVALUE(A501&amp;""),A501))*(IFERROR(DATEVALUE(SCD_Data!$I$3:$I$502&amp;""),SCD_Data!$I$3:$I$502)&gt;=IFERROR(DATEVALUE(A501&amp;""),A501))*(ROW(SCD_Data!$A$3:$A$502)-2))),"—"))</f>
        <v/>
      </c>
      <c r="K501" s="25" t="str">
        <f aca="false">IF(A501="","",IFERROR(INDEX(SCD_Data!$F$3:$F$502,SUMPRODUCT((SCD_Data!$A$3:$A$502=B501)*(IFERROR(DATEVALUE(SCD_Data!$H$3:$H$502&amp;""),SCD_Data!$H$3:$H$502)&lt;=IFERROR(DATEVALUE(A501&amp;""),A501))*(IFERROR(DATEVALUE(SCD_Data!$I$3:$I$502&amp;""),SCD_Data!$I$3:$I$502)&gt;=IFERROR(DATEVALUE(A501&amp;""),A501))*(ROW(SCD_Data!$A$3:$A$502)-2))),"—"))</f>
        <v/>
      </c>
      <c r="L501" s="25" t="str">
        <f aca="false">IF(A501="","",IFERROR(INDEX(SCD_Data!$G$3:$G$502,SUMPRODUCT((SCD_Data!$A$3:$A$502=B501)*(IFERROR(DATEVALUE(SCD_Data!$H$3:$H$502&amp;""),SCD_Data!$H$3:$H$502)&lt;=IFERROR(DATEVALUE(A501&amp;""),A501))*(IFERROR(DATEVALUE(SCD_Data!$I$3:$I$502&amp;""),SCD_Data!$I$3:$I$502)&gt;=IFERROR(DATEVALUE(A501&amp;""),A501))*(ROW(SCD_Data!$A$3:$A$502)-2))),"—"))</f>
        <v/>
      </c>
      <c r="M501" s="27" t="str">
        <f aca="false">IF(A501="","",IF(H501="—","—",IF(C501&amp;""=H501&amp;"","✓","✗")))</f>
        <v/>
      </c>
      <c r="N501" s="27" t="str">
        <f aca="false">IF(A501="","",IF(H501="—","—",IF(D501&amp;""=I501&amp;"","✓","✗")))</f>
        <v/>
      </c>
      <c r="O501" s="27" t="str">
        <f aca="false">IF(A501="","",IF(H501="—","—",IF(ABS(E501-J501)&lt;0.01,"✓","✗")))</f>
        <v/>
      </c>
      <c r="P501" s="27" t="str">
        <f aca="false">IF(A501="","",IF(H501="—","—",IF(F501&amp;""=K501&amp;"","✓","✗")))</f>
        <v/>
      </c>
      <c r="Q501" s="27" t="str">
        <f aca="false">IF(A501="","",IF(H501="—","—",IF(G501&amp;""=L501&amp;"","✓","✗")))</f>
        <v/>
      </c>
      <c r="R501" s="27" t="str">
        <f aca="false">IF(A501="","",IF(COUNTIF(M501:Q501,"—")=5,"⚠ NO SCD ROW",IF(COUNTIF(M501:Q501,"✗")&gt;0,"❌ MISMATCH","✅ MATCH")))</f>
        <v/>
      </c>
    </row>
    <row r="502" customFormat="false" ht="15" hidden="false" customHeight="true" outlineLevel="0" collapsed="false">
      <c r="A502" s="22" t="str">
        <f aca="false">IF(Daily_Data!A501="","",Daily_Data!A501)</f>
        <v/>
      </c>
      <c r="B502" s="23" t="str">
        <f aca="false">IF(Daily_Data!B501="","",Daily_Data!B501)</f>
        <v/>
      </c>
      <c r="C502" s="23" t="str">
        <f aca="false">IF(A502="","",Daily_Data!C501)</f>
        <v/>
      </c>
      <c r="D502" s="23" t="str">
        <f aca="false">IF(A502="","",Daily_Data!D501)</f>
        <v/>
      </c>
      <c r="E502" s="24" t="str">
        <f aca="false">IF(A502="","",Daily_Data!E501)</f>
        <v/>
      </c>
      <c r="F502" s="23" t="str">
        <f aca="false">IF(A502="","",Daily_Data!F501)</f>
        <v/>
      </c>
      <c r="G502" s="23" t="str">
        <f aca="false">IF(A502="","",Daily_Data!G501)</f>
        <v/>
      </c>
      <c r="H502" s="25" t="str">
        <f aca="false">IF(A502="","",IFERROR(INDEX(SCD_Data!$C$3:$C$502,SUMPRODUCT((SCD_Data!$A$3:$A$502=B502)*(IFERROR(DATEVALUE(SCD_Data!$H$3:$H$502&amp;""),SCD_Data!$H$3:$H$502)&lt;=IFERROR(DATEVALUE(A502&amp;""),A502))*(IFERROR(DATEVALUE(SCD_Data!$I$3:$I$502&amp;""),SCD_Data!$I$3:$I$502)&gt;=IFERROR(DATEVALUE(A502&amp;""),A502))*(ROW(SCD_Data!$A$3:$A$502)-2))),"—"))</f>
        <v/>
      </c>
      <c r="I502" s="25" t="str">
        <f aca="false">IF(A502="","",IFERROR(INDEX(SCD_Data!$D$3:$D$502,SUMPRODUCT((SCD_Data!$A$3:$A$502=B502)*(IFERROR(DATEVALUE(SCD_Data!$H$3:$H$502&amp;""),SCD_Data!$H$3:$H$502)&lt;=IFERROR(DATEVALUE(A502&amp;""),A502))*(IFERROR(DATEVALUE(SCD_Data!$I$3:$I$502&amp;""),SCD_Data!$I$3:$I$502)&gt;=IFERROR(DATEVALUE(A502&amp;""),A502))*(ROW(SCD_Data!$A$3:$A$502)-2))),"—"))</f>
        <v/>
      </c>
      <c r="J502" s="26" t="str">
        <f aca="false">IF(A502="","",IFERROR(INDEX(SCD_Data!$E$3:$E$502,SUMPRODUCT((SCD_Data!$A$3:$A$502=B502)*(IFERROR(DATEVALUE(SCD_Data!$H$3:$H$502&amp;""),SCD_Data!$H$3:$H$502)&lt;=IFERROR(DATEVALUE(A502&amp;""),A502))*(IFERROR(DATEVALUE(SCD_Data!$I$3:$I$502&amp;""),SCD_Data!$I$3:$I$502)&gt;=IFERROR(DATEVALUE(A502&amp;""),A502))*(ROW(SCD_Data!$A$3:$A$502)-2))),"—"))</f>
        <v/>
      </c>
      <c r="K502" s="25" t="str">
        <f aca="false">IF(A502="","",IFERROR(INDEX(SCD_Data!$F$3:$F$502,SUMPRODUCT((SCD_Data!$A$3:$A$502=B502)*(IFERROR(DATEVALUE(SCD_Data!$H$3:$H$502&amp;""),SCD_Data!$H$3:$H$502)&lt;=IFERROR(DATEVALUE(A502&amp;""),A502))*(IFERROR(DATEVALUE(SCD_Data!$I$3:$I$502&amp;""),SCD_Data!$I$3:$I$502)&gt;=IFERROR(DATEVALUE(A502&amp;""),A502))*(ROW(SCD_Data!$A$3:$A$502)-2))),"—"))</f>
        <v/>
      </c>
      <c r="L502" s="25" t="str">
        <f aca="false">IF(A502="","",IFERROR(INDEX(SCD_Data!$G$3:$G$502,SUMPRODUCT((SCD_Data!$A$3:$A$502=B502)*(IFERROR(DATEVALUE(SCD_Data!$H$3:$H$502&amp;""),SCD_Data!$H$3:$H$502)&lt;=IFERROR(DATEVALUE(A502&amp;""),A502))*(IFERROR(DATEVALUE(SCD_Data!$I$3:$I$502&amp;""),SCD_Data!$I$3:$I$502)&gt;=IFERROR(DATEVALUE(A502&amp;""),A502))*(ROW(SCD_Data!$A$3:$A$502)-2))),"—"))</f>
        <v/>
      </c>
      <c r="M502" s="27" t="str">
        <f aca="false">IF(A502="","",IF(H502="—","—",IF(C502&amp;""=H502&amp;"","✓","✗")))</f>
        <v/>
      </c>
      <c r="N502" s="27" t="str">
        <f aca="false">IF(A502="","",IF(H502="—","—",IF(D502&amp;""=I502&amp;"","✓","✗")))</f>
        <v/>
      </c>
      <c r="O502" s="27" t="str">
        <f aca="false">IF(A502="","",IF(H502="—","—",IF(ABS(E502-J502)&lt;0.01,"✓","✗")))</f>
        <v/>
      </c>
      <c r="P502" s="27" t="str">
        <f aca="false">IF(A502="","",IF(H502="—","—",IF(F502&amp;""=K502&amp;"","✓","✗")))</f>
        <v/>
      </c>
      <c r="Q502" s="27" t="str">
        <f aca="false">IF(A502="","",IF(H502="—","—",IF(G502&amp;""=L502&amp;"","✓","✗")))</f>
        <v/>
      </c>
      <c r="R502" s="27" t="str">
        <f aca="false">IF(A502="","",IF(COUNTIF(M502:Q502,"—")=5,"⚠ NO SCD ROW",IF(COUNTIF(M502:Q502,"✗")&gt;0,"❌ MISMATCH","✅ MATCH")))</f>
        <v/>
      </c>
    </row>
    <row r="503" customFormat="false" ht="15" hidden="false" customHeight="true" outlineLevel="0" collapsed="false">
      <c r="A503" s="22" t="str">
        <f aca="false">IF(Daily_Data!A502="","",Daily_Data!A502)</f>
        <v/>
      </c>
      <c r="B503" s="23" t="str">
        <f aca="false">IF(Daily_Data!B502="","",Daily_Data!B502)</f>
        <v/>
      </c>
      <c r="C503" s="23" t="str">
        <f aca="false">IF(A503="","",Daily_Data!C502)</f>
        <v/>
      </c>
      <c r="D503" s="23" t="str">
        <f aca="false">IF(A503="","",Daily_Data!D502)</f>
        <v/>
      </c>
      <c r="E503" s="24" t="str">
        <f aca="false">IF(A503="","",Daily_Data!E502)</f>
        <v/>
      </c>
      <c r="F503" s="23" t="str">
        <f aca="false">IF(A503="","",Daily_Data!F502)</f>
        <v/>
      </c>
      <c r="G503" s="23" t="str">
        <f aca="false">IF(A503="","",Daily_Data!G502)</f>
        <v/>
      </c>
      <c r="H503" s="25" t="str">
        <f aca="false">IF(A503="","",IFERROR(INDEX(SCD_Data!$C$3:$C$502,SUMPRODUCT((SCD_Data!$A$3:$A$502=B503)*(IFERROR(DATEVALUE(SCD_Data!$H$3:$H$502&amp;""),SCD_Data!$H$3:$H$502)&lt;=IFERROR(DATEVALUE(A503&amp;""),A503))*(IFERROR(DATEVALUE(SCD_Data!$I$3:$I$502&amp;""),SCD_Data!$I$3:$I$502)&gt;=IFERROR(DATEVALUE(A503&amp;""),A503))*(ROW(SCD_Data!$A$3:$A$502)-2))),"—"))</f>
        <v/>
      </c>
      <c r="I503" s="25" t="str">
        <f aca="false">IF(A503="","",IFERROR(INDEX(SCD_Data!$D$3:$D$502,SUMPRODUCT((SCD_Data!$A$3:$A$502=B503)*(IFERROR(DATEVALUE(SCD_Data!$H$3:$H$502&amp;""),SCD_Data!$H$3:$H$502)&lt;=IFERROR(DATEVALUE(A503&amp;""),A503))*(IFERROR(DATEVALUE(SCD_Data!$I$3:$I$502&amp;""),SCD_Data!$I$3:$I$502)&gt;=IFERROR(DATEVALUE(A503&amp;""),A503))*(ROW(SCD_Data!$A$3:$A$502)-2))),"—"))</f>
        <v/>
      </c>
      <c r="J503" s="26" t="str">
        <f aca="false">IF(A503="","",IFERROR(INDEX(SCD_Data!$E$3:$E$502,SUMPRODUCT((SCD_Data!$A$3:$A$502=B503)*(IFERROR(DATEVALUE(SCD_Data!$H$3:$H$502&amp;""),SCD_Data!$H$3:$H$502)&lt;=IFERROR(DATEVALUE(A503&amp;""),A503))*(IFERROR(DATEVALUE(SCD_Data!$I$3:$I$502&amp;""),SCD_Data!$I$3:$I$502)&gt;=IFERROR(DATEVALUE(A503&amp;""),A503))*(ROW(SCD_Data!$A$3:$A$502)-2))),"—"))</f>
        <v/>
      </c>
      <c r="K503" s="25" t="str">
        <f aca="false">IF(A503="","",IFERROR(INDEX(SCD_Data!$F$3:$F$502,SUMPRODUCT((SCD_Data!$A$3:$A$502=B503)*(IFERROR(DATEVALUE(SCD_Data!$H$3:$H$502&amp;""),SCD_Data!$H$3:$H$502)&lt;=IFERROR(DATEVALUE(A503&amp;""),A503))*(IFERROR(DATEVALUE(SCD_Data!$I$3:$I$502&amp;""),SCD_Data!$I$3:$I$502)&gt;=IFERROR(DATEVALUE(A503&amp;""),A503))*(ROW(SCD_Data!$A$3:$A$502)-2))),"—"))</f>
        <v/>
      </c>
      <c r="L503" s="25" t="str">
        <f aca="false">IF(A503="","",IFERROR(INDEX(SCD_Data!$G$3:$G$502,SUMPRODUCT((SCD_Data!$A$3:$A$502=B503)*(IFERROR(DATEVALUE(SCD_Data!$H$3:$H$502&amp;""),SCD_Data!$H$3:$H$502)&lt;=IFERROR(DATEVALUE(A503&amp;""),A503))*(IFERROR(DATEVALUE(SCD_Data!$I$3:$I$502&amp;""),SCD_Data!$I$3:$I$502)&gt;=IFERROR(DATEVALUE(A503&amp;""),A503))*(ROW(SCD_Data!$A$3:$A$502)-2))),"—"))</f>
        <v/>
      </c>
      <c r="M503" s="27" t="str">
        <f aca="false">IF(A503="","",IF(H503="—","—",IF(C503&amp;""=H503&amp;"","✓","✗")))</f>
        <v/>
      </c>
      <c r="N503" s="27" t="str">
        <f aca="false">IF(A503="","",IF(H503="—","—",IF(D503&amp;""=I503&amp;"","✓","✗")))</f>
        <v/>
      </c>
      <c r="O503" s="27" t="str">
        <f aca="false">IF(A503="","",IF(H503="—","—",IF(ABS(E503-J503)&lt;0.01,"✓","✗")))</f>
        <v/>
      </c>
      <c r="P503" s="27" t="str">
        <f aca="false">IF(A503="","",IF(H503="—","—",IF(F503&amp;""=K503&amp;"","✓","✗")))</f>
        <v/>
      </c>
      <c r="Q503" s="27" t="str">
        <f aca="false">IF(A503="","",IF(H503="—","—",IF(G503&amp;""=L503&amp;"","✓","✗")))</f>
        <v/>
      </c>
      <c r="R503" s="27" t="str">
        <f aca="false">IF(A503="","",IF(COUNTIF(M503:Q503,"—")=5,"⚠ NO SCD ROW",IF(COUNTIF(M503:Q503,"✗")&gt;0,"❌ MISMATCH","✅ MATCH")))</f>
        <v/>
      </c>
    </row>
  </sheetData>
  <autoFilter ref="A3:R3"/>
  <mergeCells count="5">
    <mergeCell ref="A1:R1"/>
    <mergeCell ref="A2:B2"/>
    <mergeCell ref="C2:G2"/>
    <mergeCell ref="H2:L2"/>
    <mergeCell ref="M2:Q2"/>
  </mergeCells>
  <conditionalFormatting sqref="A4:R503">
    <cfRule type="expression" priority="2" aboveAverage="0" equalAverage="0" bottom="0" percent="0" rank="0" text="" dxfId="11">
      <formula>$R4="✅ MATCH"</formula>
    </cfRule>
    <cfRule type="expression" priority="3" aboveAverage="0" equalAverage="0" bottom="0" percent="0" rank="0" text="" dxfId="12">
      <formula>$R4="❌ MISMATCH"</formula>
    </cfRule>
    <cfRule type="expression" priority="4" aboveAverage="0" equalAverage="0" bottom="0" percent="0" rank="0" text="" dxfId="13">
      <formula>$R4="⚠ NO SCD ROW"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R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10"/>
    <col collapsed="false" customWidth="true" hidden="false" outlineLevel="0" max="12" min="11" style="1" width="12"/>
    <col collapsed="false" customWidth="true" hidden="false" outlineLevel="0" max="17" min="13" style="1" width="8"/>
    <col collapsed="false" customWidth="true" hidden="false" outlineLevel="0" max="18" min="18" style="1" width="18"/>
  </cols>
  <sheetData>
    <row r="1" customFormat="false" ht="24" hidden="false" customHeight="true" outlineLevel="0" collapsed="false">
      <c r="A1" s="28" t="s">
        <v>69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customFormat="false" ht="27.75" hidden="false" customHeight="true" outlineLevel="0" collapsed="false">
      <c r="A2" s="17" t="s">
        <v>1</v>
      </c>
      <c r="B2" s="17" t="s">
        <v>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9" t="s">
        <v>59</v>
      </c>
      <c r="J2" s="19" t="s">
        <v>60</v>
      </c>
      <c r="K2" s="19" t="s">
        <v>61</v>
      </c>
      <c r="L2" s="19" t="s">
        <v>62</v>
      </c>
      <c r="M2" s="20" t="s">
        <v>63</v>
      </c>
      <c r="N2" s="20" t="s">
        <v>64</v>
      </c>
      <c r="O2" s="20" t="s">
        <v>65</v>
      </c>
      <c r="P2" s="20" t="s">
        <v>66</v>
      </c>
      <c r="Q2" s="20" t="s">
        <v>67</v>
      </c>
      <c r="R2" s="21" t="s">
        <v>68</v>
      </c>
    </row>
    <row r="3" customFormat="false" ht="15" hidden="false" customHeight="true" outlineLevel="0" collapsed="false">
      <c r="A3" s="29" t="str">
        <f aca="false">IF(R3="","",Reconciliation!A4)</f>
        <v/>
      </c>
      <c r="B3" s="30" t="str">
        <f aca="false">IF(R3="","",Reconciliation!B4)</f>
        <v/>
      </c>
      <c r="C3" s="30" t="str">
        <f aca="false">IF(R3="","",Reconciliation!C4)</f>
        <v/>
      </c>
      <c r="D3" s="30" t="str">
        <f aca="false">IF(R3="","",Reconciliation!D4)</f>
        <v/>
      </c>
      <c r="E3" s="31" t="str">
        <f aca="false">IF(R3="","",Reconciliation!E4)</f>
        <v/>
      </c>
      <c r="F3" s="30" t="str">
        <f aca="false">IF(R3="","",Reconciliation!F4)</f>
        <v/>
      </c>
      <c r="G3" s="30" t="str">
        <f aca="false">IF(R3="","",Reconciliation!G4)</f>
        <v/>
      </c>
      <c r="H3" s="30" t="str">
        <f aca="false">IF(R3="","",Reconciliation!H4)</f>
        <v/>
      </c>
      <c r="I3" s="30" t="str">
        <f aca="false">IF(R3="","",Reconciliation!I4)</f>
        <v/>
      </c>
      <c r="J3" s="31" t="str">
        <f aca="false">IF(R3="","",Reconciliation!J4)</f>
        <v/>
      </c>
      <c r="K3" s="30" t="str">
        <f aca="false">IF(R3="","",Reconciliation!K4)</f>
        <v/>
      </c>
      <c r="L3" s="30" t="str">
        <f aca="false">IF(R3="","",Reconciliation!L4)</f>
        <v/>
      </c>
      <c r="M3" s="32" t="str">
        <f aca="false">IF(R3="","",Reconciliation!M4)</f>
        <v/>
      </c>
      <c r="N3" s="32" t="str">
        <f aca="false">IF(R3="","",Reconciliation!N4)</f>
        <v/>
      </c>
      <c r="O3" s="32" t="str">
        <f aca="false">IF(R3="","",Reconciliation!O4)</f>
        <v/>
      </c>
      <c r="P3" s="32" t="str">
        <f aca="false">IF(R3="","",Reconciliation!P4)</f>
        <v/>
      </c>
      <c r="Q3" s="32" t="str">
        <f aca="false">IF(R3="","",Reconciliation!Q4)</f>
        <v/>
      </c>
      <c r="R3" s="33" t="str">
        <f aca="false">IF(OR(Reconciliation!R4="✅ MATCH",Reconciliation!R4=""),"",Reconciliation!R4)</f>
        <v/>
      </c>
    </row>
    <row r="4" customFormat="false" ht="15" hidden="false" customHeight="true" outlineLevel="0" collapsed="false">
      <c r="A4" s="29" t="str">
        <f aca="false">IF(R4="","",Reconciliation!A5)</f>
        <v/>
      </c>
      <c r="B4" s="30" t="str">
        <f aca="false">IF(R4="","",Reconciliation!B5)</f>
        <v/>
      </c>
      <c r="C4" s="30" t="str">
        <f aca="false">IF(R4="","",Reconciliation!C5)</f>
        <v/>
      </c>
      <c r="D4" s="30" t="str">
        <f aca="false">IF(R4="","",Reconciliation!D5)</f>
        <v/>
      </c>
      <c r="E4" s="31" t="str">
        <f aca="false">IF(R4="","",Reconciliation!E5)</f>
        <v/>
      </c>
      <c r="F4" s="30" t="str">
        <f aca="false">IF(R4="","",Reconciliation!F5)</f>
        <v/>
      </c>
      <c r="G4" s="30" t="str">
        <f aca="false">IF(R4="","",Reconciliation!G5)</f>
        <v/>
      </c>
      <c r="H4" s="30" t="str">
        <f aca="false">IF(R4="","",Reconciliation!H5)</f>
        <v/>
      </c>
      <c r="I4" s="30" t="str">
        <f aca="false">IF(R4="","",Reconciliation!I5)</f>
        <v/>
      </c>
      <c r="J4" s="31" t="str">
        <f aca="false">IF(R4="","",Reconciliation!J5)</f>
        <v/>
      </c>
      <c r="K4" s="30" t="str">
        <f aca="false">IF(R4="","",Reconciliation!K5)</f>
        <v/>
      </c>
      <c r="L4" s="30" t="str">
        <f aca="false">IF(R4="","",Reconciliation!L5)</f>
        <v/>
      </c>
      <c r="M4" s="32" t="str">
        <f aca="false">IF(R4="","",Reconciliation!M5)</f>
        <v/>
      </c>
      <c r="N4" s="32" t="str">
        <f aca="false">IF(R4="","",Reconciliation!N5)</f>
        <v/>
      </c>
      <c r="O4" s="32" t="str">
        <f aca="false">IF(R4="","",Reconciliation!O5)</f>
        <v/>
      </c>
      <c r="P4" s="32" t="str">
        <f aca="false">IF(R4="","",Reconciliation!P5)</f>
        <v/>
      </c>
      <c r="Q4" s="32" t="str">
        <f aca="false">IF(R4="","",Reconciliation!Q5)</f>
        <v/>
      </c>
      <c r="R4" s="33" t="str">
        <f aca="false">IF(OR(Reconciliation!R5="✅ MATCH",Reconciliation!R5=""),"",Reconciliation!R5)</f>
        <v/>
      </c>
    </row>
    <row r="5" customFormat="false" ht="15" hidden="false" customHeight="true" outlineLevel="0" collapsed="false">
      <c r="A5" s="29" t="str">
        <f aca="false">IF(R5="","",Reconciliation!A6)</f>
        <v/>
      </c>
      <c r="B5" s="30" t="str">
        <f aca="false">IF(R5="","",Reconciliation!B6)</f>
        <v/>
      </c>
      <c r="C5" s="30" t="str">
        <f aca="false">IF(R5="","",Reconciliation!C6)</f>
        <v/>
      </c>
      <c r="D5" s="30" t="str">
        <f aca="false">IF(R5="","",Reconciliation!D6)</f>
        <v/>
      </c>
      <c r="E5" s="31" t="str">
        <f aca="false">IF(R5="","",Reconciliation!E6)</f>
        <v/>
      </c>
      <c r="F5" s="30" t="str">
        <f aca="false">IF(R5="","",Reconciliation!F6)</f>
        <v/>
      </c>
      <c r="G5" s="30" t="str">
        <f aca="false">IF(R5="","",Reconciliation!G6)</f>
        <v/>
      </c>
      <c r="H5" s="30" t="str">
        <f aca="false">IF(R5="","",Reconciliation!H6)</f>
        <v/>
      </c>
      <c r="I5" s="30" t="str">
        <f aca="false">IF(R5="","",Reconciliation!I6)</f>
        <v/>
      </c>
      <c r="J5" s="31" t="str">
        <f aca="false">IF(R5="","",Reconciliation!J6)</f>
        <v/>
      </c>
      <c r="K5" s="30" t="str">
        <f aca="false">IF(R5="","",Reconciliation!K6)</f>
        <v/>
      </c>
      <c r="L5" s="30" t="str">
        <f aca="false">IF(R5="","",Reconciliation!L6)</f>
        <v/>
      </c>
      <c r="M5" s="32" t="str">
        <f aca="false">IF(R5="","",Reconciliation!M6)</f>
        <v/>
      </c>
      <c r="N5" s="32" t="str">
        <f aca="false">IF(R5="","",Reconciliation!N6)</f>
        <v/>
      </c>
      <c r="O5" s="32" t="str">
        <f aca="false">IF(R5="","",Reconciliation!O6)</f>
        <v/>
      </c>
      <c r="P5" s="32" t="str">
        <f aca="false">IF(R5="","",Reconciliation!P6)</f>
        <v/>
      </c>
      <c r="Q5" s="32" t="str">
        <f aca="false">IF(R5="","",Reconciliation!Q6)</f>
        <v/>
      </c>
      <c r="R5" s="33" t="str">
        <f aca="false">IF(OR(Reconciliation!R6="✅ MATCH",Reconciliation!R6=""),"",Reconciliation!R6)</f>
        <v/>
      </c>
    </row>
    <row r="6" customFormat="false" ht="15" hidden="false" customHeight="true" outlineLevel="0" collapsed="false">
      <c r="A6" s="29" t="str">
        <f aca="false">IF(R6="","",Reconciliation!A7)</f>
        <v/>
      </c>
      <c r="B6" s="30" t="str">
        <f aca="false">IF(R6="","",Reconciliation!B7)</f>
        <v/>
      </c>
      <c r="C6" s="30" t="str">
        <f aca="false">IF(R6="","",Reconciliation!C7)</f>
        <v/>
      </c>
      <c r="D6" s="30" t="str">
        <f aca="false">IF(R6="","",Reconciliation!D7)</f>
        <v/>
      </c>
      <c r="E6" s="31" t="str">
        <f aca="false">IF(R6="","",Reconciliation!E7)</f>
        <v/>
      </c>
      <c r="F6" s="30" t="str">
        <f aca="false">IF(R6="","",Reconciliation!F7)</f>
        <v/>
      </c>
      <c r="G6" s="30" t="str">
        <f aca="false">IF(R6="","",Reconciliation!G7)</f>
        <v/>
      </c>
      <c r="H6" s="30" t="str">
        <f aca="false">IF(R6="","",Reconciliation!H7)</f>
        <v/>
      </c>
      <c r="I6" s="30" t="str">
        <f aca="false">IF(R6="","",Reconciliation!I7)</f>
        <v/>
      </c>
      <c r="J6" s="31" t="str">
        <f aca="false">IF(R6="","",Reconciliation!J7)</f>
        <v/>
      </c>
      <c r="K6" s="30" t="str">
        <f aca="false">IF(R6="","",Reconciliation!K7)</f>
        <v/>
      </c>
      <c r="L6" s="30" t="str">
        <f aca="false">IF(R6="","",Reconciliation!L7)</f>
        <v/>
      </c>
      <c r="M6" s="32" t="str">
        <f aca="false">IF(R6="","",Reconciliation!M7)</f>
        <v/>
      </c>
      <c r="N6" s="32" t="str">
        <f aca="false">IF(R6="","",Reconciliation!N7)</f>
        <v/>
      </c>
      <c r="O6" s="32" t="str">
        <f aca="false">IF(R6="","",Reconciliation!O7)</f>
        <v/>
      </c>
      <c r="P6" s="32" t="str">
        <f aca="false">IF(R6="","",Reconciliation!P7)</f>
        <v/>
      </c>
      <c r="Q6" s="32" t="str">
        <f aca="false">IF(R6="","",Reconciliation!Q7)</f>
        <v/>
      </c>
      <c r="R6" s="33" t="str">
        <f aca="false">IF(OR(Reconciliation!R7="✅ MATCH",Reconciliation!R7=""),"",Reconciliation!R7)</f>
        <v/>
      </c>
    </row>
    <row r="7" customFormat="false" ht="15" hidden="false" customHeight="true" outlineLevel="0" collapsed="false">
      <c r="A7" s="29" t="str">
        <f aca="false">IF(R7="","",Reconciliation!A8)</f>
        <v/>
      </c>
      <c r="B7" s="30" t="str">
        <f aca="false">IF(R7="","",Reconciliation!B8)</f>
        <v/>
      </c>
      <c r="C7" s="30" t="str">
        <f aca="false">IF(R7="","",Reconciliation!C8)</f>
        <v/>
      </c>
      <c r="D7" s="30" t="str">
        <f aca="false">IF(R7="","",Reconciliation!D8)</f>
        <v/>
      </c>
      <c r="E7" s="31" t="str">
        <f aca="false">IF(R7="","",Reconciliation!E8)</f>
        <v/>
      </c>
      <c r="F7" s="30" t="str">
        <f aca="false">IF(R7="","",Reconciliation!F8)</f>
        <v/>
      </c>
      <c r="G7" s="30" t="str">
        <f aca="false">IF(R7="","",Reconciliation!G8)</f>
        <v/>
      </c>
      <c r="H7" s="30" t="str">
        <f aca="false">IF(R7="","",Reconciliation!H8)</f>
        <v/>
      </c>
      <c r="I7" s="30" t="str">
        <f aca="false">IF(R7="","",Reconciliation!I8)</f>
        <v/>
      </c>
      <c r="J7" s="31" t="str">
        <f aca="false">IF(R7="","",Reconciliation!J8)</f>
        <v/>
      </c>
      <c r="K7" s="30" t="str">
        <f aca="false">IF(R7="","",Reconciliation!K8)</f>
        <v/>
      </c>
      <c r="L7" s="30" t="str">
        <f aca="false">IF(R7="","",Reconciliation!L8)</f>
        <v/>
      </c>
      <c r="M7" s="32" t="str">
        <f aca="false">IF(R7="","",Reconciliation!M8)</f>
        <v/>
      </c>
      <c r="N7" s="32" t="str">
        <f aca="false">IF(R7="","",Reconciliation!N8)</f>
        <v/>
      </c>
      <c r="O7" s="32" t="str">
        <f aca="false">IF(R7="","",Reconciliation!O8)</f>
        <v/>
      </c>
      <c r="P7" s="32" t="str">
        <f aca="false">IF(R7="","",Reconciliation!P8)</f>
        <v/>
      </c>
      <c r="Q7" s="32" t="str">
        <f aca="false">IF(R7="","",Reconciliation!Q8)</f>
        <v/>
      </c>
      <c r="R7" s="33" t="str">
        <f aca="false">IF(OR(Reconciliation!R8="✅ MATCH",Reconciliation!R8=""),"",Reconciliation!R8)</f>
        <v/>
      </c>
    </row>
    <row r="8" customFormat="false" ht="15" hidden="false" customHeight="true" outlineLevel="0" collapsed="false">
      <c r="A8" s="29" t="str">
        <f aca="false">IF(R8="","",Reconciliation!A9)</f>
        <v/>
      </c>
      <c r="B8" s="30" t="str">
        <f aca="false">IF(R8="","",Reconciliation!B9)</f>
        <v/>
      </c>
      <c r="C8" s="30" t="str">
        <f aca="false">IF(R8="","",Reconciliation!C9)</f>
        <v/>
      </c>
      <c r="D8" s="30" t="str">
        <f aca="false">IF(R8="","",Reconciliation!D9)</f>
        <v/>
      </c>
      <c r="E8" s="31" t="str">
        <f aca="false">IF(R8="","",Reconciliation!E9)</f>
        <v/>
      </c>
      <c r="F8" s="30" t="str">
        <f aca="false">IF(R8="","",Reconciliation!F9)</f>
        <v/>
      </c>
      <c r="G8" s="30" t="str">
        <f aca="false">IF(R8="","",Reconciliation!G9)</f>
        <v/>
      </c>
      <c r="H8" s="30" t="str">
        <f aca="false">IF(R8="","",Reconciliation!H9)</f>
        <v/>
      </c>
      <c r="I8" s="30" t="str">
        <f aca="false">IF(R8="","",Reconciliation!I9)</f>
        <v/>
      </c>
      <c r="J8" s="31" t="str">
        <f aca="false">IF(R8="","",Reconciliation!J9)</f>
        <v/>
      </c>
      <c r="K8" s="30" t="str">
        <f aca="false">IF(R8="","",Reconciliation!K9)</f>
        <v/>
      </c>
      <c r="L8" s="30" t="str">
        <f aca="false">IF(R8="","",Reconciliation!L9)</f>
        <v/>
      </c>
      <c r="M8" s="32" t="str">
        <f aca="false">IF(R8="","",Reconciliation!M9)</f>
        <v/>
      </c>
      <c r="N8" s="32" t="str">
        <f aca="false">IF(R8="","",Reconciliation!N9)</f>
        <v/>
      </c>
      <c r="O8" s="32" t="str">
        <f aca="false">IF(R8="","",Reconciliation!O9)</f>
        <v/>
      </c>
      <c r="P8" s="32" t="str">
        <f aca="false">IF(R8="","",Reconciliation!P9)</f>
        <v/>
      </c>
      <c r="Q8" s="32" t="str">
        <f aca="false">IF(R8="","",Reconciliation!Q9)</f>
        <v/>
      </c>
      <c r="R8" s="33" t="str">
        <f aca="false">IF(OR(Reconciliation!R9="✅ MATCH",Reconciliation!R9=""),"",Reconciliation!R9)</f>
        <v/>
      </c>
    </row>
    <row r="9" customFormat="false" ht="15" hidden="false" customHeight="true" outlineLevel="0" collapsed="false">
      <c r="A9" s="29" t="str">
        <f aca="false">IF(R9="","",Reconciliation!A10)</f>
        <v/>
      </c>
      <c r="B9" s="30" t="str">
        <f aca="false">IF(R9="","",Reconciliation!B10)</f>
        <v/>
      </c>
      <c r="C9" s="30" t="str">
        <f aca="false">IF(R9="","",Reconciliation!C10)</f>
        <v/>
      </c>
      <c r="D9" s="30" t="str">
        <f aca="false">IF(R9="","",Reconciliation!D10)</f>
        <v/>
      </c>
      <c r="E9" s="31" t="str">
        <f aca="false">IF(R9="","",Reconciliation!E10)</f>
        <v/>
      </c>
      <c r="F9" s="30" t="str">
        <f aca="false">IF(R9="","",Reconciliation!F10)</f>
        <v/>
      </c>
      <c r="G9" s="30" t="str">
        <f aca="false">IF(R9="","",Reconciliation!G10)</f>
        <v/>
      </c>
      <c r="H9" s="30" t="str">
        <f aca="false">IF(R9="","",Reconciliation!H10)</f>
        <v/>
      </c>
      <c r="I9" s="30" t="str">
        <f aca="false">IF(R9="","",Reconciliation!I10)</f>
        <v/>
      </c>
      <c r="J9" s="31" t="str">
        <f aca="false">IF(R9="","",Reconciliation!J10)</f>
        <v/>
      </c>
      <c r="K9" s="30" t="str">
        <f aca="false">IF(R9="","",Reconciliation!K10)</f>
        <v/>
      </c>
      <c r="L9" s="30" t="str">
        <f aca="false">IF(R9="","",Reconciliation!L10)</f>
        <v/>
      </c>
      <c r="M9" s="32" t="str">
        <f aca="false">IF(R9="","",Reconciliation!M10)</f>
        <v/>
      </c>
      <c r="N9" s="32" t="str">
        <f aca="false">IF(R9="","",Reconciliation!N10)</f>
        <v/>
      </c>
      <c r="O9" s="32" t="str">
        <f aca="false">IF(R9="","",Reconciliation!O10)</f>
        <v/>
      </c>
      <c r="P9" s="32" t="str">
        <f aca="false">IF(R9="","",Reconciliation!P10)</f>
        <v/>
      </c>
      <c r="Q9" s="32" t="str">
        <f aca="false">IF(R9="","",Reconciliation!Q10)</f>
        <v/>
      </c>
      <c r="R9" s="33" t="str">
        <f aca="false">IF(OR(Reconciliation!R10="✅ MATCH",Reconciliation!R10=""),"",Reconciliation!R10)</f>
        <v/>
      </c>
    </row>
    <row r="10" customFormat="false" ht="15" hidden="false" customHeight="true" outlineLevel="0" collapsed="false">
      <c r="A10" s="29" t="str">
        <f aca="false">IF(R10="","",Reconciliation!A11)</f>
        <v/>
      </c>
      <c r="B10" s="30" t="str">
        <f aca="false">IF(R10="","",Reconciliation!B11)</f>
        <v/>
      </c>
      <c r="C10" s="30" t="str">
        <f aca="false">IF(R10="","",Reconciliation!C11)</f>
        <v/>
      </c>
      <c r="D10" s="30" t="str">
        <f aca="false">IF(R10="","",Reconciliation!D11)</f>
        <v/>
      </c>
      <c r="E10" s="31" t="str">
        <f aca="false">IF(R10="","",Reconciliation!E11)</f>
        <v/>
      </c>
      <c r="F10" s="30" t="str">
        <f aca="false">IF(R10="","",Reconciliation!F11)</f>
        <v/>
      </c>
      <c r="G10" s="30" t="str">
        <f aca="false">IF(R10="","",Reconciliation!G11)</f>
        <v/>
      </c>
      <c r="H10" s="30" t="str">
        <f aca="false">IF(R10="","",Reconciliation!H11)</f>
        <v/>
      </c>
      <c r="I10" s="30" t="str">
        <f aca="false">IF(R10="","",Reconciliation!I11)</f>
        <v/>
      </c>
      <c r="J10" s="31" t="str">
        <f aca="false">IF(R10="","",Reconciliation!J11)</f>
        <v/>
      </c>
      <c r="K10" s="30" t="str">
        <f aca="false">IF(R10="","",Reconciliation!K11)</f>
        <v/>
      </c>
      <c r="L10" s="30" t="str">
        <f aca="false">IF(R10="","",Reconciliation!L11)</f>
        <v/>
      </c>
      <c r="M10" s="32" t="str">
        <f aca="false">IF(R10="","",Reconciliation!M11)</f>
        <v/>
      </c>
      <c r="N10" s="32" t="str">
        <f aca="false">IF(R10="","",Reconciliation!N11)</f>
        <v/>
      </c>
      <c r="O10" s="32" t="str">
        <f aca="false">IF(R10="","",Reconciliation!O11)</f>
        <v/>
      </c>
      <c r="P10" s="32" t="str">
        <f aca="false">IF(R10="","",Reconciliation!P11)</f>
        <v/>
      </c>
      <c r="Q10" s="32" t="str">
        <f aca="false">IF(R10="","",Reconciliation!Q11)</f>
        <v/>
      </c>
      <c r="R10" s="33" t="str">
        <f aca="false">IF(OR(Reconciliation!R11="✅ MATCH",Reconciliation!R11=""),"",Reconciliation!R11)</f>
        <v/>
      </c>
    </row>
    <row r="11" customFormat="false" ht="15" hidden="false" customHeight="true" outlineLevel="0" collapsed="false">
      <c r="A11" s="29" t="str">
        <f aca="false">IF(R11="","",Reconciliation!A12)</f>
        <v/>
      </c>
      <c r="B11" s="30" t="str">
        <f aca="false">IF(R11="","",Reconciliation!B12)</f>
        <v/>
      </c>
      <c r="C11" s="30" t="str">
        <f aca="false">IF(R11="","",Reconciliation!C12)</f>
        <v/>
      </c>
      <c r="D11" s="30" t="str">
        <f aca="false">IF(R11="","",Reconciliation!D12)</f>
        <v/>
      </c>
      <c r="E11" s="31" t="str">
        <f aca="false">IF(R11="","",Reconciliation!E12)</f>
        <v/>
      </c>
      <c r="F11" s="30" t="str">
        <f aca="false">IF(R11="","",Reconciliation!F12)</f>
        <v/>
      </c>
      <c r="G11" s="30" t="str">
        <f aca="false">IF(R11="","",Reconciliation!G12)</f>
        <v/>
      </c>
      <c r="H11" s="30" t="str">
        <f aca="false">IF(R11="","",Reconciliation!H12)</f>
        <v/>
      </c>
      <c r="I11" s="30" t="str">
        <f aca="false">IF(R11="","",Reconciliation!I12)</f>
        <v/>
      </c>
      <c r="J11" s="31" t="str">
        <f aca="false">IF(R11="","",Reconciliation!J12)</f>
        <v/>
      </c>
      <c r="K11" s="30" t="str">
        <f aca="false">IF(R11="","",Reconciliation!K12)</f>
        <v/>
      </c>
      <c r="L11" s="30" t="str">
        <f aca="false">IF(R11="","",Reconciliation!L12)</f>
        <v/>
      </c>
      <c r="M11" s="32" t="str">
        <f aca="false">IF(R11="","",Reconciliation!M12)</f>
        <v/>
      </c>
      <c r="N11" s="32" t="str">
        <f aca="false">IF(R11="","",Reconciliation!N12)</f>
        <v/>
      </c>
      <c r="O11" s="32" t="str">
        <f aca="false">IF(R11="","",Reconciliation!O12)</f>
        <v/>
      </c>
      <c r="P11" s="32" t="str">
        <f aca="false">IF(R11="","",Reconciliation!P12)</f>
        <v/>
      </c>
      <c r="Q11" s="32" t="str">
        <f aca="false">IF(R11="","",Reconciliation!Q12)</f>
        <v/>
      </c>
      <c r="R11" s="33" t="str">
        <f aca="false">IF(OR(Reconciliation!R12="✅ MATCH",Reconciliation!R12=""),"",Reconciliation!R12)</f>
        <v/>
      </c>
    </row>
    <row r="12" customFormat="false" ht="15" hidden="false" customHeight="true" outlineLevel="0" collapsed="false">
      <c r="A12" s="29" t="str">
        <f aca="false">IF(R12="","",Reconciliation!A13)</f>
        <v>2024-04-01</v>
      </c>
      <c r="B12" s="30" t="str">
        <f aca="false">IF(R12="","",Reconciliation!B13)</f>
        <v>E003</v>
      </c>
      <c r="C12" s="30" t="str">
        <f aca="false">IF(R12="","",Reconciliation!C13)</f>
        <v>HR</v>
      </c>
      <c r="D12" s="30" t="str">
        <f aca="false">IF(R12="","",Reconciliation!D13)</f>
        <v>HR Director</v>
      </c>
      <c r="E12" s="31" t="n">
        <f aca="false">IF(R12="","",Reconciliation!E13)</f>
        <v>105000</v>
      </c>
      <c r="F12" s="30" t="str">
        <f aca="false">IF(R12="","",Reconciliation!F13)</f>
        <v>Chicago</v>
      </c>
      <c r="G12" s="30" t="str">
        <f aca="false">IF(R12="","",Reconciliation!G13)</f>
        <v>M004</v>
      </c>
      <c r="H12" s="30" t="str">
        <f aca="false">IF(R12="","",Reconciliation!H13)</f>
        <v>HR</v>
      </c>
      <c r="I12" s="30" t="str">
        <f aca="false">IF(R12="","",Reconciliation!I13)</f>
        <v>HR Director</v>
      </c>
      <c r="J12" s="31" t="n">
        <f aca="false">IF(R12="","",Reconciliation!J13)</f>
        <v>99000</v>
      </c>
      <c r="K12" s="30" t="str">
        <f aca="false">IF(R12="","",Reconciliation!K13)</f>
        <v>Chicago</v>
      </c>
      <c r="L12" s="30" t="str">
        <f aca="false">IF(R12="","",Reconciliation!L13)</f>
        <v>M004</v>
      </c>
      <c r="M12" s="32" t="str">
        <f aca="false">IF(R12="","",Reconciliation!M13)</f>
        <v>✓</v>
      </c>
      <c r="N12" s="32" t="str">
        <f aca="false">IF(R12="","",Reconciliation!N13)</f>
        <v>✓</v>
      </c>
      <c r="O12" s="32" t="str">
        <f aca="false">IF(R12="","",Reconciliation!O13)</f>
        <v>✗</v>
      </c>
      <c r="P12" s="32" t="str">
        <f aca="false">IF(R12="","",Reconciliation!P13)</f>
        <v>✓</v>
      </c>
      <c r="Q12" s="32" t="str">
        <f aca="false">IF(R12="","",Reconciliation!Q13)</f>
        <v>✓</v>
      </c>
      <c r="R12" s="33" t="str">
        <f aca="false">IF(OR(Reconciliation!R13="✅ MATCH",Reconciliation!R13=""),"",Reconciliation!R13)</f>
        <v>❌ MISMATCH</v>
      </c>
    </row>
    <row r="13" customFormat="false" ht="15" hidden="false" customHeight="true" outlineLevel="0" collapsed="false">
      <c r="A13" s="29" t="str">
        <f aca="false">IF(R13="","",Reconciliation!A14)</f>
        <v>2024-07-01</v>
      </c>
      <c r="B13" s="30" t="str">
        <f aca="false">IF(R13="","",Reconciliation!B14)</f>
        <v>E003</v>
      </c>
      <c r="C13" s="30" t="str">
        <f aca="false">IF(R13="","",Reconciliation!C14)</f>
        <v>HR</v>
      </c>
      <c r="D13" s="30" t="str">
        <f aca="false">IF(R13="","",Reconciliation!D14)</f>
        <v>HR Director</v>
      </c>
      <c r="E13" s="31" t="n">
        <f aca="false">IF(R13="","",Reconciliation!E14)</f>
        <v>105000</v>
      </c>
      <c r="F13" s="30" t="str">
        <f aca="false">IF(R13="","",Reconciliation!F14)</f>
        <v>Chicago</v>
      </c>
      <c r="G13" s="30" t="str">
        <f aca="false">IF(R13="","",Reconciliation!G14)</f>
        <v>M004</v>
      </c>
      <c r="H13" s="30" t="str">
        <f aca="false">IF(R13="","",Reconciliation!H14)</f>
        <v>HR</v>
      </c>
      <c r="I13" s="30" t="str">
        <f aca="false">IF(R13="","",Reconciliation!I14)</f>
        <v>HR Director</v>
      </c>
      <c r="J13" s="31" t="n">
        <f aca="false">IF(R13="","",Reconciliation!J14)</f>
        <v>99000</v>
      </c>
      <c r="K13" s="30" t="str">
        <f aca="false">IF(R13="","",Reconciliation!K14)</f>
        <v>Chicago</v>
      </c>
      <c r="L13" s="30" t="str">
        <f aca="false">IF(R13="","",Reconciliation!L14)</f>
        <v>M004</v>
      </c>
      <c r="M13" s="32" t="str">
        <f aca="false">IF(R13="","",Reconciliation!M14)</f>
        <v>✓</v>
      </c>
      <c r="N13" s="32" t="str">
        <f aca="false">IF(R13="","",Reconciliation!N14)</f>
        <v>✓</v>
      </c>
      <c r="O13" s="32" t="str">
        <f aca="false">IF(R13="","",Reconciliation!O14)</f>
        <v>✗</v>
      </c>
      <c r="P13" s="32" t="str">
        <f aca="false">IF(R13="","",Reconciliation!P14)</f>
        <v>✓</v>
      </c>
      <c r="Q13" s="32" t="str">
        <f aca="false">IF(R13="","",Reconciliation!Q14)</f>
        <v>✓</v>
      </c>
      <c r="R13" s="33" t="str">
        <f aca="false">IF(OR(Reconciliation!R14="✅ MATCH",Reconciliation!R14=""),"",Reconciliation!R14)</f>
        <v>❌ MISMATCH</v>
      </c>
    </row>
    <row r="14" customFormat="false" ht="15" hidden="false" customHeight="true" outlineLevel="0" collapsed="false">
      <c r="A14" s="29" t="str">
        <f aca="false">IF(R14="","",Reconciliation!A15)</f>
        <v/>
      </c>
      <c r="B14" s="30" t="str">
        <f aca="false">IF(R14="","",Reconciliation!B15)</f>
        <v/>
      </c>
      <c r="C14" s="30" t="str">
        <f aca="false">IF(R14="","",Reconciliation!C15)</f>
        <v/>
      </c>
      <c r="D14" s="30" t="str">
        <f aca="false">IF(R14="","",Reconciliation!D15)</f>
        <v/>
      </c>
      <c r="E14" s="31" t="str">
        <f aca="false">IF(R14="","",Reconciliation!E15)</f>
        <v/>
      </c>
      <c r="F14" s="30" t="str">
        <f aca="false">IF(R14="","",Reconciliation!F15)</f>
        <v/>
      </c>
      <c r="G14" s="30" t="str">
        <f aca="false">IF(R14="","",Reconciliation!G15)</f>
        <v/>
      </c>
      <c r="H14" s="30" t="str">
        <f aca="false">IF(R14="","",Reconciliation!H15)</f>
        <v/>
      </c>
      <c r="I14" s="30" t="str">
        <f aca="false">IF(R14="","",Reconciliation!I15)</f>
        <v/>
      </c>
      <c r="J14" s="31" t="str">
        <f aca="false">IF(R14="","",Reconciliation!J15)</f>
        <v/>
      </c>
      <c r="K14" s="30" t="str">
        <f aca="false">IF(R14="","",Reconciliation!K15)</f>
        <v/>
      </c>
      <c r="L14" s="30" t="str">
        <f aca="false">IF(R14="","",Reconciliation!L15)</f>
        <v/>
      </c>
      <c r="M14" s="32" t="str">
        <f aca="false">IF(R14="","",Reconciliation!M15)</f>
        <v/>
      </c>
      <c r="N14" s="32" t="str">
        <f aca="false">IF(R14="","",Reconciliation!N15)</f>
        <v/>
      </c>
      <c r="O14" s="32" t="str">
        <f aca="false">IF(R14="","",Reconciliation!O15)</f>
        <v/>
      </c>
      <c r="P14" s="32" t="str">
        <f aca="false">IF(R14="","",Reconciliation!P15)</f>
        <v/>
      </c>
      <c r="Q14" s="32" t="str">
        <f aca="false">IF(R14="","",Reconciliation!Q15)</f>
        <v/>
      </c>
      <c r="R14" s="33" t="str">
        <f aca="false">IF(OR(Reconciliation!R15="✅ MATCH",Reconciliation!R15=""),"",Reconciliation!R15)</f>
        <v/>
      </c>
    </row>
    <row r="15" customFormat="false" ht="15" hidden="false" customHeight="true" outlineLevel="0" collapsed="false">
      <c r="A15" s="29" t="str">
        <f aca="false">IF(R15="","",Reconciliation!A16)</f>
        <v/>
      </c>
      <c r="B15" s="30" t="str">
        <f aca="false">IF(R15="","",Reconciliation!B16)</f>
        <v/>
      </c>
      <c r="C15" s="30" t="str">
        <f aca="false">IF(R15="","",Reconciliation!C16)</f>
        <v/>
      </c>
      <c r="D15" s="30" t="str">
        <f aca="false">IF(R15="","",Reconciliation!D16)</f>
        <v/>
      </c>
      <c r="E15" s="31" t="str">
        <f aca="false">IF(R15="","",Reconciliation!E16)</f>
        <v/>
      </c>
      <c r="F15" s="30" t="str">
        <f aca="false">IF(R15="","",Reconciliation!F16)</f>
        <v/>
      </c>
      <c r="G15" s="30" t="str">
        <f aca="false">IF(R15="","",Reconciliation!G16)</f>
        <v/>
      </c>
      <c r="H15" s="30" t="str">
        <f aca="false">IF(R15="","",Reconciliation!H16)</f>
        <v/>
      </c>
      <c r="I15" s="30" t="str">
        <f aca="false">IF(R15="","",Reconciliation!I16)</f>
        <v/>
      </c>
      <c r="J15" s="31" t="str">
        <f aca="false">IF(R15="","",Reconciliation!J16)</f>
        <v/>
      </c>
      <c r="K15" s="30" t="str">
        <f aca="false">IF(R15="","",Reconciliation!K16)</f>
        <v/>
      </c>
      <c r="L15" s="30" t="str">
        <f aca="false">IF(R15="","",Reconciliation!L16)</f>
        <v/>
      </c>
      <c r="M15" s="32" t="str">
        <f aca="false">IF(R15="","",Reconciliation!M16)</f>
        <v/>
      </c>
      <c r="N15" s="32" t="str">
        <f aca="false">IF(R15="","",Reconciliation!N16)</f>
        <v/>
      </c>
      <c r="O15" s="32" t="str">
        <f aca="false">IF(R15="","",Reconciliation!O16)</f>
        <v/>
      </c>
      <c r="P15" s="32" t="str">
        <f aca="false">IF(R15="","",Reconciliation!P16)</f>
        <v/>
      </c>
      <c r="Q15" s="32" t="str">
        <f aca="false">IF(R15="","",Reconciliation!Q16)</f>
        <v/>
      </c>
      <c r="R15" s="33" t="str">
        <f aca="false">IF(OR(Reconciliation!R16="✅ MATCH",Reconciliation!R16=""),"",Reconciliation!R16)</f>
        <v/>
      </c>
    </row>
    <row r="16" customFormat="false" ht="15" hidden="false" customHeight="true" outlineLevel="0" collapsed="false">
      <c r="A16" s="29" t="str">
        <f aca="false">IF(R16="","",Reconciliation!A17)</f>
        <v/>
      </c>
      <c r="B16" s="30" t="str">
        <f aca="false">IF(R16="","",Reconciliation!B17)</f>
        <v/>
      </c>
      <c r="C16" s="30" t="str">
        <f aca="false">IF(R16="","",Reconciliation!C17)</f>
        <v/>
      </c>
      <c r="D16" s="30" t="str">
        <f aca="false">IF(R16="","",Reconciliation!D17)</f>
        <v/>
      </c>
      <c r="E16" s="31" t="str">
        <f aca="false">IF(R16="","",Reconciliation!E17)</f>
        <v/>
      </c>
      <c r="F16" s="30" t="str">
        <f aca="false">IF(R16="","",Reconciliation!F17)</f>
        <v/>
      </c>
      <c r="G16" s="30" t="str">
        <f aca="false">IF(R16="","",Reconciliation!G17)</f>
        <v/>
      </c>
      <c r="H16" s="30" t="str">
        <f aca="false">IF(R16="","",Reconciliation!H17)</f>
        <v/>
      </c>
      <c r="I16" s="30" t="str">
        <f aca="false">IF(R16="","",Reconciliation!I17)</f>
        <v/>
      </c>
      <c r="J16" s="31" t="str">
        <f aca="false">IF(R16="","",Reconciliation!J17)</f>
        <v/>
      </c>
      <c r="K16" s="30" t="str">
        <f aca="false">IF(R16="","",Reconciliation!K17)</f>
        <v/>
      </c>
      <c r="L16" s="30" t="str">
        <f aca="false">IF(R16="","",Reconciliation!L17)</f>
        <v/>
      </c>
      <c r="M16" s="32" t="str">
        <f aca="false">IF(R16="","",Reconciliation!M17)</f>
        <v/>
      </c>
      <c r="N16" s="32" t="str">
        <f aca="false">IF(R16="","",Reconciliation!N17)</f>
        <v/>
      </c>
      <c r="O16" s="32" t="str">
        <f aca="false">IF(R16="","",Reconciliation!O17)</f>
        <v/>
      </c>
      <c r="P16" s="32" t="str">
        <f aca="false">IF(R16="","",Reconciliation!P17)</f>
        <v/>
      </c>
      <c r="Q16" s="32" t="str">
        <f aca="false">IF(R16="","",Reconciliation!Q17)</f>
        <v/>
      </c>
      <c r="R16" s="33" t="str">
        <f aca="false">IF(OR(Reconciliation!R17="✅ MATCH",Reconciliation!R17=""),"",Reconciliation!R17)</f>
        <v/>
      </c>
    </row>
    <row r="17" customFormat="false" ht="15" hidden="false" customHeight="true" outlineLevel="0" collapsed="false">
      <c r="A17" s="29" t="str">
        <f aca="false">IF(R17="","",Reconciliation!A18)</f>
        <v/>
      </c>
      <c r="B17" s="30" t="str">
        <f aca="false">IF(R17="","",Reconciliation!B18)</f>
        <v/>
      </c>
      <c r="C17" s="30" t="str">
        <f aca="false">IF(R17="","",Reconciliation!C18)</f>
        <v/>
      </c>
      <c r="D17" s="30" t="str">
        <f aca="false">IF(R17="","",Reconciliation!D18)</f>
        <v/>
      </c>
      <c r="E17" s="31" t="str">
        <f aca="false">IF(R17="","",Reconciliation!E18)</f>
        <v/>
      </c>
      <c r="F17" s="30" t="str">
        <f aca="false">IF(R17="","",Reconciliation!F18)</f>
        <v/>
      </c>
      <c r="G17" s="30" t="str">
        <f aca="false">IF(R17="","",Reconciliation!G18)</f>
        <v/>
      </c>
      <c r="H17" s="30" t="str">
        <f aca="false">IF(R17="","",Reconciliation!H18)</f>
        <v/>
      </c>
      <c r="I17" s="30" t="str">
        <f aca="false">IF(R17="","",Reconciliation!I18)</f>
        <v/>
      </c>
      <c r="J17" s="31" t="str">
        <f aca="false">IF(R17="","",Reconciliation!J18)</f>
        <v/>
      </c>
      <c r="K17" s="30" t="str">
        <f aca="false">IF(R17="","",Reconciliation!K18)</f>
        <v/>
      </c>
      <c r="L17" s="30" t="str">
        <f aca="false">IF(R17="","",Reconciliation!L18)</f>
        <v/>
      </c>
      <c r="M17" s="32" t="str">
        <f aca="false">IF(R17="","",Reconciliation!M18)</f>
        <v/>
      </c>
      <c r="N17" s="32" t="str">
        <f aca="false">IF(R17="","",Reconciliation!N18)</f>
        <v/>
      </c>
      <c r="O17" s="32" t="str">
        <f aca="false">IF(R17="","",Reconciliation!O18)</f>
        <v/>
      </c>
      <c r="P17" s="32" t="str">
        <f aca="false">IF(R17="","",Reconciliation!P18)</f>
        <v/>
      </c>
      <c r="Q17" s="32" t="str">
        <f aca="false">IF(R17="","",Reconciliation!Q18)</f>
        <v/>
      </c>
      <c r="R17" s="33" t="str">
        <f aca="false">IF(OR(Reconciliation!R18="✅ MATCH",Reconciliation!R18=""),"",Reconciliation!R18)</f>
        <v/>
      </c>
    </row>
    <row r="18" customFormat="false" ht="15" hidden="false" customHeight="true" outlineLevel="0" collapsed="false">
      <c r="A18" s="29" t="str">
        <f aca="false">IF(R18="","",Reconciliation!A19)</f>
        <v/>
      </c>
      <c r="B18" s="30" t="str">
        <f aca="false">IF(R18="","",Reconciliation!B19)</f>
        <v/>
      </c>
      <c r="C18" s="30" t="str">
        <f aca="false">IF(R18="","",Reconciliation!C19)</f>
        <v/>
      </c>
      <c r="D18" s="30" t="str">
        <f aca="false">IF(R18="","",Reconciliation!D19)</f>
        <v/>
      </c>
      <c r="E18" s="31" t="str">
        <f aca="false">IF(R18="","",Reconciliation!E19)</f>
        <v/>
      </c>
      <c r="F18" s="30" t="str">
        <f aca="false">IF(R18="","",Reconciliation!F19)</f>
        <v/>
      </c>
      <c r="G18" s="30" t="str">
        <f aca="false">IF(R18="","",Reconciliation!G19)</f>
        <v/>
      </c>
      <c r="H18" s="30" t="str">
        <f aca="false">IF(R18="","",Reconciliation!H19)</f>
        <v/>
      </c>
      <c r="I18" s="30" t="str">
        <f aca="false">IF(R18="","",Reconciliation!I19)</f>
        <v/>
      </c>
      <c r="J18" s="31" t="str">
        <f aca="false">IF(R18="","",Reconciliation!J19)</f>
        <v/>
      </c>
      <c r="K18" s="30" t="str">
        <f aca="false">IF(R18="","",Reconciliation!K19)</f>
        <v/>
      </c>
      <c r="L18" s="30" t="str">
        <f aca="false">IF(R18="","",Reconciliation!L19)</f>
        <v/>
      </c>
      <c r="M18" s="32" t="str">
        <f aca="false">IF(R18="","",Reconciliation!M19)</f>
        <v/>
      </c>
      <c r="N18" s="32" t="str">
        <f aca="false">IF(R18="","",Reconciliation!N19)</f>
        <v/>
      </c>
      <c r="O18" s="32" t="str">
        <f aca="false">IF(R18="","",Reconciliation!O19)</f>
        <v/>
      </c>
      <c r="P18" s="32" t="str">
        <f aca="false">IF(R18="","",Reconciliation!P19)</f>
        <v/>
      </c>
      <c r="Q18" s="32" t="str">
        <f aca="false">IF(R18="","",Reconciliation!Q19)</f>
        <v/>
      </c>
      <c r="R18" s="33" t="str">
        <f aca="false">IF(OR(Reconciliation!R19="✅ MATCH",Reconciliation!R19=""),"",Reconciliation!R19)</f>
        <v/>
      </c>
    </row>
    <row r="19" customFormat="false" ht="15" hidden="false" customHeight="true" outlineLevel="0" collapsed="false">
      <c r="A19" s="29" t="str">
        <f aca="false">IF(R19="","",Reconciliation!A20)</f>
        <v/>
      </c>
      <c r="B19" s="30" t="str">
        <f aca="false">IF(R19="","",Reconciliation!B20)</f>
        <v/>
      </c>
      <c r="C19" s="30" t="str">
        <f aca="false">IF(R19="","",Reconciliation!C20)</f>
        <v/>
      </c>
      <c r="D19" s="30" t="str">
        <f aca="false">IF(R19="","",Reconciliation!D20)</f>
        <v/>
      </c>
      <c r="E19" s="31" t="str">
        <f aca="false">IF(R19="","",Reconciliation!E20)</f>
        <v/>
      </c>
      <c r="F19" s="30" t="str">
        <f aca="false">IF(R19="","",Reconciliation!F20)</f>
        <v/>
      </c>
      <c r="G19" s="30" t="str">
        <f aca="false">IF(R19="","",Reconciliation!G20)</f>
        <v/>
      </c>
      <c r="H19" s="30" t="str">
        <f aca="false">IF(R19="","",Reconciliation!H20)</f>
        <v/>
      </c>
      <c r="I19" s="30" t="str">
        <f aca="false">IF(R19="","",Reconciliation!I20)</f>
        <v/>
      </c>
      <c r="J19" s="31" t="str">
        <f aca="false">IF(R19="","",Reconciliation!J20)</f>
        <v/>
      </c>
      <c r="K19" s="30" t="str">
        <f aca="false">IF(R19="","",Reconciliation!K20)</f>
        <v/>
      </c>
      <c r="L19" s="30" t="str">
        <f aca="false">IF(R19="","",Reconciliation!L20)</f>
        <v/>
      </c>
      <c r="M19" s="32" t="str">
        <f aca="false">IF(R19="","",Reconciliation!M20)</f>
        <v/>
      </c>
      <c r="N19" s="32" t="str">
        <f aca="false">IF(R19="","",Reconciliation!N20)</f>
        <v/>
      </c>
      <c r="O19" s="32" t="str">
        <f aca="false">IF(R19="","",Reconciliation!O20)</f>
        <v/>
      </c>
      <c r="P19" s="32" t="str">
        <f aca="false">IF(R19="","",Reconciliation!P20)</f>
        <v/>
      </c>
      <c r="Q19" s="32" t="str">
        <f aca="false">IF(R19="","",Reconciliation!Q20)</f>
        <v/>
      </c>
      <c r="R19" s="33" t="str">
        <f aca="false">IF(OR(Reconciliation!R20="✅ MATCH",Reconciliation!R20=""),"",Reconciliation!R20)</f>
        <v/>
      </c>
    </row>
    <row r="20" customFormat="false" ht="15" hidden="false" customHeight="true" outlineLevel="0" collapsed="false">
      <c r="A20" s="29" t="str">
        <f aca="false">IF(R20="","",Reconciliation!A21)</f>
        <v/>
      </c>
      <c r="B20" s="30" t="str">
        <f aca="false">IF(R20="","",Reconciliation!B21)</f>
        <v/>
      </c>
      <c r="C20" s="30" t="str">
        <f aca="false">IF(R20="","",Reconciliation!C21)</f>
        <v/>
      </c>
      <c r="D20" s="30" t="str">
        <f aca="false">IF(R20="","",Reconciliation!D21)</f>
        <v/>
      </c>
      <c r="E20" s="31" t="str">
        <f aca="false">IF(R20="","",Reconciliation!E21)</f>
        <v/>
      </c>
      <c r="F20" s="30" t="str">
        <f aca="false">IF(R20="","",Reconciliation!F21)</f>
        <v/>
      </c>
      <c r="G20" s="30" t="str">
        <f aca="false">IF(R20="","",Reconciliation!G21)</f>
        <v/>
      </c>
      <c r="H20" s="30" t="str">
        <f aca="false">IF(R20="","",Reconciliation!H21)</f>
        <v/>
      </c>
      <c r="I20" s="30" t="str">
        <f aca="false">IF(R20="","",Reconciliation!I21)</f>
        <v/>
      </c>
      <c r="J20" s="31" t="str">
        <f aca="false">IF(R20="","",Reconciliation!J21)</f>
        <v/>
      </c>
      <c r="K20" s="30" t="str">
        <f aca="false">IF(R20="","",Reconciliation!K21)</f>
        <v/>
      </c>
      <c r="L20" s="30" t="str">
        <f aca="false">IF(R20="","",Reconciliation!L21)</f>
        <v/>
      </c>
      <c r="M20" s="32" t="str">
        <f aca="false">IF(R20="","",Reconciliation!M21)</f>
        <v/>
      </c>
      <c r="N20" s="32" t="str">
        <f aca="false">IF(R20="","",Reconciliation!N21)</f>
        <v/>
      </c>
      <c r="O20" s="32" t="str">
        <f aca="false">IF(R20="","",Reconciliation!O21)</f>
        <v/>
      </c>
      <c r="P20" s="32" t="str">
        <f aca="false">IF(R20="","",Reconciliation!P21)</f>
        <v/>
      </c>
      <c r="Q20" s="32" t="str">
        <f aca="false">IF(R20="","",Reconciliation!Q21)</f>
        <v/>
      </c>
      <c r="R20" s="33" t="str">
        <f aca="false">IF(OR(Reconciliation!R21="✅ MATCH",Reconciliation!R21=""),"",Reconciliation!R21)</f>
        <v/>
      </c>
    </row>
    <row r="21" customFormat="false" ht="15" hidden="false" customHeight="true" outlineLevel="0" collapsed="false">
      <c r="A21" s="29" t="str">
        <f aca="false">IF(R21="","",Reconciliation!A22)</f>
        <v/>
      </c>
      <c r="B21" s="30" t="str">
        <f aca="false">IF(R21="","",Reconciliation!B22)</f>
        <v/>
      </c>
      <c r="C21" s="30" t="str">
        <f aca="false">IF(R21="","",Reconciliation!C22)</f>
        <v/>
      </c>
      <c r="D21" s="30" t="str">
        <f aca="false">IF(R21="","",Reconciliation!D22)</f>
        <v/>
      </c>
      <c r="E21" s="31" t="str">
        <f aca="false">IF(R21="","",Reconciliation!E22)</f>
        <v/>
      </c>
      <c r="F21" s="30" t="str">
        <f aca="false">IF(R21="","",Reconciliation!F22)</f>
        <v/>
      </c>
      <c r="G21" s="30" t="str">
        <f aca="false">IF(R21="","",Reconciliation!G22)</f>
        <v/>
      </c>
      <c r="H21" s="30" t="str">
        <f aca="false">IF(R21="","",Reconciliation!H22)</f>
        <v/>
      </c>
      <c r="I21" s="30" t="str">
        <f aca="false">IF(R21="","",Reconciliation!I22)</f>
        <v/>
      </c>
      <c r="J21" s="31" t="str">
        <f aca="false">IF(R21="","",Reconciliation!J22)</f>
        <v/>
      </c>
      <c r="K21" s="30" t="str">
        <f aca="false">IF(R21="","",Reconciliation!K22)</f>
        <v/>
      </c>
      <c r="L21" s="30" t="str">
        <f aca="false">IF(R21="","",Reconciliation!L22)</f>
        <v/>
      </c>
      <c r="M21" s="32" t="str">
        <f aca="false">IF(R21="","",Reconciliation!M22)</f>
        <v/>
      </c>
      <c r="N21" s="32" t="str">
        <f aca="false">IF(R21="","",Reconciliation!N22)</f>
        <v/>
      </c>
      <c r="O21" s="32" t="str">
        <f aca="false">IF(R21="","",Reconciliation!O22)</f>
        <v/>
      </c>
      <c r="P21" s="32" t="str">
        <f aca="false">IF(R21="","",Reconciliation!P22)</f>
        <v/>
      </c>
      <c r="Q21" s="32" t="str">
        <f aca="false">IF(R21="","",Reconciliation!Q22)</f>
        <v/>
      </c>
      <c r="R21" s="33" t="str">
        <f aca="false">IF(OR(Reconciliation!R22="✅ MATCH",Reconciliation!R22=""),"",Reconciliation!R22)</f>
        <v/>
      </c>
    </row>
    <row r="22" customFormat="false" ht="15" hidden="false" customHeight="true" outlineLevel="0" collapsed="false">
      <c r="A22" s="29" t="str">
        <f aca="false">IF(R22="","",Reconciliation!A23)</f>
        <v/>
      </c>
      <c r="B22" s="30" t="str">
        <f aca="false">IF(R22="","",Reconciliation!B23)</f>
        <v/>
      </c>
      <c r="C22" s="30" t="str">
        <f aca="false">IF(R22="","",Reconciliation!C23)</f>
        <v/>
      </c>
      <c r="D22" s="30" t="str">
        <f aca="false">IF(R22="","",Reconciliation!D23)</f>
        <v/>
      </c>
      <c r="E22" s="31" t="str">
        <f aca="false">IF(R22="","",Reconciliation!E23)</f>
        <v/>
      </c>
      <c r="F22" s="30" t="str">
        <f aca="false">IF(R22="","",Reconciliation!F23)</f>
        <v/>
      </c>
      <c r="G22" s="30" t="str">
        <f aca="false">IF(R22="","",Reconciliation!G23)</f>
        <v/>
      </c>
      <c r="H22" s="30" t="str">
        <f aca="false">IF(R22="","",Reconciliation!H23)</f>
        <v/>
      </c>
      <c r="I22" s="30" t="str">
        <f aca="false">IF(R22="","",Reconciliation!I23)</f>
        <v/>
      </c>
      <c r="J22" s="31" t="str">
        <f aca="false">IF(R22="","",Reconciliation!J23)</f>
        <v/>
      </c>
      <c r="K22" s="30" t="str">
        <f aca="false">IF(R22="","",Reconciliation!K23)</f>
        <v/>
      </c>
      <c r="L22" s="30" t="str">
        <f aca="false">IF(R22="","",Reconciliation!L23)</f>
        <v/>
      </c>
      <c r="M22" s="32" t="str">
        <f aca="false">IF(R22="","",Reconciliation!M23)</f>
        <v/>
      </c>
      <c r="N22" s="32" t="str">
        <f aca="false">IF(R22="","",Reconciliation!N23)</f>
        <v/>
      </c>
      <c r="O22" s="32" t="str">
        <f aca="false">IF(R22="","",Reconciliation!O23)</f>
        <v/>
      </c>
      <c r="P22" s="32" t="str">
        <f aca="false">IF(R22="","",Reconciliation!P23)</f>
        <v/>
      </c>
      <c r="Q22" s="32" t="str">
        <f aca="false">IF(R22="","",Reconciliation!Q23)</f>
        <v/>
      </c>
      <c r="R22" s="33" t="str">
        <f aca="false">IF(OR(Reconciliation!R23="✅ MATCH",Reconciliation!R23=""),"",Reconciliation!R23)</f>
        <v/>
      </c>
    </row>
    <row r="23" customFormat="false" ht="15" hidden="false" customHeight="true" outlineLevel="0" collapsed="false">
      <c r="A23" s="29" t="str">
        <f aca="false">IF(R23="","",Reconciliation!A24)</f>
        <v/>
      </c>
      <c r="B23" s="30" t="str">
        <f aca="false">IF(R23="","",Reconciliation!B24)</f>
        <v/>
      </c>
      <c r="C23" s="30" t="str">
        <f aca="false">IF(R23="","",Reconciliation!C24)</f>
        <v/>
      </c>
      <c r="D23" s="30" t="str">
        <f aca="false">IF(R23="","",Reconciliation!D24)</f>
        <v/>
      </c>
      <c r="E23" s="31" t="str">
        <f aca="false">IF(R23="","",Reconciliation!E24)</f>
        <v/>
      </c>
      <c r="F23" s="30" t="str">
        <f aca="false">IF(R23="","",Reconciliation!F24)</f>
        <v/>
      </c>
      <c r="G23" s="30" t="str">
        <f aca="false">IF(R23="","",Reconciliation!G24)</f>
        <v/>
      </c>
      <c r="H23" s="30" t="str">
        <f aca="false">IF(R23="","",Reconciliation!H24)</f>
        <v/>
      </c>
      <c r="I23" s="30" t="str">
        <f aca="false">IF(R23="","",Reconciliation!I24)</f>
        <v/>
      </c>
      <c r="J23" s="31" t="str">
        <f aca="false">IF(R23="","",Reconciliation!J24)</f>
        <v/>
      </c>
      <c r="K23" s="30" t="str">
        <f aca="false">IF(R23="","",Reconciliation!K24)</f>
        <v/>
      </c>
      <c r="L23" s="30" t="str">
        <f aca="false">IF(R23="","",Reconciliation!L24)</f>
        <v/>
      </c>
      <c r="M23" s="32" t="str">
        <f aca="false">IF(R23="","",Reconciliation!M24)</f>
        <v/>
      </c>
      <c r="N23" s="32" t="str">
        <f aca="false">IF(R23="","",Reconciliation!N24)</f>
        <v/>
      </c>
      <c r="O23" s="32" t="str">
        <f aca="false">IF(R23="","",Reconciliation!O24)</f>
        <v/>
      </c>
      <c r="P23" s="32" t="str">
        <f aca="false">IF(R23="","",Reconciliation!P24)</f>
        <v/>
      </c>
      <c r="Q23" s="32" t="str">
        <f aca="false">IF(R23="","",Reconciliation!Q24)</f>
        <v/>
      </c>
      <c r="R23" s="33" t="str">
        <f aca="false">IF(OR(Reconciliation!R24="✅ MATCH",Reconciliation!R24=""),"",Reconciliation!R24)</f>
        <v/>
      </c>
    </row>
    <row r="24" customFormat="false" ht="15" hidden="false" customHeight="true" outlineLevel="0" collapsed="false">
      <c r="A24" s="29" t="str">
        <f aca="false">IF(R24="","",Reconciliation!A25)</f>
        <v/>
      </c>
      <c r="B24" s="30" t="str">
        <f aca="false">IF(R24="","",Reconciliation!B25)</f>
        <v/>
      </c>
      <c r="C24" s="30" t="str">
        <f aca="false">IF(R24="","",Reconciliation!C25)</f>
        <v/>
      </c>
      <c r="D24" s="30" t="str">
        <f aca="false">IF(R24="","",Reconciliation!D25)</f>
        <v/>
      </c>
      <c r="E24" s="31" t="str">
        <f aca="false">IF(R24="","",Reconciliation!E25)</f>
        <v/>
      </c>
      <c r="F24" s="30" t="str">
        <f aca="false">IF(R24="","",Reconciliation!F25)</f>
        <v/>
      </c>
      <c r="G24" s="30" t="str">
        <f aca="false">IF(R24="","",Reconciliation!G25)</f>
        <v/>
      </c>
      <c r="H24" s="30" t="str">
        <f aca="false">IF(R24="","",Reconciliation!H25)</f>
        <v/>
      </c>
      <c r="I24" s="30" t="str">
        <f aca="false">IF(R24="","",Reconciliation!I25)</f>
        <v/>
      </c>
      <c r="J24" s="31" t="str">
        <f aca="false">IF(R24="","",Reconciliation!J25)</f>
        <v/>
      </c>
      <c r="K24" s="30" t="str">
        <f aca="false">IF(R24="","",Reconciliation!K25)</f>
        <v/>
      </c>
      <c r="L24" s="30" t="str">
        <f aca="false">IF(R24="","",Reconciliation!L25)</f>
        <v/>
      </c>
      <c r="M24" s="32" t="str">
        <f aca="false">IF(R24="","",Reconciliation!M25)</f>
        <v/>
      </c>
      <c r="N24" s="32" t="str">
        <f aca="false">IF(R24="","",Reconciliation!N25)</f>
        <v/>
      </c>
      <c r="O24" s="32" t="str">
        <f aca="false">IF(R24="","",Reconciliation!O25)</f>
        <v/>
      </c>
      <c r="P24" s="32" t="str">
        <f aca="false">IF(R24="","",Reconciliation!P25)</f>
        <v/>
      </c>
      <c r="Q24" s="32" t="str">
        <f aca="false">IF(R24="","",Reconciliation!Q25)</f>
        <v/>
      </c>
      <c r="R24" s="33" t="str">
        <f aca="false">IF(OR(Reconciliation!R25="✅ MATCH",Reconciliation!R25=""),"",Reconciliation!R25)</f>
        <v/>
      </c>
    </row>
    <row r="25" customFormat="false" ht="15" hidden="false" customHeight="true" outlineLevel="0" collapsed="false">
      <c r="A25" s="29" t="str">
        <f aca="false">IF(R25="","",Reconciliation!A26)</f>
        <v/>
      </c>
      <c r="B25" s="30" t="str">
        <f aca="false">IF(R25="","",Reconciliation!B26)</f>
        <v/>
      </c>
      <c r="C25" s="30" t="str">
        <f aca="false">IF(R25="","",Reconciliation!C26)</f>
        <v/>
      </c>
      <c r="D25" s="30" t="str">
        <f aca="false">IF(R25="","",Reconciliation!D26)</f>
        <v/>
      </c>
      <c r="E25" s="31" t="str">
        <f aca="false">IF(R25="","",Reconciliation!E26)</f>
        <v/>
      </c>
      <c r="F25" s="30" t="str">
        <f aca="false">IF(R25="","",Reconciliation!F26)</f>
        <v/>
      </c>
      <c r="G25" s="30" t="str">
        <f aca="false">IF(R25="","",Reconciliation!G26)</f>
        <v/>
      </c>
      <c r="H25" s="30" t="str">
        <f aca="false">IF(R25="","",Reconciliation!H26)</f>
        <v/>
      </c>
      <c r="I25" s="30" t="str">
        <f aca="false">IF(R25="","",Reconciliation!I26)</f>
        <v/>
      </c>
      <c r="J25" s="31" t="str">
        <f aca="false">IF(R25="","",Reconciliation!J26)</f>
        <v/>
      </c>
      <c r="K25" s="30" t="str">
        <f aca="false">IF(R25="","",Reconciliation!K26)</f>
        <v/>
      </c>
      <c r="L25" s="30" t="str">
        <f aca="false">IF(R25="","",Reconciliation!L26)</f>
        <v/>
      </c>
      <c r="M25" s="32" t="str">
        <f aca="false">IF(R25="","",Reconciliation!M26)</f>
        <v/>
      </c>
      <c r="N25" s="32" t="str">
        <f aca="false">IF(R25="","",Reconciliation!N26)</f>
        <v/>
      </c>
      <c r="O25" s="32" t="str">
        <f aca="false">IF(R25="","",Reconciliation!O26)</f>
        <v/>
      </c>
      <c r="P25" s="32" t="str">
        <f aca="false">IF(R25="","",Reconciliation!P26)</f>
        <v/>
      </c>
      <c r="Q25" s="32" t="str">
        <f aca="false">IF(R25="","",Reconciliation!Q26)</f>
        <v/>
      </c>
      <c r="R25" s="33" t="str">
        <f aca="false">IF(OR(Reconciliation!R26="✅ MATCH",Reconciliation!R26=""),"",Reconciliation!R26)</f>
        <v/>
      </c>
    </row>
    <row r="26" customFormat="false" ht="15" hidden="false" customHeight="true" outlineLevel="0" collapsed="false">
      <c r="A26" s="29" t="str">
        <f aca="false">IF(R26="","",Reconciliation!A27)</f>
        <v/>
      </c>
      <c r="B26" s="30" t="str">
        <f aca="false">IF(R26="","",Reconciliation!B27)</f>
        <v/>
      </c>
      <c r="C26" s="30" t="str">
        <f aca="false">IF(R26="","",Reconciliation!C27)</f>
        <v/>
      </c>
      <c r="D26" s="30" t="str">
        <f aca="false">IF(R26="","",Reconciliation!D27)</f>
        <v/>
      </c>
      <c r="E26" s="31" t="str">
        <f aca="false">IF(R26="","",Reconciliation!E27)</f>
        <v/>
      </c>
      <c r="F26" s="30" t="str">
        <f aca="false">IF(R26="","",Reconciliation!F27)</f>
        <v/>
      </c>
      <c r="G26" s="30" t="str">
        <f aca="false">IF(R26="","",Reconciliation!G27)</f>
        <v/>
      </c>
      <c r="H26" s="30" t="str">
        <f aca="false">IF(R26="","",Reconciliation!H27)</f>
        <v/>
      </c>
      <c r="I26" s="30" t="str">
        <f aca="false">IF(R26="","",Reconciliation!I27)</f>
        <v/>
      </c>
      <c r="J26" s="31" t="str">
        <f aca="false">IF(R26="","",Reconciliation!J27)</f>
        <v/>
      </c>
      <c r="K26" s="30" t="str">
        <f aca="false">IF(R26="","",Reconciliation!K27)</f>
        <v/>
      </c>
      <c r="L26" s="30" t="str">
        <f aca="false">IF(R26="","",Reconciliation!L27)</f>
        <v/>
      </c>
      <c r="M26" s="32" t="str">
        <f aca="false">IF(R26="","",Reconciliation!M27)</f>
        <v/>
      </c>
      <c r="N26" s="32" t="str">
        <f aca="false">IF(R26="","",Reconciliation!N27)</f>
        <v/>
      </c>
      <c r="O26" s="32" t="str">
        <f aca="false">IF(R26="","",Reconciliation!O27)</f>
        <v/>
      </c>
      <c r="P26" s="32" t="str">
        <f aca="false">IF(R26="","",Reconciliation!P27)</f>
        <v/>
      </c>
      <c r="Q26" s="32" t="str">
        <f aca="false">IF(R26="","",Reconciliation!Q27)</f>
        <v/>
      </c>
      <c r="R26" s="33" t="str">
        <f aca="false">IF(OR(Reconciliation!R27="✅ MATCH",Reconciliation!R27=""),"",Reconciliation!R27)</f>
        <v/>
      </c>
    </row>
    <row r="27" customFormat="false" ht="15" hidden="false" customHeight="true" outlineLevel="0" collapsed="false">
      <c r="A27" s="29" t="str">
        <f aca="false">IF(R27="","",Reconciliation!A28)</f>
        <v/>
      </c>
      <c r="B27" s="30" t="str">
        <f aca="false">IF(R27="","",Reconciliation!B28)</f>
        <v/>
      </c>
      <c r="C27" s="30" t="str">
        <f aca="false">IF(R27="","",Reconciliation!C28)</f>
        <v/>
      </c>
      <c r="D27" s="30" t="str">
        <f aca="false">IF(R27="","",Reconciliation!D28)</f>
        <v/>
      </c>
      <c r="E27" s="31" t="str">
        <f aca="false">IF(R27="","",Reconciliation!E28)</f>
        <v/>
      </c>
      <c r="F27" s="30" t="str">
        <f aca="false">IF(R27="","",Reconciliation!F28)</f>
        <v/>
      </c>
      <c r="G27" s="30" t="str">
        <f aca="false">IF(R27="","",Reconciliation!G28)</f>
        <v/>
      </c>
      <c r="H27" s="30" t="str">
        <f aca="false">IF(R27="","",Reconciliation!H28)</f>
        <v/>
      </c>
      <c r="I27" s="30" t="str">
        <f aca="false">IF(R27="","",Reconciliation!I28)</f>
        <v/>
      </c>
      <c r="J27" s="31" t="str">
        <f aca="false">IF(R27="","",Reconciliation!J28)</f>
        <v/>
      </c>
      <c r="K27" s="30" t="str">
        <f aca="false">IF(R27="","",Reconciliation!K28)</f>
        <v/>
      </c>
      <c r="L27" s="30" t="str">
        <f aca="false">IF(R27="","",Reconciliation!L28)</f>
        <v/>
      </c>
      <c r="M27" s="32" t="str">
        <f aca="false">IF(R27="","",Reconciliation!M28)</f>
        <v/>
      </c>
      <c r="N27" s="32" t="str">
        <f aca="false">IF(R27="","",Reconciliation!N28)</f>
        <v/>
      </c>
      <c r="O27" s="32" t="str">
        <f aca="false">IF(R27="","",Reconciliation!O28)</f>
        <v/>
      </c>
      <c r="P27" s="32" t="str">
        <f aca="false">IF(R27="","",Reconciliation!P28)</f>
        <v/>
      </c>
      <c r="Q27" s="32" t="str">
        <f aca="false">IF(R27="","",Reconciliation!Q28)</f>
        <v/>
      </c>
      <c r="R27" s="33" t="str">
        <f aca="false">IF(OR(Reconciliation!R28="✅ MATCH",Reconciliation!R28=""),"",Reconciliation!R28)</f>
        <v/>
      </c>
    </row>
    <row r="28" customFormat="false" ht="15" hidden="false" customHeight="true" outlineLevel="0" collapsed="false">
      <c r="A28" s="29" t="str">
        <f aca="false">IF(R28="","",Reconciliation!A29)</f>
        <v/>
      </c>
      <c r="B28" s="30" t="str">
        <f aca="false">IF(R28="","",Reconciliation!B29)</f>
        <v/>
      </c>
      <c r="C28" s="30" t="str">
        <f aca="false">IF(R28="","",Reconciliation!C29)</f>
        <v/>
      </c>
      <c r="D28" s="30" t="str">
        <f aca="false">IF(R28="","",Reconciliation!D29)</f>
        <v/>
      </c>
      <c r="E28" s="31" t="str">
        <f aca="false">IF(R28="","",Reconciliation!E29)</f>
        <v/>
      </c>
      <c r="F28" s="30" t="str">
        <f aca="false">IF(R28="","",Reconciliation!F29)</f>
        <v/>
      </c>
      <c r="G28" s="30" t="str">
        <f aca="false">IF(R28="","",Reconciliation!G29)</f>
        <v/>
      </c>
      <c r="H28" s="30" t="str">
        <f aca="false">IF(R28="","",Reconciliation!H29)</f>
        <v/>
      </c>
      <c r="I28" s="30" t="str">
        <f aca="false">IF(R28="","",Reconciliation!I29)</f>
        <v/>
      </c>
      <c r="J28" s="31" t="str">
        <f aca="false">IF(R28="","",Reconciliation!J29)</f>
        <v/>
      </c>
      <c r="K28" s="30" t="str">
        <f aca="false">IF(R28="","",Reconciliation!K29)</f>
        <v/>
      </c>
      <c r="L28" s="30" t="str">
        <f aca="false">IF(R28="","",Reconciliation!L29)</f>
        <v/>
      </c>
      <c r="M28" s="32" t="str">
        <f aca="false">IF(R28="","",Reconciliation!M29)</f>
        <v/>
      </c>
      <c r="N28" s="32" t="str">
        <f aca="false">IF(R28="","",Reconciliation!N29)</f>
        <v/>
      </c>
      <c r="O28" s="32" t="str">
        <f aca="false">IF(R28="","",Reconciliation!O29)</f>
        <v/>
      </c>
      <c r="P28" s="32" t="str">
        <f aca="false">IF(R28="","",Reconciliation!P29)</f>
        <v/>
      </c>
      <c r="Q28" s="32" t="str">
        <f aca="false">IF(R28="","",Reconciliation!Q29)</f>
        <v/>
      </c>
      <c r="R28" s="33" t="str">
        <f aca="false">IF(OR(Reconciliation!R29="✅ MATCH",Reconciliation!R29=""),"",Reconciliation!R29)</f>
        <v/>
      </c>
    </row>
    <row r="29" customFormat="false" ht="15" hidden="false" customHeight="true" outlineLevel="0" collapsed="false">
      <c r="A29" s="29" t="str">
        <f aca="false">IF(R29="","",Reconciliation!A30)</f>
        <v/>
      </c>
      <c r="B29" s="30" t="str">
        <f aca="false">IF(R29="","",Reconciliation!B30)</f>
        <v/>
      </c>
      <c r="C29" s="30" t="str">
        <f aca="false">IF(R29="","",Reconciliation!C30)</f>
        <v/>
      </c>
      <c r="D29" s="30" t="str">
        <f aca="false">IF(R29="","",Reconciliation!D30)</f>
        <v/>
      </c>
      <c r="E29" s="31" t="str">
        <f aca="false">IF(R29="","",Reconciliation!E30)</f>
        <v/>
      </c>
      <c r="F29" s="30" t="str">
        <f aca="false">IF(R29="","",Reconciliation!F30)</f>
        <v/>
      </c>
      <c r="G29" s="30" t="str">
        <f aca="false">IF(R29="","",Reconciliation!G30)</f>
        <v/>
      </c>
      <c r="H29" s="30" t="str">
        <f aca="false">IF(R29="","",Reconciliation!H30)</f>
        <v/>
      </c>
      <c r="I29" s="30" t="str">
        <f aca="false">IF(R29="","",Reconciliation!I30)</f>
        <v/>
      </c>
      <c r="J29" s="31" t="str">
        <f aca="false">IF(R29="","",Reconciliation!J30)</f>
        <v/>
      </c>
      <c r="K29" s="30" t="str">
        <f aca="false">IF(R29="","",Reconciliation!K30)</f>
        <v/>
      </c>
      <c r="L29" s="30" t="str">
        <f aca="false">IF(R29="","",Reconciliation!L30)</f>
        <v/>
      </c>
      <c r="M29" s="32" t="str">
        <f aca="false">IF(R29="","",Reconciliation!M30)</f>
        <v/>
      </c>
      <c r="N29" s="32" t="str">
        <f aca="false">IF(R29="","",Reconciliation!N30)</f>
        <v/>
      </c>
      <c r="O29" s="32" t="str">
        <f aca="false">IF(R29="","",Reconciliation!O30)</f>
        <v/>
      </c>
      <c r="P29" s="32" t="str">
        <f aca="false">IF(R29="","",Reconciliation!P30)</f>
        <v/>
      </c>
      <c r="Q29" s="32" t="str">
        <f aca="false">IF(R29="","",Reconciliation!Q30)</f>
        <v/>
      </c>
      <c r="R29" s="33" t="str">
        <f aca="false">IF(OR(Reconciliation!R30="✅ MATCH",Reconciliation!R30=""),"",Reconciliation!R30)</f>
        <v/>
      </c>
    </row>
    <row r="30" customFormat="false" ht="15" hidden="false" customHeight="true" outlineLevel="0" collapsed="false">
      <c r="A30" s="29" t="str">
        <f aca="false">IF(R30="","",Reconciliation!A31)</f>
        <v/>
      </c>
      <c r="B30" s="30" t="str">
        <f aca="false">IF(R30="","",Reconciliation!B31)</f>
        <v/>
      </c>
      <c r="C30" s="30" t="str">
        <f aca="false">IF(R30="","",Reconciliation!C31)</f>
        <v/>
      </c>
      <c r="D30" s="30" t="str">
        <f aca="false">IF(R30="","",Reconciliation!D31)</f>
        <v/>
      </c>
      <c r="E30" s="31" t="str">
        <f aca="false">IF(R30="","",Reconciliation!E31)</f>
        <v/>
      </c>
      <c r="F30" s="30" t="str">
        <f aca="false">IF(R30="","",Reconciliation!F31)</f>
        <v/>
      </c>
      <c r="G30" s="30" t="str">
        <f aca="false">IF(R30="","",Reconciliation!G31)</f>
        <v/>
      </c>
      <c r="H30" s="30" t="str">
        <f aca="false">IF(R30="","",Reconciliation!H31)</f>
        <v/>
      </c>
      <c r="I30" s="30" t="str">
        <f aca="false">IF(R30="","",Reconciliation!I31)</f>
        <v/>
      </c>
      <c r="J30" s="31" t="str">
        <f aca="false">IF(R30="","",Reconciliation!J31)</f>
        <v/>
      </c>
      <c r="K30" s="30" t="str">
        <f aca="false">IF(R30="","",Reconciliation!K31)</f>
        <v/>
      </c>
      <c r="L30" s="30" t="str">
        <f aca="false">IF(R30="","",Reconciliation!L31)</f>
        <v/>
      </c>
      <c r="M30" s="32" t="str">
        <f aca="false">IF(R30="","",Reconciliation!M31)</f>
        <v/>
      </c>
      <c r="N30" s="32" t="str">
        <f aca="false">IF(R30="","",Reconciliation!N31)</f>
        <v/>
      </c>
      <c r="O30" s="32" t="str">
        <f aca="false">IF(R30="","",Reconciliation!O31)</f>
        <v/>
      </c>
      <c r="P30" s="32" t="str">
        <f aca="false">IF(R30="","",Reconciliation!P31)</f>
        <v/>
      </c>
      <c r="Q30" s="32" t="str">
        <f aca="false">IF(R30="","",Reconciliation!Q31)</f>
        <v/>
      </c>
      <c r="R30" s="33" t="str">
        <f aca="false">IF(OR(Reconciliation!R31="✅ MATCH",Reconciliation!R31=""),"",Reconciliation!R31)</f>
        <v/>
      </c>
    </row>
    <row r="31" customFormat="false" ht="15" hidden="false" customHeight="true" outlineLevel="0" collapsed="false">
      <c r="A31" s="29" t="str">
        <f aca="false">IF(R31="","",Reconciliation!A32)</f>
        <v/>
      </c>
      <c r="B31" s="30" t="str">
        <f aca="false">IF(R31="","",Reconciliation!B32)</f>
        <v/>
      </c>
      <c r="C31" s="30" t="str">
        <f aca="false">IF(R31="","",Reconciliation!C32)</f>
        <v/>
      </c>
      <c r="D31" s="30" t="str">
        <f aca="false">IF(R31="","",Reconciliation!D32)</f>
        <v/>
      </c>
      <c r="E31" s="31" t="str">
        <f aca="false">IF(R31="","",Reconciliation!E32)</f>
        <v/>
      </c>
      <c r="F31" s="30" t="str">
        <f aca="false">IF(R31="","",Reconciliation!F32)</f>
        <v/>
      </c>
      <c r="G31" s="30" t="str">
        <f aca="false">IF(R31="","",Reconciliation!G32)</f>
        <v/>
      </c>
      <c r="H31" s="30" t="str">
        <f aca="false">IF(R31="","",Reconciliation!H32)</f>
        <v/>
      </c>
      <c r="I31" s="30" t="str">
        <f aca="false">IF(R31="","",Reconciliation!I32)</f>
        <v/>
      </c>
      <c r="J31" s="31" t="str">
        <f aca="false">IF(R31="","",Reconciliation!J32)</f>
        <v/>
      </c>
      <c r="K31" s="30" t="str">
        <f aca="false">IF(R31="","",Reconciliation!K32)</f>
        <v/>
      </c>
      <c r="L31" s="30" t="str">
        <f aca="false">IF(R31="","",Reconciliation!L32)</f>
        <v/>
      </c>
      <c r="M31" s="32" t="str">
        <f aca="false">IF(R31="","",Reconciliation!M32)</f>
        <v/>
      </c>
      <c r="N31" s="32" t="str">
        <f aca="false">IF(R31="","",Reconciliation!N32)</f>
        <v/>
      </c>
      <c r="O31" s="32" t="str">
        <f aca="false">IF(R31="","",Reconciliation!O32)</f>
        <v/>
      </c>
      <c r="P31" s="32" t="str">
        <f aca="false">IF(R31="","",Reconciliation!P32)</f>
        <v/>
      </c>
      <c r="Q31" s="32" t="str">
        <f aca="false">IF(R31="","",Reconciliation!Q32)</f>
        <v/>
      </c>
      <c r="R31" s="33" t="str">
        <f aca="false">IF(OR(Reconciliation!R32="✅ MATCH",Reconciliation!R32=""),"",Reconciliation!R32)</f>
        <v/>
      </c>
    </row>
    <row r="32" customFormat="false" ht="15" hidden="false" customHeight="true" outlineLevel="0" collapsed="false">
      <c r="A32" s="29" t="str">
        <f aca="false">IF(R32="","",Reconciliation!A33)</f>
        <v/>
      </c>
      <c r="B32" s="30" t="str">
        <f aca="false">IF(R32="","",Reconciliation!B33)</f>
        <v/>
      </c>
      <c r="C32" s="30" t="str">
        <f aca="false">IF(R32="","",Reconciliation!C33)</f>
        <v/>
      </c>
      <c r="D32" s="30" t="str">
        <f aca="false">IF(R32="","",Reconciliation!D33)</f>
        <v/>
      </c>
      <c r="E32" s="31" t="str">
        <f aca="false">IF(R32="","",Reconciliation!E33)</f>
        <v/>
      </c>
      <c r="F32" s="30" t="str">
        <f aca="false">IF(R32="","",Reconciliation!F33)</f>
        <v/>
      </c>
      <c r="G32" s="30" t="str">
        <f aca="false">IF(R32="","",Reconciliation!G33)</f>
        <v/>
      </c>
      <c r="H32" s="30" t="str">
        <f aca="false">IF(R32="","",Reconciliation!H33)</f>
        <v/>
      </c>
      <c r="I32" s="30" t="str">
        <f aca="false">IF(R32="","",Reconciliation!I33)</f>
        <v/>
      </c>
      <c r="J32" s="31" t="str">
        <f aca="false">IF(R32="","",Reconciliation!J33)</f>
        <v/>
      </c>
      <c r="K32" s="30" t="str">
        <f aca="false">IF(R32="","",Reconciliation!K33)</f>
        <v/>
      </c>
      <c r="L32" s="30" t="str">
        <f aca="false">IF(R32="","",Reconciliation!L33)</f>
        <v/>
      </c>
      <c r="M32" s="32" t="str">
        <f aca="false">IF(R32="","",Reconciliation!M33)</f>
        <v/>
      </c>
      <c r="N32" s="32" t="str">
        <f aca="false">IF(R32="","",Reconciliation!N33)</f>
        <v/>
      </c>
      <c r="O32" s="32" t="str">
        <f aca="false">IF(R32="","",Reconciliation!O33)</f>
        <v/>
      </c>
      <c r="P32" s="32" t="str">
        <f aca="false">IF(R32="","",Reconciliation!P33)</f>
        <v/>
      </c>
      <c r="Q32" s="32" t="str">
        <f aca="false">IF(R32="","",Reconciliation!Q33)</f>
        <v/>
      </c>
      <c r="R32" s="33" t="str">
        <f aca="false">IF(OR(Reconciliation!R33="✅ MATCH",Reconciliation!R33=""),"",Reconciliation!R33)</f>
        <v/>
      </c>
    </row>
    <row r="33" customFormat="false" ht="15" hidden="false" customHeight="true" outlineLevel="0" collapsed="false">
      <c r="A33" s="29" t="str">
        <f aca="false">IF(R33="","",Reconciliation!A34)</f>
        <v/>
      </c>
      <c r="B33" s="30" t="str">
        <f aca="false">IF(R33="","",Reconciliation!B34)</f>
        <v/>
      </c>
      <c r="C33" s="30" t="str">
        <f aca="false">IF(R33="","",Reconciliation!C34)</f>
        <v/>
      </c>
      <c r="D33" s="30" t="str">
        <f aca="false">IF(R33="","",Reconciliation!D34)</f>
        <v/>
      </c>
      <c r="E33" s="31" t="str">
        <f aca="false">IF(R33="","",Reconciliation!E34)</f>
        <v/>
      </c>
      <c r="F33" s="30" t="str">
        <f aca="false">IF(R33="","",Reconciliation!F34)</f>
        <v/>
      </c>
      <c r="G33" s="30" t="str">
        <f aca="false">IF(R33="","",Reconciliation!G34)</f>
        <v/>
      </c>
      <c r="H33" s="30" t="str">
        <f aca="false">IF(R33="","",Reconciliation!H34)</f>
        <v/>
      </c>
      <c r="I33" s="30" t="str">
        <f aca="false">IF(R33="","",Reconciliation!I34)</f>
        <v/>
      </c>
      <c r="J33" s="31" t="str">
        <f aca="false">IF(R33="","",Reconciliation!J34)</f>
        <v/>
      </c>
      <c r="K33" s="30" t="str">
        <f aca="false">IF(R33="","",Reconciliation!K34)</f>
        <v/>
      </c>
      <c r="L33" s="30" t="str">
        <f aca="false">IF(R33="","",Reconciliation!L34)</f>
        <v/>
      </c>
      <c r="M33" s="32" t="str">
        <f aca="false">IF(R33="","",Reconciliation!M34)</f>
        <v/>
      </c>
      <c r="N33" s="32" t="str">
        <f aca="false">IF(R33="","",Reconciliation!N34)</f>
        <v/>
      </c>
      <c r="O33" s="32" t="str">
        <f aca="false">IF(R33="","",Reconciliation!O34)</f>
        <v/>
      </c>
      <c r="P33" s="32" t="str">
        <f aca="false">IF(R33="","",Reconciliation!P34)</f>
        <v/>
      </c>
      <c r="Q33" s="32" t="str">
        <f aca="false">IF(R33="","",Reconciliation!Q34)</f>
        <v/>
      </c>
      <c r="R33" s="33" t="str">
        <f aca="false">IF(OR(Reconciliation!R34="✅ MATCH",Reconciliation!R34=""),"",Reconciliation!R34)</f>
        <v/>
      </c>
    </row>
    <row r="34" customFormat="false" ht="15" hidden="false" customHeight="true" outlineLevel="0" collapsed="false">
      <c r="A34" s="29" t="str">
        <f aca="false">IF(R34="","",Reconciliation!A35)</f>
        <v/>
      </c>
      <c r="B34" s="30" t="str">
        <f aca="false">IF(R34="","",Reconciliation!B35)</f>
        <v/>
      </c>
      <c r="C34" s="30" t="str">
        <f aca="false">IF(R34="","",Reconciliation!C35)</f>
        <v/>
      </c>
      <c r="D34" s="30" t="str">
        <f aca="false">IF(R34="","",Reconciliation!D35)</f>
        <v/>
      </c>
      <c r="E34" s="31" t="str">
        <f aca="false">IF(R34="","",Reconciliation!E35)</f>
        <v/>
      </c>
      <c r="F34" s="30" t="str">
        <f aca="false">IF(R34="","",Reconciliation!F35)</f>
        <v/>
      </c>
      <c r="G34" s="30" t="str">
        <f aca="false">IF(R34="","",Reconciliation!G35)</f>
        <v/>
      </c>
      <c r="H34" s="30" t="str">
        <f aca="false">IF(R34="","",Reconciliation!H35)</f>
        <v/>
      </c>
      <c r="I34" s="30" t="str">
        <f aca="false">IF(R34="","",Reconciliation!I35)</f>
        <v/>
      </c>
      <c r="J34" s="31" t="str">
        <f aca="false">IF(R34="","",Reconciliation!J35)</f>
        <v/>
      </c>
      <c r="K34" s="30" t="str">
        <f aca="false">IF(R34="","",Reconciliation!K35)</f>
        <v/>
      </c>
      <c r="L34" s="30" t="str">
        <f aca="false">IF(R34="","",Reconciliation!L35)</f>
        <v/>
      </c>
      <c r="M34" s="32" t="str">
        <f aca="false">IF(R34="","",Reconciliation!M35)</f>
        <v/>
      </c>
      <c r="N34" s="32" t="str">
        <f aca="false">IF(R34="","",Reconciliation!N35)</f>
        <v/>
      </c>
      <c r="O34" s="32" t="str">
        <f aca="false">IF(R34="","",Reconciliation!O35)</f>
        <v/>
      </c>
      <c r="P34" s="32" t="str">
        <f aca="false">IF(R34="","",Reconciliation!P35)</f>
        <v/>
      </c>
      <c r="Q34" s="32" t="str">
        <f aca="false">IF(R34="","",Reconciliation!Q35)</f>
        <v/>
      </c>
      <c r="R34" s="33" t="str">
        <f aca="false">IF(OR(Reconciliation!R35="✅ MATCH",Reconciliation!R35=""),"",Reconciliation!R35)</f>
        <v/>
      </c>
    </row>
    <row r="35" customFormat="false" ht="15" hidden="false" customHeight="true" outlineLevel="0" collapsed="false">
      <c r="A35" s="29" t="str">
        <f aca="false">IF(R35="","",Reconciliation!A36)</f>
        <v/>
      </c>
      <c r="B35" s="30" t="str">
        <f aca="false">IF(R35="","",Reconciliation!B36)</f>
        <v/>
      </c>
      <c r="C35" s="30" t="str">
        <f aca="false">IF(R35="","",Reconciliation!C36)</f>
        <v/>
      </c>
      <c r="D35" s="30" t="str">
        <f aca="false">IF(R35="","",Reconciliation!D36)</f>
        <v/>
      </c>
      <c r="E35" s="31" t="str">
        <f aca="false">IF(R35="","",Reconciliation!E36)</f>
        <v/>
      </c>
      <c r="F35" s="30" t="str">
        <f aca="false">IF(R35="","",Reconciliation!F36)</f>
        <v/>
      </c>
      <c r="G35" s="30" t="str">
        <f aca="false">IF(R35="","",Reconciliation!G36)</f>
        <v/>
      </c>
      <c r="H35" s="30" t="str">
        <f aca="false">IF(R35="","",Reconciliation!H36)</f>
        <v/>
      </c>
      <c r="I35" s="30" t="str">
        <f aca="false">IF(R35="","",Reconciliation!I36)</f>
        <v/>
      </c>
      <c r="J35" s="31" t="str">
        <f aca="false">IF(R35="","",Reconciliation!J36)</f>
        <v/>
      </c>
      <c r="K35" s="30" t="str">
        <f aca="false">IF(R35="","",Reconciliation!K36)</f>
        <v/>
      </c>
      <c r="L35" s="30" t="str">
        <f aca="false">IF(R35="","",Reconciliation!L36)</f>
        <v/>
      </c>
      <c r="M35" s="32" t="str">
        <f aca="false">IF(R35="","",Reconciliation!M36)</f>
        <v/>
      </c>
      <c r="N35" s="32" t="str">
        <f aca="false">IF(R35="","",Reconciliation!N36)</f>
        <v/>
      </c>
      <c r="O35" s="32" t="str">
        <f aca="false">IF(R35="","",Reconciliation!O36)</f>
        <v/>
      </c>
      <c r="P35" s="32" t="str">
        <f aca="false">IF(R35="","",Reconciliation!P36)</f>
        <v/>
      </c>
      <c r="Q35" s="32" t="str">
        <f aca="false">IF(R35="","",Reconciliation!Q36)</f>
        <v/>
      </c>
      <c r="R35" s="33" t="str">
        <f aca="false">IF(OR(Reconciliation!R36="✅ MATCH",Reconciliation!R36=""),"",Reconciliation!R36)</f>
        <v/>
      </c>
    </row>
    <row r="36" customFormat="false" ht="15" hidden="false" customHeight="true" outlineLevel="0" collapsed="false">
      <c r="A36" s="29" t="str">
        <f aca="false">IF(R36="","",Reconciliation!A37)</f>
        <v/>
      </c>
      <c r="B36" s="30" t="str">
        <f aca="false">IF(R36="","",Reconciliation!B37)</f>
        <v/>
      </c>
      <c r="C36" s="30" t="str">
        <f aca="false">IF(R36="","",Reconciliation!C37)</f>
        <v/>
      </c>
      <c r="D36" s="30" t="str">
        <f aca="false">IF(R36="","",Reconciliation!D37)</f>
        <v/>
      </c>
      <c r="E36" s="31" t="str">
        <f aca="false">IF(R36="","",Reconciliation!E37)</f>
        <v/>
      </c>
      <c r="F36" s="30" t="str">
        <f aca="false">IF(R36="","",Reconciliation!F37)</f>
        <v/>
      </c>
      <c r="G36" s="30" t="str">
        <f aca="false">IF(R36="","",Reconciliation!G37)</f>
        <v/>
      </c>
      <c r="H36" s="30" t="str">
        <f aca="false">IF(R36="","",Reconciliation!H37)</f>
        <v/>
      </c>
      <c r="I36" s="30" t="str">
        <f aca="false">IF(R36="","",Reconciliation!I37)</f>
        <v/>
      </c>
      <c r="J36" s="31" t="str">
        <f aca="false">IF(R36="","",Reconciliation!J37)</f>
        <v/>
      </c>
      <c r="K36" s="30" t="str">
        <f aca="false">IF(R36="","",Reconciliation!K37)</f>
        <v/>
      </c>
      <c r="L36" s="30" t="str">
        <f aca="false">IF(R36="","",Reconciliation!L37)</f>
        <v/>
      </c>
      <c r="M36" s="32" t="str">
        <f aca="false">IF(R36="","",Reconciliation!M37)</f>
        <v/>
      </c>
      <c r="N36" s="32" t="str">
        <f aca="false">IF(R36="","",Reconciliation!N37)</f>
        <v/>
      </c>
      <c r="O36" s="32" t="str">
        <f aca="false">IF(R36="","",Reconciliation!O37)</f>
        <v/>
      </c>
      <c r="P36" s="32" t="str">
        <f aca="false">IF(R36="","",Reconciliation!P37)</f>
        <v/>
      </c>
      <c r="Q36" s="32" t="str">
        <f aca="false">IF(R36="","",Reconciliation!Q37)</f>
        <v/>
      </c>
      <c r="R36" s="33" t="str">
        <f aca="false">IF(OR(Reconciliation!R37="✅ MATCH",Reconciliation!R37=""),"",Reconciliation!R37)</f>
        <v/>
      </c>
    </row>
    <row r="37" customFormat="false" ht="15" hidden="false" customHeight="true" outlineLevel="0" collapsed="false">
      <c r="A37" s="29" t="str">
        <f aca="false">IF(R37="","",Reconciliation!A38)</f>
        <v/>
      </c>
      <c r="B37" s="30" t="str">
        <f aca="false">IF(R37="","",Reconciliation!B38)</f>
        <v/>
      </c>
      <c r="C37" s="30" t="str">
        <f aca="false">IF(R37="","",Reconciliation!C38)</f>
        <v/>
      </c>
      <c r="D37" s="30" t="str">
        <f aca="false">IF(R37="","",Reconciliation!D38)</f>
        <v/>
      </c>
      <c r="E37" s="31" t="str">
        <f aca="false">IF(R37="","",Reconciliation!E38)</f>
        <v/>
      </c>
      <c r="F37" s="30" t="str">
        <f aca="false">IF(R37="","",Reconciliation!F38)</f>
        <v/>
      </c>
      <c r="G37" s="30" t="str">
        <f aca="false">IF(R37="","",Reconciliation!G38)</f>
        <v/>
      </c>
      <c r="H37" s="30" t="str">
        <f aca="false">IF(R37="","",Reconciliation!H38)</f>
        <v/>
      </c>
      <c r="I37" s="30" t="str">
        <f aca="false">IF(R37="","",Reconciliation!I38)</f>
        <v/>
      </c>
      <c r="J37" s="31" t="str">
        <f aca="false">IF(R37="","",Reconciliation!J38)</f>
        <v/>
      </c>
      <c r="K37" s="30" t="str">
        <f aca="false">IF(R37="","",Reconciliation!K38)</f>
        <v/>
      </c>
      <c r="L37" s="30" t="str">
        <f aca="false">IF(R37="","",Reconciliation!L38)</f>
        <v/>
      </c>
      <c r="M37" s="32" t="str">
        <f aca="false">IF(R37="","",Reconciliation!M38)</f>
        <v/>
      </c>
      <c r="N37" s="32" t="str">
        <f aca="false">IF(R37="","",Reconciliation!N38)</f>
        <v/>
      </c>
      <c r="O37" s="32" t="str">
        <f aca="false">IF(R37="","",Reconciliation!O38)</f>
        <v/>
      </c>
      <c r="P37" s="32" t="str">
        <f aca="false">IF(R37="","",Reconciliation!P38)</f>
        <v/>
      </c>
      <c r="Q37" s="32" t="str">
        <f aca="false">IF(R37="","",Reconciliation!Q38)</f>
        <v/>
      </c>
      <c r="R37" s="33" t="str">
        <f aca="false">IF(OR(Reconciliation!R38="✅ MATCH",Reconciliation!R38=""),"",Reconciliation!R38)</f>
        <v/>
      </c>
    </row>
    <row r="38" customFormat="false" ht="15" hidden="false" customHeight="true" outlineLevel="0" collapsed="false">
      <c r="A38" s="29" t="str">
        <f aca="false">IF(R38="","",Reconciliation!A39)</f>
        <v/>
      </c>
      <c r="B38" s="30" t="str">
        <f aca="false">IF(R38="","",Reconciliation!B39)</f>
        <v/>
      </c>
      <c r="C38" s="30" t="str">
        <f aca="false">IF(R38="","",Reconciliation!C39)</f>
        <v/>
      </c>
      <c r="D38" s="30" t="str">
        <f aca="false">IF(R38="","",Reconciliation!D39)</f>
        <v/>
      </c>
      <c r="E38" s="31" t="str">
        <f aca="false">IF(R38="","",Reconciliation!E39)</f>
        <v/>
      </c>
      <c r="F38" s="30" t="str">
        <f aca="false">IF(R38="","",Reconciliation!F39)</f>
        <v/>
      </c>
      <c r="G38" s="30" t="str">
        <f aca="false">IF(R38="","",Reconciliation!G39)</f>
        <v/>
      </c>
      <c r="H38" s="30" t="str">
        <f aca="false">IF(R38="","",Reconciliation!H39)</f>
        <v/>
      </c>
      <c r="I38" s="30" t="str">
        <f aca="false">IF(R38="","",Reconciliation!I39)</f>
        <v/>
      </c>
      <c r="J38" s="31" t="str">
        <f aca="false">IF(R38="","",Reconciliation!J39)</f>
        <v/>
      </c>
      <c r="K38" s="30" t="str">
        <f aca="false">IF(R38="","",Reconciliation!K39)</f>
        <v/>
      </c>
      <c r="L38" s="30" t="str">
        <f aca="false">IF(R38="","",Reconciliation!L39)</f>
        <v/>
      </c>
      <c r="M38" s="32" t="str">
        <f aca="false">IF(R38="","",Reconciliation!M39)</f>
        <v/>
      </c>
      <c r="N38" s="32" t="str">
        <f aca="false">IF(R38="","",Reconciliation!N39)</f>
        <v/>
      </c>
      <c r="O38" s="32" t="str">
        <f aca="false">IF(R38="","",Reconciliation!O39)</f>
        <v/>
      </c>
      <c r="P38" s="32" t="str">
        <f aca="false">IF(R38="","",Reconciliation!P39)</f>
        <v/>
      </c>
      <c r="Q38" s="32" t="str">
        <f aca="false">IF(R38="","",Reconciliation!Q39)</f>
        <v/>
      </c>
      <c r="R38" s="33" t="str">
        <f aca="false">IF(OR(Reconciliation!R39="✅ MATCH",Reconciliation!R39=""),"",Reconciliation!R39)</f>
        <v/>
      </c>
    </row>
    <row r="39" customFormat="false" ht="15" hidden="false" customHeight="true" outlineLevel="0" collapsed="false">
      <c r="A39" s="29" t="str">
        <f aca="false">IF(R39="","",Reconciliation!A40)</f>
        <v/>
      </c>
      <c r="B39" s="30" t="str">
        <f aca="false">IF(R39="","",Reconciliation!B40)</f>
        <v/>
      </c>
      <c r="C39" s="30" t="str">
        <f aca="false">IF(R39="","",Reconciliation!C40)</f>
        <v/>
      </c>
      <c r="D39" s="30" t="str">
        <f aca="false">IF(R39="","",Reconciliation!D40)</f>
        <v/>
      </c>
      <c r="E39" s="31" t="str">
        <f aca="false">IF(R39="","",Reconciliation!E40)</f>
        <v/>
      </c>
      <c r="F39" s="30" t="str">
        <f aca="false">IF(R39="","",Reconciliation!F40)</f>
        <v/>
      </c>
      <c r="G39" s="30" t="str">
        <f aca="false">IF(R39="","",Reconciliation!G40)</f>
        <v/>
      </c>
      <c r="H39" s="30" t="str">
        <f aca="false">IF(R39="","",Reconciliation!H40)</f>
        <v/>
      </c>
      <c r="I39" s="30" t="str">
        <f aca="false">IF(R39="","",Reconciliation!I40)</f>
        <v/>
      </c>
      <c r="J39" s="31" t="str">
        <f aca="false">IF(R39="","",Reconciliation!J40)</f>
        <v/>
      </c>
      <c r="K39" s="30" t="str">
        <f aca="false">IF(R39="","",Reconciliation!K40)</f>
        <v/>
      </c>
      <c r="L39" s="30" t="str">
        <f aca="false">IF(R39="","",Reconciliation!L40)</f>
        <v/>
      </c>
      <c r="M39" s="32" t="str">
        <f aca="false">IF(R39="","",Reconciliation!M40)</f>
        <v/>
      </c>
      <c r="N39" s="32" t="str">
        <f aca="false">IF(R39="","",Reconciliation!N40)</f>
        <v/>
      </c>
      <c r="O39" s="32" t="str">
        <f aca="false">IF(R39="","",Reconciliation!O40)</f>
        <v/>
      </c>
      <c r="P39" s="32" t="str">
        <f aca="false">IF(R39="","",Reconciliation!P40)</f>
        <v/>
      </c>
      <c r="Q39" s="32" t="str">
        <f aca="false">IF(R39="","",Reconciliation!Q40)</f>
        <v/>
      </c>
      <c r="R39" s="33" t="str">
        <f aca="false">IF(OR(Reconciliation!R40="✅ MATCH",Reconciliation!R40=""),"",Reconciliation!R40)</f>
        <v/>
      </c>
    </row>
    <row r="40" customFormat="false" ht="15" hidden="false" customHeight="true" outlineLevel="0" collapsed="false">
      <c r="A40" s="29" t="str">
        <f aca="false">IF(R40="","",Reconciliation!A41)</f>
        <v/>
      </c>
      <c r="B40" s="30" t="str">
        <f aca="false">IF(R40="","",Reconciliation!B41)</f>
        <v/>
      </c>
      <c r="C40" s="30" t="str">
        <f aca="false">IF(R40="","",Reconciliation!C41)</f>
        <v/>
      </c>
      <c r="D40" s="30" t="str">
        <f aca="false">IF(R40="","",Reconciliation!D41)</f>
        <v/>
      </c>
      <c r="E40" s="31" t="str">
        <f aca="false">IF(R40="","",Reconciliation!E41)</f>
        <v/>
      </c>
      <c r="F40" s="30" t="str">
        <f aca="false">IF(R40="","",Reconciliation!F41)</f>
        <v/>
      </c>
      <c r="G40" s="30" t="str">
        <f aca="false">IF(R40="","",Reconciliation!G41)</f>
        <v/>
      </c>
      <c r="H40" s="30" t="str">
        <f aca="false">IF(R40="","",Reconciliation!H41)</f>
        <v/>
      </c>
      <c r="I40" s="30" t="str">
        <f aca="false">IF(R40="","",Reconciliation!I41)</f>
        <v/>
      </c>
      <c r="J40" s="31" t="str">
        <f aca="false">IF(R40="","",Reconciliation!J41)</f>
        <v/>
      </c>
      <c r="K40" s="30" t="str">
        <f aca="false">IF(R40="","",Reconciliation!K41)</f>
        <v/>
      </c>
      <c r="L40" s="30" t="str">
        <f aca="false">IF(R40="","",Reconciliation!L41)</f>
        <v/>
      </c>
      <c r="M40" s="32" t="str">
        <f aca="false">IF(R40="","",Reconciliation!M41)</f>
        <v/>
      </c>
      <c r="N40" s="32" t="str">
        <f aca="false">IF(R40="","",Reconciliation!N41)</f>
        <v/>
      </c>
      <c r="O40" s="32" t="str">
        <f aca="false">IF(R40="","",Reconciliation!O41)</f>
        <v/>
      </c>
      <c r="P40" s="32" t="str">
        <f aca="false">IF(R40="","",Reconciliation!P41)</f>
        <v/>
      </c>
      <c r="Q40" s="32" t="str">
        <f aca="false">IF(R40="","",Reconciliation!Q41)</f>
        <v/>
      </c>
      <c r="R40" s="33" t="str">
        <f aca="false">IF(OR(Reconciliation!R41="✅ MATCH",Reconciliation!R41=""),"",Reconciliation!R41)</f>
        <v/>
      </c>
    </row>
    <row r="41" customFormat="false" ht="15" hidden="false" customHeight="true" outlineLevel="0" collapsed="false">
      <c r="A41" s="29" t="str">
        <f aca="false">IF(R41="","",Reconciliation!A42)</f>
        <v/>
      </c>
      <c r="B41" s="30" t="str">
        <f aca="false">IF(R41="","",Reconciliation!B42)</f>
        <v/>
      </c>
      <c r="C41" s="30" t="str">
        <f aca="false">IF(R41="","",Reconciliation!C42)</f>
        <v/>
      </c>
      <c r="D41" s="30" t="str">
        <f aca="false">IF(R41="","",Reconciliation!D42)</f>
        <v/>
      </c>
      <c r="E41" s="31" t="str">
        <f aca="false">IF(R41="","",Reconciliation!E42)</f>
        <v/>
      </c>
      <c r="F41" s="30" t="str">
        <f aca="false">IF(R41="","",Reconciliation!F42)</f>
        <v/>
      </c>
      <c r="G41" s="30" t="str">
        <f aca="false">IF(R41="","",Reconciliation!G42)</f>
        <v/>
      </c>
      <c r="H41" s="30" t="str">
        <f aca="false">IF(R41="","",Reconciliation!H42)</f>
        <v/>
      </c>
      <c r="I41" s="30" t="str">
        <f aca="false">IF(R41="","",Reconciliation!I42)</f>
        <v/>
      </c>
      <c r="J41" s="31" t="str">
        <f aca="false">IF(R41="","",Reconciliation!J42)</f>
        <v/>
      </c>
      <c r="K41" s="30" t="str">
        <f aca="false">IF(R41="","",Reconciliation!K42)</f>
        <v/>
      </c>
      <c r="L41" s="30" t="str">
        <f aca="false">IF(R41="","",Reconciliation!L42)</f>
        <v/>
      </c>
      <c r="M41" s="32" t="str">
        <f aca="false">IF(R41="","",Reconciliation!M42)</f>
        <v/>
      </c>
      <c r="N41" s="32" t="str">
        <f aca="false">IF(R41="","",Reconciliation!N42)</f>
        <v/>
      </c>
      <c r="O41" s="32" t="str">
        <f aca="false">IF(R41="","",Reconciliation!O42)</f>
        <v/>
      </c>
      <c r="P41" s="32" t="str">
        <f aca="false">IF(R41="","",Reconciliation!P42)</f>
        <v/>
      </c>
      <c r="Q41" s="32" t="str">
        <f aca="false">IF(R41="","",Reconciliation!Q42)</f>
        <v/>
      </c>
      <c r="R41" s="33" t="str">
        <f aca="false">IF(OR(Reconciliation!R42="✅ MATCH",Reconciliation!R42=""),"",Reconciliation!R42)</f>
        <v/>
      </c>
    </row>
    <row r="42" customFormat="false" ht="15" hidden="false" customHeight="true" outlineLevel="0" collapsed="false">
      <c r="A42" s="29" t="str">
        <f aca="false">IF(R42="","",Reconciliation!A43)</f>
        <v/>
      </c>
      <c r="B42" s="30" t="str">
        <f aca="false">IF(R42="","",Reconciliation!B43)</f>
        <v/>
      </c>
      <c r="C42" s="30" t="str">
        <f aca="false">IF(R42="","",Reconciliation!C43)</f>
        <v/>
      </c>
      <c r="D42" s="30" t="str">
        <f aca="false">IF(R42="","",Reconciliation!D43)</f>
        <v/>
      </c>
      <c r="E42" s="31" t="str">
        <f aca="false">IF(R42="","",Reconciliation!E43)</f>
        <v/>
      </c>
      <c r="F42" s="30" t="str">
        <f aca="false">IF(R42="","",Reconciliation!F43)</f>
        <v/>
      </c>
      <c r="G42" s="30" t="str">
        <f aca="false">IF(R42="","",Reconciliation!G43)</f>
        <v/>
      </c>
      <c r="H42" s="30" t="str">
        <f aca="false">IF(R42="","",Reconciliation!H43)</f>
        <v/>
      </c>
      <c r="I42" s="30" t="str">
        <f aca="false">IF(R42="","",Reconciliation!I43)</f>
        <v/>
      </c>
      <c r="J42" s="31" t="str">
        <f aca="false">IF(R42="","",Reconciliation!J43)</f>
        <v/>
      </c>
      <c r="K42" s="30" t="str">
        <f aca="false">IF(R42="","",Reconciliation!K43)</f>
        <v/>
      </c>
      <c r="L42" s="30" t="str">
        <f aca="false">IF(R42="","",Reconciliation!L43)</f>
        <v/>
      </c>
      <c r="M42" s="32" t="str">
        <f aca="false">IF(R42="","",Reconciliation!M43)</f>
        <v/>
      </c>
      <c r="N42" s="32" t="str">
        <f aca="false">IF(R42="","",Reconciliation!N43)</f>
        <v/>
      </c>
      <c r="O42" s="32" t="str">
        <f aca="false">IF(R42="","",Reconciliation!O43)</f>
        <v/>
      </c>
      <c r="P42" s="32" t="str">
        <f aca="false">IF(R42="","",Reconciliation!P43)</f>
        <v/>
      </c>
      <c r="Q42" s="32" t="str">
        <f aca="false">IF(R42="","",Reconciliation!Q43)</f>
        <v/>
      </c>
      <c r="R42" s="33" t="str">
        <f aca="false">IF(OR(Reconciliation!R43="✅ MATCH",Reconciliation!R43=""),"",Reconciliation!R43)</f>
        <v/>
      </c>
    </row>
    <row r="43" customFormat="false" ht="15" hidden="false" customHeight="true" outlineLevel="0" collapsed="false">
      <c r="A43" s="29" t="str">
        <f aca="false">IF(R43="","",Reconciliation!A44)</f>
        <v/>
      </c>
      <c r="B43" s="30" t="str">
        <f aca="false">IF(R43="","",Reconciliation!B44)</f>
        <v/>
      </c>
      <c r="C43" s="30" t="str">
        <f aca="false">IF(R43="","",Reconciliation!C44)</f>
        <v/>
      </c>
      <c r="D43" s="30" t="str">
        <f aca="false">IF(R43="","",Reconciliation!D44)</f>
        <v/>
      </c>
      <c r="E43" s="31" t="str">
        <f aca="false">IF(R43="","",Reconciliation!E44)</f>
        <v/>
      </c>
      <c r="F43" s="30" t="str">
        <f aca="false">IF(R43="","",Reconciliation!F44)</f>
        <v/>
      </c>
      <c r="G43" s="30" t="str">
        <f aca="false">IF(R43="","",Reconciliation!G44)</f>
        <v/>
      </c>
      <c r="H43" s="30" t="str">
        <f aca="false">IF(R43="","",Reconciliation!H44)</f>
        <v/>
      </c>
      <c r="I43" s="30" t="str">
        <f aca="false">IF(R43="","",Reconciliation!I44)</f>
        <v/>
      </c>
      <c r="J43" s="31" t="str">
        <f aca="false">IF(R43="","",Reconciliation!J44)</f>
        <v/>
      </c>
      <c r="K43" s="30" t="str">
        <f aca="false">IF(R43="","",Reconciliation!K44)</f>
        <v/>
      </c>
      <c r="L43" s="30" t="str">
        <f aca="false">IF(R43="","",Reconciliation!L44)</f>
        <v/>
      </c>
      <c r="M43" s="32" t="str">
        <f aca="false">IF(R43="","",Reconciliation!M44)</f>
        <v/>
      </c>
      <c r="N43" s="32" t="str">
        <f aca="false">IF(R43="","",Reconciliation!N44)</f>
        <v/>
      </c>
      <c r="O43" s="32" t="str">
        <f aca="false">IF(R43="","",Reconciliation!O44)</f>
        <v/>
      </c>
      <c r="P43" s="32" t="str">
        <f aca="false">IF(R43="","",Reconciliation!P44)</f>
        <v/>
      </c>
      <c r="Q43" s="32" t="str">
        <f aca="false">IF(R43="","",Reconciliation!Q44)</f>
        <v/>
      </c>
      <c r="R43" s="33" t="str">
        <f aca="false">IF(OR(Reconciliation!R44="✅ MATCH",Reconciliation!R44=""),"",Reconciliation!R44)</f>
        <v/>
      </c>
    </row>
    <row r="44" customFormat="false" ht="15" hidden="false" customHeight="true" outlineLevel="0" collapsed="false">
      <c r="A44" s="29" t="str">
        <f aca="false">IF(R44="","",Reconciliation!A45)</f>
        <v/>
      </c>
      <c r="B44" s="30" t="str">
        <f aca="false">IF(R44="","",Reconciliation!B45)</f>
        <v/>
      </c>
      <c r="C44" s="30" t="str">
        <f aca="false">IF(R44="","",Reconciliation!C45)</f>
        <v/>
      </c>
      <c r="D44" s="30" t="str">
        <f aca="false">IF(R44="","",Reconciliation!D45)</f>
        <v/>
      </c>
      <c r="E44" s="31" t="str">
        <f aca="false">IF(R44="","",Reconciliation!E45)</f>
        <v/>
      </c>
      <c r="F44" s="30" t="str">
        <f aca="false">IF(R44="","",Reconciliation!F45)</f>
        <v/>
      </c>
      <c r="G44" s="30" t="str">
        <f aca="false">IF(R44="","",Reconciliation!G45)</f>
        <v/>
      </c>
      <c r="H44" s="30" t="str">
        <f aca="false">IF(R44="","",Reconciliation!H45)</f>
        <v/>
      </c>
      <c r="I44" s="30" t="str">
        <f aca="false">IF(R44="","",Reconciliation!I45)</f>
        <v/>
      </c>
      <c r="J44" s="31" t="str">
        <f aca="false">IF(R44="","",Reconciliation!J45)</f>
        <v/>
      </c>
      <c r="K44" s="30" t="str">
        <f aca="false">IF(R44="","",Reconciliation!K45)</f>
        <v/>
      </c>
      <c r="L44" s="30" t="str">
        <f aca="false">IF(R44="","",Reconciliation!L45)</f>
        <v/>
      </c>
      <c r="M44" s="32" t="str">
        <f aca="false">IF(R44="","",Reconciliation!M45)</f>
        <v/>
      </c>
      <c r="N44" s="32" t="str">
        <f aca="false">IF(R44="","",Reconciliation!N45)</f>
        <v/>
      </c>
      <c r="O44" s="32" t="str">
        <f aca="false">IF(R44="","",Reconciliation!O45)</f>
        <v/>
      </c>
      <c r="P44" s="32" t="str">
        <f aca="false">IF(R44="","",Reconciliation!P45)</f>
        <v/>
      </c>
      <c r="Q44" s="32" t="str">
        <f aca="false">IF(R44="","",Reconciliation!Q45)</f>
        <v/>
      </c>
      <c r="R44" s="33" t="str">
        <f aca="false">IF(OR(Reconciliation!R45="✅ MATCH",Reconciliation!R45=""),"",Reconciliation!R45)</f>
        <v/>
      </c>
    </row>
    <row r="45" customFormat="false" ht="15" hidden="false" customHeight="true" outlineLevel="0" collapsed="false">
      <c r="A45" s="29" t="str">
        <f aca="false">IF(R45="","",Reconciliation!A46)</f>
        <v/>
      </c>
      <c r="B45" s="30" t="str">
        <f aca="false">IF(R45="","",Reconciliation!B46)</f>
        <v/>
      </c>
      <c r="C45" s="30" t="str">
        <f aca="false">IF(R45="","",Reconciliation!C46)</f>
        <v/>
      </c>
      <c r="D45" s="30" t="str">
        <f aca="false">IF(R45="","",Reconciliation!D46)</f>
        <v/>
      </c>
      <c r="E45" s="31" t="str">
        <f aca="false">IF(R45="","",Reconciliation!E46)</f>
        <v/>
      </c>
      <c r="F45" s="30" t="str">
        <f aca="false">IF(R45="","",Reconciliation!F46)</f>
        <v/>
      </c>
      <c r="G45" s="30" t="str">
        <f aca="false">IF(R45="","",Reconciliation!G46)</f>
        <v/>
      </c>
      <c r="H45" s="30" t="str">
        <f aca="false">IF(R45="","",Reconciliation!H46)</f>
        <v/>
      </c>
      <c r="I45" s="30" t="str">
        <f aca="false">IF(R45="","",Reconciliation!I46)</f>
        <v/>
      </c>
      <c r="J45" s="31" t="str">
        <f aca="false">IF(R45="","",Reconciliation!J46)</f>
        <v/>
      </c>
      <c r="K45" s="30" t="str">
        <f aca="false">IF(R45="","",Reconciliation!K46)</f>
        <v/>
      </c>
      <c r="L45" s="30" t="str">
        <f aca="false">IF(R45="","",Reconciliation!L46)</f>
        <v/>
      </c>
      <c r="M45" s="32" t="str">
        <f aca="false">IF(R45="","",Reconciliation!M46)</f>
        <v/>
      </c>
      <c r="N45" s="32" t="str">
        <f aca="false">IF(R45="","",Reconciliation!N46)</f>
        <v/>
      </c>
      <c r="O45" s="32" t="str">
        <f aca="false">IF(R45="","",Reconciliation!O46)</f>
        <v/>
      </c>
      <c r="P45" s="32" t="str">
        <f aca="false">IF(R45="","",Reconciliation!P46)</f>
        <v/>
      </c>
      <c r="Q45" s="32" t="str">
        <f aca="false">IF(R45="","",Reconciliation!Q46)</f>
        <v/>
      </c>
      <c r="R45" s="33" t="str">
        <f aca="false">IF(OR(Reconciliation!R46="✅ MATCH",Reconciliation!R46=""),"",Reconciliation!R46)</f>
        <v/>
      </c>
    </row>
    <row r="46" customFormat="false" ht="15" hidden="false" customHeight="true" outlineLevel="0" collapsed="false">
      <c r="A46" s="29" t="str">
        <f aca="false">IF(R46="","",Reconciliation!A47)</f>
        <v/>
      </c>
      <c r="B46" s="30" t="str">
        <f aca="false">IF(R46="","",Reconciliation!B47)</f>
        <v/>
      </c>
      <c r="C46" s="30" t="str">
        <f aca="false">IF(R46="","",Reconciliation!C47)</f>
        <v/>
      </c>
      <c r="D46" s="30" t="str">
        <f aca="false">IF(R46="","",Reconciliation!D47)</f>
        <v/>
      </c>
      <c r="E46" s="31" t="str">
        <f aca="false">IF(R46="","",Reconciliation!E47)</f>
        <v/>
      </c>
      <c r="F46" s="30" t="str">
        <f aca="false">IF(R46="","",Reconciliation!F47)</f>
        <v/>
      </c>
      <c r="G46" s="30" t="str">
        <f aca="false">IF(R46="","",Reconciliation!G47)</f>
        <v/>
      </c>
      <c r="H46" s="30" t="str">
        <f aca="false">IF(R46="","",Reconciliation!H47)</f>
        <v/>
      </c>
      <c r="I46" s="30" t="str">
        <f aca="false">IF(R46="","",Reconciliation!I47)</f>
        <v/>
      </c>
      <c r="J46" s="31" t="str">
        <f aca="false">IF(R46="","",Reconciliation!J47)</f>
        <v/>
      </c>
      <c r="K46" s="30" t="str">
        <f aca="false">IF(R46="","",Reconciliation!K47)</f>
        <v/>
      </c>
      <c r="L46" s="30" t="str">
        <f aca="false">IF(R46="","",Reconciliation!L47)</f>
        <v/>
      </c>
      <c r="M46" s="32" t="str">
        <f aca="false">IF(R46="","",Reconciliation!M47)</f>
        <v/>
      </c>
      <c r="N46" s="32" t="str">
        <f aca="false">IF(R46="","",Reconciliation!N47)</f>
        <v/>
      </c>
      <c r="O46" s="32" t="str">
        <f aca="false">IF(R46="","",Reconciliation!O47)</f>
        <v/>
      </c>
      <c r="P46" s="32" t="str">
        <f aca="false">IF(R46="","",Reconciliation!P47)</f>
        <v/>
      </c>
      <c r="Q46" s="32" t="str">
        <f aca="false">IF(R46="","",Reconciliation!Q47)</f>
        <v/>
      </c>
      <c r="R46" s="33" t="str">
        <f aca="false">IF(OR(Reconciliation!R47="✅ MATCH",Reconciliation!R47=""),"",Reconciliation!R47)</f>
        <v/>
      </c>
    </row>
    <row r="47" customFormat="false" ht="15" hidden="false" customHeight="true" outlineLevel="0" collapsed="false">
      <c r="A47" s="29" t="str">
        <f aca="false">IF(R47="","",Reconciliation!A48)</f>
        <v/>
      </c>
      <c r="B47" s="30" t="str">
        <f aca="false">IF(R47="","",Reconciliation!B48)</f>
        <v/>
      </c>
      <c r="C47" s="30" t="str">
        <f aca="false">IF(R47="","",Reconciliation!C48)</f>
        <v/>
      </c>
      <c r="D47" s="30" t="str">
        <f aca="false">IF(R47="","",Reconciliation!D48)</f>
        <v/>
      </c>
      <c r="E47" s="31" t="str">
        <f aca="false">IF(R47="","",Reconciliation!E48)</f>
        <v/>
      </c>
      <c r="F47" s="30" t="str">
        <f aca="false">IF(R47="","",Reconciliation!F48)</f>
        <v/>
      </c>
      <c r="G47" s="30" t="str">
        <f aca="false">IF(R47="","",Reconciliation!G48)</f>
        <v/>
      </c>
      <c r="H47" s="30" t="str">
        <f aca="false">IF(R47="","",Reconciliation!H48)</f>
        <v/>
      </c>
      <c r="I47" s="30" t="str">
        <f aca="false">IF(R47="","",Reconciliation!I48)</f>
        <v/>
      </c>
      <c r="J47" s="31" t="str">
        <f aca="false">IF(R47="","",Reconciliation!J48)</f>
        <v/>
      </c>
      <c r="K47" s="30" t="str">
        <f aca="false">IF(R47="","",Reconciliation!K48)</f>
        <v/>
      </c>
      <c r="L47" s="30" t="str">
        <f aca="false">IF(R47="","",Reconciliation!L48)</f>
        <v/>
      </c>
      <c r="M47" s="32" t="str">
        <f aca="false">IF(R47="","",Reconciliation!M48)</f>
        <v/>
      </c>
      <c r="N47" s="32" t="str">
        <f aca="false">IF(R47="","",Reconciliation!N48)</f>
        <v/>
      </c>
      <c r="O47" s="32" t="str">
        <f aca="false">IF(R47="","",Reconciliation!O48)</f>
        <v/>
      </c>
      <c r="P47" s="32" t="str">
        <f aca="false">IF(R47="","",Reconciliation!P48)</f>
        <v/>
      </c>
      <c r="Q47" s="32" t="str">
        <f aca="false">IF(R47="","",Reconciliation!Q48)</f>
        <v/>
      </c>
      <c r="R47" s="33" t="str">
        <f aca="false">IF(OR(Reconciliation!R48="✅ MATCH",Reconciliation!R48=""),"",Reconciliation!R48)</f>
        <v/>
      </c>
    </row>
    <row r="48" customFormat="false" ht="15" hidden="false" customHeight="true" outlineLevel="0" collapsed="false">
      <c r="A48" s="29" t="str">
        <f aca="false">IF(R48="","",Reconciliation!A49)</f>
        <v/>
      </c>
      <c r="B48" s="30" t="str">
        <f aca="false">IF(R48="","",Reconciliation!B49)</f>
        <v/>
      </c>
      <c r="C48" s="30" t="str">
        <f aca="false">IF(R48="","",Reconciliation!C49)</f>
        <v/>
      </c>
      <c r="D48" s="30" t="str">
        <f aca="false">IF(R48="","",Reconciliation!D49)</f>
        <v/>
      </c>
      <c r="E48" s="31" t="str">
        <f aca="false">IF(R48="","",Reconciliation!E49)</f>
        <v/>
      </c>
      <c r="F48" s="30" t="str">
        <f aca="false">IF(R48="","",Reconciliation!F49)</f>
        <v/>
      </c>
      <c r="G48" s="30" t="str">
        <f aca="false">IF(R48="","",Reconciliation!G49)</f>
        <v/>
      </c>
      <c r="H48" s="30" t="str">
        <f aca="false">IF(R48="","",Reconciliation!H49)</f>
        <v/>
      </c>
      <c r="I48" s="30" t="str">
        <f aca="false">IF(R48="","",Reconciliation!I49)</f>
        <v/>
      </c>
      <c r="J48" s="31" t="str">
        <f aca="false">IF(R48="","",Reconciliation!J49)</f>
        <v/>
      </c>
      <c r="K48" s="30" t="str">
        <f aca="false">IF(R48="","",Reconciliation!K49)</f>
        <v/>
      </c>
      <c r="L48" s="30" t="str">
        <f aca="false">IF(R48="","",Reconciliation!L49)</f>
        <v/>
      </c>
      <c r="M48" s="32" t="str">
        <f aca="false">IF(R48="","",Reconciliation!M49)</f>
        <v/>
      </c>
      <c r="N48" s="32" t="str">
        <f aca="false">IF(R48="","",Reconciliation!N49)</f>
        <v/>
      </c>
      <c r="O48" s="32" t="str">
        <f aca="false">IF(R48="","",Reconciliation!O49)</f>
        <v/>
      </c>
      <c r="P48" s="32" t="str">
        <f aca="false">IF(R48="","",Reconciliation!P49)</f>
        <v/>
      </c>
      <c r="Q48" s="32" t="str">
        <f aca="false">IF(R48="","",Reconciliation!Q49)</f>
        <v/>
      </c>
      <c r="R48" s="33" t="str">
        <f aca="false">IF(OR(Reconciliation!R49="✅ MATCH",Reconciliation!R49=""),"",Reconciliation!R49)</f>
        <v/>
      </c>
    </row>
    <row r="49" customFormat="false" ht="15" hidden="false" customHeight="true" outlineLevel="0" collapsed="false">
      <c r="A49" s="29" t="str">
        <f aca="false">IF(R49="","",Reconciliation!A50)</f>
        <v/>
      </c>
      <c r="B49" s="30" t="str">
        <f aca="false">IF(R49="","",Reconciliation!B50)</f>
        <v/>
      </c>
      <c r="C49" s="30" t="str">
        <f aca="false">IF(R49="","",Reconciliation!C50)</f>
        <v/>
      </c>
      <c r="D49" s="30" t="str">
        <f aca="false">IF(R49="","",Reconciliation!D50)</f>
        <v/>
      </c>
      <c r="E49" s="31" t="str">
        <f aca="false">IF(R49="","",Reconciliation!E50)</f>
        <v/>
      </c>
      <c r="F49" s="30" t="str">
        <f aca="false">IF(R49="","",Reconciliation!F50)</f>
        <v/>
      </c>
      <c r="G49" s="30" t="str">
        <f aca="false">IF(R49="","",Reconciliation!G50)</f>
        <v/>
      </c>
      <c r="H49" s="30" t="str">
        <f aca="false">IF(R49="","",Reconciliation!H50)</f>
        <v/>
      </c>
      <c r="I49" s="30" t="str">
        <f aca="false">IF(R49="","",Reconciliation!I50)</f>
        <v/>
      </c>
      <c r="J49" s="31" t="str">
        <f aca="false">IF(R49="","",Reconciliation!J50)</f>
        <v/>
      </c>
      <c r="K49" s="30" t="str">
        <f aca="false">IF(R49="","",Reconciliation!K50)</f>
        <v/>
      </c>
      <c r="L49" s="30" t="str">
        <f aca="false">IF(R49="","",Reconciliation!L50)</f>
        <v/>
      </c>
      <c r="M49" s="32" t="str">
        <f aca="false">IF(R49="","",Reconciliation!M50)</f>
        <v/>
      </c>
      <c r="N49" s="32" t="str">
        <f aca="false">IF(R49="","",Reconciliation!N50)</f>
        <v/>
      </c>
      <c r="O49" s="32" t="str">
        <f aca="false">IF(R49="","",Reconciliation!O50)</f>
        <v/>
      </c>
      <c r="P49" s="32" t="str">
        <f aca="false">IF(R49="","",Reconciliation!P50)</f>
        <v/>
      </c>
      <c r="Q49" s="32" t="str">
        <f aca="false">IF(R49="","",Reconciliation!Q50)</f>
        <v/>
      </c>
      <c r="R49" s="33" t="str">
        <f aca="false">IF(OR(Reconciliation!R50="✅ MATCH",Reconciliation!R50=""),"",Reconciliation!R50)</f>
        <v/>
      </c>
    </row>
    <row r="50" customFormat="false" ht="15" hidden="false" customHeight="true" outlineLevel="0" collapsed="false">
      <c r="A50" s="29" t="str">
        <f aca="false">IF(R50="","",Reconciliation!A51)</f>
        <v/>
      </c>
      <c r="B50" s="30" t="str">
        <f aca="false">IF(R50="","",Reconciliation!B51)</f>
        <v/>
      </c>
      <c r="C50" s="30" t="str">
        <f aca="false">IF(R50="","",Reconciliation!C51)</f>
        <v/>
      </c>
      <c r="D50" s="30" t="str">
        <f aca="false">IF(R50="","",Reconciliation!D51)</f>
        <v/>
      </c>
      <c r="E50" s="31" t="str">
        <f aca="false">IF(R50="","",Reconciliation!E51)</f>
        <v/>
      </c>
      <c r="F50" s="30" t="str">
        <f aca="false">IF(R50="","",Reconciliation!F51)</f>
        <v/>
      </c>
      <c r="G50" s="30" t="str">
        <f aca="false">IF(R50="","",Reconciliation!G51)</f>
        <v/>
      </c>
      <c r="H50" s="30" t="str">
        <f aca="false">IF(R50="","",Reconciliation!H51)</f>
        <v/>
      </c>
      <c r="I50" s="30" t="str">
        <f aca="false">IF(R50="","",Reconciliation!I51)</f>
        <v/>
      </c>
      <c r="J50" s="31" t="str">
        <f aca="false">IF(R50="","",Reconciliation!J51)</f>
        <v/>
      </c>
      <c r="K50" s="30" t="str">
        <f aca="false">IF(R50="","",Reconciliation!K51)</f>
        <v/>
      </c>
      <c r="L50" s="30" t="str">
        <f aca="false">IF(R50="","",Reconciliation!L51)</f>
        <v/>
      </c>
      <c r="M50" s="32" t="str">
        <f aca="false">IF(R50="","",Reconciliation!M51)</f>
        <v/>
      </c>
      <c r="N50" s="32" t="str">
        <f aca="false">IF(R50="","",Reconciliation!N51)</f>
        <v/>
      </c>
      <c r="O50" s="32" t="str">
        <f aca="false">IF(R50="","",Reconciliation!O51)</f>
        <v/>
      </c>
      <c r="P50" s="32" t="str">
        <f aca="false">IF(R50="","",Reconciliation!P51)</f>
        <v/>
      </c>
      <c r="Q50" s="32" t="str">
        <f aca="false">IF(R50="","",Reconciliation!Q51)</f>
        <v/>
      </c>
      <c r="R50" s="33" t="str">
        <f aca="false">IF(OR(Reconciliation!R51="✅ MATCH",Reconciliation!R51=""),"",Reconciliation!R51)</f>
        <v/>
      </c>
    </row>
    <row r="51" customFormat="false" ht="15" hidden="false" customHeight="true" outlineLevel="0" collapsed="false">
      <c r="A51" s="29" t="str">
        <f aca="false">IF(R51="","",Reconciliation!A52)</f>
        <v/>
      </c>
      <c r="B51" s="30" t="str">
        <f aca="false">IF(R51="","",Reconciliation!B52)</f>
        <v/>
      </c>
      <c r="C51" s="30" t="str">
        <f aca="false">IF(R51="","",Reconciliation!C52)</f>
        <v/>
      </c>
      <c r="D51" s="30" t="str">
        <f aca="false">IF(R51="","",Reconciliation!D52)</f>
        <v/>
      </c>
      <c r="E51" s="31" t="str">
        <f aca="false">IF(R51="","",Reconciliation!E52)</f>
        <v/>
      </c>
      <c r="F51" s="30" t="str">
        <f aca="false">IF(R51="","",Reconciliation!F52)</f>
        <v/>
      </c>
      <c r="G51" s="30" t="str">
        <f aca="false">IF(R51="","",Reconciliation!G52)</f>
        <v/>
      </c>
      <c r="H51" s="30" t="str">
        <f aca="false">IF(R51="","",Reconciliation!H52)</f>
        <v/>
      </c>
      <c r="I51" s="30" t="str">
        <f aca="false">IF(R51="","",Reconciliation!I52)</f>
        <v/>
      </c>
      <c r="J51" s="31" t="str">
        <f aca="false">IF(R51="","",Reconciliation!J52)</f>
        <v/>
      </c>
      <c r="K51" s="30" t="str">
        <f aca="false">IF(R51="","",Reconciliation!K52)</f>
        <v/>
      </c>
      <c r="L51" s="30" t="str">
        <f aca="false">IF(R51="","",Reconciliation!L52)</f>
        <v/>
      </c>
      <c r="M51" s="32" t="str">
        <f aca="false">IF(R51="","",Reconciliation!M52)</f>
        <v/>
      </c>
      <c r="N51" s="32" t="str">
        <f aca="false">IF(R51="","",Reconciliation!N52)</f>
        <v/>
      </c>
      <c r="O51" s="32" t="str">
        <f aca="false">IF(R51="","",Reconciliation!O52)</f>
        <v/>
      </c>
      <c r="P51" s="32" t="str">
        <f aca="false">IF(R51="","",Reconciliation!P52)</f>
        <v/>
      </c>
      <c r="Q51" s="32" t="str">
        <f aca="false">IF(R51="","",Reconciliation!Q52)</f>
        <v/>
      </c>
      <c r="R51" s="33" t="str">
        <f aca="false">IF(OR(Reconciliation!R52="✅ MATCH",Reconciliation!R52=""),"",Reconciliation!R52)</f>
        <v/>
      </c>
    </row>
    <row r="52" customFormat="false" ht="15" hidden="false" customHeight="true" outlineLevel="0" collapsed="false">
      <c r="A52" s="29" t="str">
        <f aca="false">IF(R52="","",Reconciliation!A53)</f>
        <v/>
      </c>
      <c r="B52" s="30" t="str">
        <f aca="false">IF(R52="","",Reconciliation!B53)</f>
        <v/>
      </c>
      <c r="C52" s="30" t="str">
        <f aca="false">IF(R52="","",Reconciliation!C53)</f>
        <v/>
      </c>
      <c r="D52" s="30" t="str">
        <f aca="false">IF(R52="","",Reconciliation!D53)</f>
        <v/>
      </c>
      <c r="E52" s="31" t="str">
        <f aca="false">IF(R52="","",Reconciliation!E53)</f>
        <v/>
      </c>
      <c r="F52" s="30" t="str">
        <f aca="false">IF(R52="","",Reconciliation!F53)</f>
        <v/>
      </c>
      <c r="G52" s="30" t="str">
        <f aca="false">IF(R52="","",Reconciliation!G53)</f>
        <v/>
      </c>
      <c r="H52" s="30" t="str">
        <f aca="false">IF(R52="","",Reconciliation!H53)</f>
        <v/>
      </c>
      <c r="I52" s="30" t="str">
        <f aca="false">IF(R52="","",Reconciliation!I53)</f>
        <v/>
      </c>
      <c r="J52" s="31" t="str">
        <f aca="false">IF(R52="","",Reconciliation!J53)</f>
        <v/>
      </c>
      <c r="K52" s="30" t="str">
        <f aca="false">IF(R52="","",Reconciliation!K53)</f>
        <v/>
      </c>
      <c r="L52" s="30" t="str">
        <f aca="false">IF(R52="","",Reconciliation!L53)</f>
        <v/>
      </c>
      <c r="M52" s="32" t="str">
        <f aca="false">IF(R52="","",Reconciliation!M53)</f>
        <v/>
      </c>
      <c r="N52" s="32" t="str">
        <f aca="false">IF(R52="","",Reconciliation!N53)</f>
        <v/>
      </c>
      <c r="O52" s="32" t="str">
        <f aca="false">IF(R52="","",Reconciliation!O53)</f>
        <v/>
      </c>
      <c r="P52" s="32" t="str">
        <f aca="false">IF(R52="","",Reconciliation!P53)</f>
        <v/>
      </c>
      <c r="Q52" s="32" t="str">
        <f aca="false">IF(R52="","",Reconciliation!Q53)</f>
        <v/>
      </c>
      <c r="R52" s="33" t="str">
        <f aca="false">IF(OR(Reconciliation!R53="✅ MATCH",Reconciliation!R53=""),"",Reconciliation!R53)</f>
        <v/>
      </c>
    </row>
    <row r="53" customFormat="false" ht="15" hidden="false" customHeight="true" outlineLevel="0" collapsed="false">
      <c r="A53" s="29" t="str">
        <f aca="false">IF(R53="","",Reconciliation!A54)</f>
        <v/>
      </c>
      <c r="B53" s="30" t="str">
        <f aca="false">IF(R53="","",Reconciliation!B54)</f>
        <v/>
      </c>
      <c r="C53" s="30" t="str">
        <f aca="false">IF(R53="","",Reconciliation!C54)</f>
        <v/>
      </c>
      <c r="D53" s="30" t="str">
        <f aca="false">IF(R53="","",Reconciliation!D54)</f>
        <v/>
      </c>
      <c r="E53" s="31" t="str">
        <f aca="false">IF(R53="","",Reconciliation!E54)</f>
        <v/>
      </c>
      <c r="F53" s="30" t="str">
        <f aca="false">IF(R53="","",Reconciliation!F54)</f>
        <v/>
      </c>
      <c r="G53" s="30" t="str">
        <f aca="false">IF(R53="","",Reconciliation!G54)</f>
        <v/>
      </c>
      <c r="H53" s="30" t="str">
        <f aca="false">IF(R53="","",Reconciliation!H54)</f>
        <v/>
      </c>
      <c r="I53" s="30" t="str">
        <f aca="false">IF(R53="","",Reconciliation!I54)</f>
        <v/>
      </c>
      <c r="J53" s="31" t="str">
        <f aca="false">IF(R53="","",Reconciliation!J54)</f>
        <v/>
      </c>
      <c r="K53" s="30" t="str">
        <f aca="false">IF(R53="","",Reconciliation!K54)</f>
        <v/>
      </c>
      <c r="L53" s="30" t="str">
        <f aca="false">IF(R53="","",Reconciliation!L54)</f>
        <v/>
      </c>
      <c r="M53" s="32" t="str">
        <f aca="false">IF(R53="","",Reconciliation!M54)</f>
        <v/>
      </c>
      <c r="N53" s="32" t="str">
        <f aca="false">IF(R53="","",Reconciliation!N54)</f>
        <v/>
      </c>
      <c r="O53" s="32" t="str">
        <f aca="false">IF(R53="","",Reconciliation!O54)</f>
        <v/>
      </c>
      <c r="P53" s="32" t="str">
        <f aca="false">IF(R53="","",Reconciliation!P54)</f>
        <v/>
      </c>
      <c r="Q53" s="32" t="str">
        <f aca="false">IF(R53="","",Reconciliation!Q54)</f>
        <v/>
      </c>
      <c r="R53" s="33" t="str">
        <f aca="false">IF(OR(Reconciliation!R54="✅ MATCH",Reconciliation!R54=""),"",Reconciliation!R54)</f>
        <v/>
      </c>
    </row>
    <row r="54" customFormat="false" ht="15" hidden="false" customHeight="true" outlineLevel="0" collapsed="false">
      <c r="A54" s="29" t="str">
        <f aca="false">IF(R54="","",Reconciliation!A55)</f>
        <v/>
      </c>
      <c r="B54" s="30" t="str">
        <f aca="false">IF(R54="","",Reconciliation!B55)</f>
        <v/>
      </c>
      <c r="C54" s="30" t="str">
        <f aca="false">IF(R54="","",Reconciliation!C55)</f>
        <v/>
      </c>
      <c r="D54" s="30" t="str">
        <f aca="false">IF(R54="","",Reconciliation!D55)</f>
        <v/>
      </c>
      <c r="E54" s="31" t="str">
        <f aca="false">IF(R54="","",Reconciliation!E55)</f>
        <v/>
      </c>
      <c r="F54" s="30" t="str">
        <f aca="false">IF(R54="","",Reconciliation!F55)</f>
        <v/>
      </c>
      <c r="G54" s="30" t="str">
        <f aca="false">IF(R54="","",Reconciliation!G55)</f>
        <v/>
      </c>
      <c r="H54" s="30" t="str">
        <f aca="false">IF(R54="","",Reconciliation!H55)</f>
        <v/>
      </c>
      <c r="I54" s="30" t="str">
        <f aca="false">IF(R54="","",Reconciliation!I55)</f>
        <v/>
      </c>
      <c r="J54" s="31" t="str">
        <f aca="false">IF(R54="","",Reconciliation!J55)</f>
        <v/>
      </c>
      <c r="K54" s="30" t="str">
        <f aca="false">IF(R54="","",Reconciliation!K55)</f>
        <v/>
      </c>
      <c r="L54" s="30" t="str">
        <f aca="false">IF(R54="","",Reconciliation!L55)</f>
        <v/>
      </c>
      <c r="M54" s="32" t="str">
        <f aca="false">IF(R54="","",Reconciliation!M55)</f>
        <v/>
      </c>
      <c r="N54" s="32" t="str">
        <f aca="false">IF(R54="","",Reconciliation!N55)</f>
        <v/>
      </c>
      <c r="O54" s="32" t="str">
        <f aca="false">IF(R54="","",Reconciliation!O55)</f>
        <v/>
      </c>
      <c r="P54" s="32" t="str">
        <f aca="false">IF(R54="","",Reconciliation!P55)</f>
        <v/>
      </c>
      <c r="Q54" s="32" t="str">
        <f aca="false">IF(R54="","",Reconciliation!Q55)</f>
        <v/>
      </c>
      <c r="R54" s="33" t="str">
        <f aca="false">IF(OR(Reconciliation!R55="✅ MATCH",Reconciliation!R55=""),"",Reconciliation!R55)</f>
        <v/>
      </c>
    </row>
    <row r="55" customFormat="false" ht="15" hidden="false" customHeight="true" outlineLevel="0" collapsed="false">
      <c r="A55" s="29" t="str">
        <f aca="false">IF(R55="","",Reconciliation!A56)</f>
        <v/>
      </c>
      <c r="B55" s="30" t="str">
        <f aca="false">IF(R55="","",Reconciliation!B56)</f>
        <v/>
      </c>
      <c r="C55" s="30" t="str">
        <f aca="false">IF(R55="","",Reconciliation!C56)</f>
        <v/>
      </c>
      <c r="D55" s="30" t="str">
        <f aca="false">IF(R55="","",Reconciliation!D56)</f>
        <v/>
      </c>
      <c r="E55" s="31" t="str">
        <f aca="false">IF(R55="","",Reconciliation!E56)</f>
        <v/>
      </c>
      <c r="F55" s="30" t="str">
        <f aca="false">IF(R55="","",Reconciliation!F56)</f>
        <v/>
      </c>
      <c r="G55" s="30" t="str">
        <f aca="false">IF(R55="","",Reconciliation!G56)</f>
        <v/>
      </c>
      <c r="H55" s="30" t="str">
        <f aca="false">IF(R55="","",Reconciliation!H56)</f>
        <v/>
      </c>
      <c r="I55" s="30" t="str">
        <f aca="false">IF(R55="","",Reconciliation!I56)</f>
        <v/>
      </c>
      <c r="J55" s="31" t="str">
        <f aca="false">IF(R55="","",Reconciliation!J56)</f>
        <v/>
      </c>
      <c r="K55" s="30" t="str">
        <f aca="false">IF(R55="","",Reconciliation!K56)</f>
        <v/>
      </c>
      <c r="L55" s="30" t="str">
        <f aca="false">IF(R55="","",Reconciliation!L56)</f>
        <v/>
      </c>
      <c r="M55" s="32" t="str">
        <f aca="false">IF(R55="","",Reconciliation!M56)</f>
        <v/>
      </c>
      <c r="N55" s="32" t="str">
        <f aca="false">IF(R55="","",Reconciliation!N56)</f>
        <v/>
      </c>
      <c r="O55" s="32" t="str">
        <f aca="false">IF(R55="","",Reconciliation!O56)</f>
        <v/>
      </c>
      <c r="P55" s="32" t="str">
        <f aca="false">IF(R55="","",Reconciliation!P56)</f>
        <v/>
      </c>
      <c r="Q55" s="32" t="str">
        <f aca="false">IF(R55="","",Reconciliation!Q56)</f>
        <v/>
      </c>
      <c r="R55" s="33" t="str">
        <f aca="false">IF(OR(Reconciliation!R56="✅ MATCH",Reconciliation!R56=""),"",Reconciliation!R56)</f>
        <v/>
      </c>
    </row>
    <row r="56" customFormat="false" ht="15" hidden="false" customHeight="true" outlineLevel="0" collapsed="false">
      <c r="A56" s="29" t="str">
        <f aca="false">IF(R56="","",Reconciliation!A57)</f>
        <v/>
      </c>
      <c r="B56" s="30" t="str">
        <f aca="false">IF(R56="","",Reconciliation!B57)</f>
        <v/>
      </c>
      <c r="C56" s="30" t="str">
        <f aca="false">IF(R56="","",Reconciliation!C57)</f>
        <v/>
      </c>
      <c r="D56" s="30" t="str">
        <f aca="false">IF(R56="","",Reconciliation!D57)</f>
        <v/>
      </c>
      <c r="E56" s="31" t="str">
        <f aca="false">IF(R56="","",Reconciliation!E57)</f>
        <v/>
      </c>
      <c r="F56" s="30" t="str">
        <f aca="false">IF(R56="","",Reconciliation!F57)</f>
        <v/>
      </c>
      <c r="G56" s="30" t="str">
        <f aca="false">IF(R56="","",Reconciliation!G57)</f>
        <v/>
      </c>
      <c r="H56" s="30" t="str">
        <f aca="false">IF(R56="","",Reconciliation!H57)</f>
        <v/>
      </c>
      <c r="I56" s="30" t="str">
        <f aca="false">IF(R56="","",Reconciliation!I57)</f>
        <v/>
      </c>
      <c r="J56" s="31" t="str">
        <f aca="false">IF(R56="","",Reconciliation!J57)</f>
        <v/>
      </c>
      <c r="K56" s="30" t="str">
        <f aca="false">IF(R56="","",Reconciliation!K57)</f>
        <v/>
      </c>
      <c r="L56" s="30" t="str">
        <f aca="false">IF(R56="","",Reconciliation!L57)</f>
        <v/>
      </c>
      <c r="M56" s="32" t="str">
        <f aca="false">IF(R56="","",Reconciliation!M57)</f>
        <v/>
      </c>
      <c r="N56" s="32" t="str">
        <f aca="false">IF(R56="","",Reconciliation!N57)</f>
        <v/>
      </c>
      <c r="O56" s="32" t="str">
        <f aca="false">IF(R56="","",Reconciliation!O57)</f>
        <v/>
      </c>
      <c r="P56" s="32" t="str">
        <f aca="false">IF(R56="","",Reconciliation!P57)</f>
        <v/>
      </c>
      <c r="Q56" s="32" t="str">
        <f aca="false">IF(R56="","",Reconciliation!Q57)</f>
        <v/>
      </c>
      <c r="R56" s="33" t="str">
        <f aca="false">IF(OR(Reconciliation!R57="✅ MATCH",Reconciliation!R57=""),"",Reconciliation!R57)</f>
        <v/>
      </c>
    </row>
    <row r="57" customFormat="false" ht="15" hidden="false" customHeight="true" outlineLevel="0" collapsed="false">
      <c r="A57" s="29" t="str">
        <f aca="false">IF(R57="","",Reconciliation!A58)</f>
        <v/>
      </c>
      <c r="B57" s="30" t="str">
        <f aca="false">IF(R57="","",Reconciliation!B58)</f>
        <v/>
      </c>
      <c r="C57" s="30" t="str">
        <f aca="false">IF(R57="","",Reconciliation!C58)</f>
        <v/>
      </c>
      <c r="D57" s="30" t="str">
        <f aca="false">IF(R57="","",Reconciliation!D58)</f>
        <v/>
      </c>
      <c r="E57" s="31" t="str">
        <f aca="false">IF(R57="","",Reconciliation!E58)</f>
        <v/>
      </c>
      <c r="F57" s="30" t="str">
        <f aca="false">IF(R57="","",Reconciliation!F58)</f>
        <v/>
      </c>
      <c r="G57" s="30" t="str">
        <f aca="false">IF(R57="","",Reconciliation!G58)</f>
        <v/>
      </c>
      <c r="H57" s="30" t="str">
        <f aca="false">IF(R57="","",Reconciliation!H58)</f>
        <v/>
      </c>
      <c r="I57" s="30" t="str">
        <f aca="false">IF(R57="","",Reconciliation!I58)</f>
        <v/>
      </c>
      <c r="J57" s="31" t="str">
        <f aca="false">IF(R57="","",Reconciliation!J58)</f>
        <v/>
      </c>
      <c r="K57" s="30" t="str">
        <f aca="false">IF(R57="","",Reconciliation!K58)</f>
        <v/>
      </c>
      <c r="L57" s="30" t="str">
        <f aca="false">IF(R57="","",Reconciliation!L58)</f>
        <v/>
      </c>
      <c r="M57" s="32" t="str">
        <f aca="false">IF(R57="","",Reconciliation!M58)</f>
        <v/>
      </c>
      <c r="N57" s="32" t="str">
        <f aca="false">IF(R57="","",Reconciliation!N58)</f>
        <v/>
      </c>
      <c r="O57" s="32" t="str">
        <f aca="false">IF(R57="","",Reconciliation!O58)</f>
        <v/>
      </c>
      <c r="P57" s="32" t="str">
        <f aca="false">IF(R57="","",Reconciliation!P58)</f>
        <v/>
      </c>
      <c r="Q57" s="32" t="str">
        <f aca="false">IF(R57="","",Reconciliation!Q58)</f>
        <v/>
      </c>
      <c r="R57" s="33" t="str">
        <f aca="false">IF(OR(Reconciliation!R58="✅ MATCH",Reconciliation!R58=""),"",Reconciliation!R58)</f>
        <v/>
      </c>
    </row>
    <row r="58" customFormat="false" ht="15" hidden="false" customHeight="true" outlineLevel="0" collapsed="false">
      <c r="A58" s="29" t="str">
        <f aca="false">IF(R58="","",Reconciliation!A59)</f>
        <v/>
      </c>
      <c r="B58" s="30" t="str">
        <f aca="false">IF(R58="","",Reconciliation!B59)</f>
        <v/>
      </c>
      <c r="C58" s="30" t="str">
        <f aca="false">IF(R58="","",Reconciliation!C59)</f>
        <v/>
      </c>
      <c r="D58" s="30" t="str">
        <f aca="false">IF(R58="","",Reconciliation!D59)</f>
        <v/>
      </c>
      <c r="E58" s="31" t="str">
        <f aca="false">IF(R58="","",Reconciliation!E59)</f>
        <v/>
      </c>
      <c r="F58" s="30" t="str">
        <f aca="false">IF(R58="","",Reconciliation!F59)</f>
        <v/>
      </c>
      <c r="G58" s="30" t="str">
        <f aca="false">IF(R58="","",Reconciliation!G59)</f>
        <v/>
      </c>
      <c r="H58" s="30" t="str">
        <f aca="false">IF(R58="","",Reconciliation!H59)</f>
        <v/>
      </c>
      <c r="I58" s="30" t="str">
        <f aca="false">IF(R58="","",Reconciliation!I59)</f>
        <v/>
      </c>
      <c r="J58" s="31" t="str">
        <f aca="false">IF(R58="","",Reconciliation!J59)</f>
        <v/>
      </c>
      <c r="K58" s="30" t="str">
        <f aca="false">IF(R58="","",Reconciliation!K59)</f>
        <v/>
      </c>
      <c r="L58" s="30" t="str">
        <f aca="false">IF(R58="","",Reconciliation!L59)</f>
        <v/>
      </c>
      <c r="M58" s="32" t="str">
        <f aca="false">IF(R58="","",Reconciliation!M59)</f>
        <v/>
      </c>
      <c r="N58" s="32" t="str">
        <f aca="false">IF(R58="","",Reconciliation!N59)</f>
        <v/>
      </c>
      <c r="O58" s="32" t="str">
        <f aca="false">IF(R58="","",Reconciliation!O59)</f>
        <v/>
      </c>
      <c r="P58" s="32" t="str">
        <f aca="false">IF(R58="","",Reconciliation!P59)</f>
        <v/>
      </c>
      <c r="Q58" s="32" t="str">
        <f aca="false">IF(R58="","",Reconciliation!Q59)</f>
        <v/>
      </c>
      <c r="R58" s="33" t="str">
        <f aca="false">IF(OR(Reconciliation!R59="✅ MATCH",Reconciliation!R59=""),"",Reconciliation!R59)</f>
        <v/>
      </c>
    </row>
    <row r="59" customFormat="false" ht="15" hidden="false" customHeight="true" outlineLevel="0" collapsed="false">
      <c r="A59" s="29" t="str">
        <f aca="false">IF(R59="","",Reconciliation!A60)</f>
        <v/>
      </c>
      <c r="B59" s="30" t="str">
        <f aca="false">IF(R59="","",Reconciliation!B60)</f>
        <v/>
      </c>
      <c r="C59" s="30" t="str">
        <f aca="false">IF(R59="","",Reconciliation!C60)</f>
        <v/>
      </c>
      <c r="D59" s="30" t="str">
        <f aca="false">IF(R59="","",Reconciliation!D60)</f>
        <v/>
      </c>
      <c r="E59" s="31" t="str">
        <f aca="false">IF(R59="","",Reconciliation!E60)</f>
        <v/>
      </c>
      <c r="F59" s="30" t="str">
        <f aca="false">IF(R59="","",Reconciliation!F60)</f>
        <v/>
      </c>
      <c r="G59" s="30" t="str">
        <f aca="false">IF(R59="","",Reconciliation!G60)</f>
        <v/>
      </c>
      <c r="H59" s="30" t="str">
        <f aca="false">IF(R59="","",Reconciliation!H60)</f>
        <v/>
      </c>
      <c r="I59" s="30" t="str">
        <f aca="false">IF(R59="","",Reconciliation!I60)</f>
        <v/>
      </c>
      <c r="J59" s="31" t="str">
        <f aca="false">IF(R59="","",Reconciliation!J60)</f>
        <v/>
      </c>
      <c r="K59" s="30" t="str">
        <f aca="false">IF(R59="","",Reconciliation!K60)</f>
        <v/>
      </c>
      <c r="L59" s="30" t="str">
        <f aca="false">IF(R59="","",Reconciliation!L60)</f>
        <v/>
      </c>
      <c r="M59" s="32" t="str">
        <f aca="false">IF(R59="","",Reconciliation!M60)</f>
        <v/>
      </c>
      <c r="N59" s="32" t="str">
        <f aca="false">IF(R59="","",Reconciliation!N60)</f>
        <v/>
      </c>
      <c r="O59" s="32" t="str">
        <f aca="false">IF(R59="","",Reconciliation!O60)</f>
        <v/>
      </c>
      <c r="P59" s="32" t="str">
        <f aca="false">IF(R59="","",Reconciliation!P60)</f>
        <v/>
      </c>
      <c r="Q59" s="32" t="str">
        <f aca="false">IF(R59="","",Reconciliation!Q60)</f>
        <v/>
      </c>
      <c r="R59" s="33" t="str">
        <f aca="false">IF(OR(Reconciliation!R60="✅ MATCH",Reconciliation!R60=""),"",Reconciliation!R60)</f>
        <v/>
      </c>
    </row>
    <row r="60" customFormat="false" ht="15" hidden="false" customHeight="true" outlineLevel="0" collapsed="false">
      <c r="A60" s="29" t="str">
        <f aca="false">IF(R60="","",Reconciliation!A61)</f>
        <v/>
      </c>
      <c r="B60" s="30" t="str">
        <f aca="false">IF(R60="","",Reconciliation!B61)</f>
        <v/>
      </c>
      <c r="C60" s="30" t="str">
        <f aca="false">IF(R60="","",Reconciliation!C61)</f>
        <v/>
      </c>
      <c r="D60" s="30" t="str">
        <f aca="false">IF(R60="","",Reconciliation!D61)</f>
        <v/>
      </c>
      <c r="E60" s="31" t="str">
        <f aca="false">IF(R60="","",Reconciliation!E61)</f>
        <v/>
      </c>
      <c r="F60" s="30" t="str">
        <f aca="false">IF(R60="","",Reconciliation!F61)</f>
        <v/>
      </c>
      <c r="G60" s="30" t="str">
        <f aca="false">IF(R60="","",Reconciliation!G61)</f>
        <v/>
      </c>
      <c r="H60" s="30" t="str">
        <f aca="false">IF(R60="","",Reconciliation!H61)</f>
        <v/>
      </c>
      <c r="I60" s="30" t="str">
        <f aca="false">IF(R60="","",Reconciliation!I61)</f>
        <v/>
      </c>
      <c r="J60" s="31" t="str">
        <f aca="false">IF(R60="","",Reconciliation!J61)</f>
        <v/>
      </c>
      <c r="K60" s="30" t="str">
        <f aca="false">IF(R60="","",Reconciliation!K61)</f>
        <v/>
      </c>
      <c r="L60" s="30" t="str">
        <f aca="false">IF(R60="","",Reconciliation!L61)</f>
        <v/>
      </c>
      <c r="M60" s="32" t="str">
        <f aca="false">IF(R60="","",Reconciliation!M61)</f>
        <v/>
      </c>
      <c r="N60" s="32" t="str">
        <f aca="false">IF(R60="","",Reconciliation!N61)</f>
        <v/>
      </c>
      <c r="O60" s="32" t="str">
        <f aca="false">IF(R60="","",Reconciliation!O61)</f>
        <v/>
      </c>
      <c r="P60" s="32" t="str">
        <f aca="false">IF(R60="","",Reconciliation!P61)</f>
        <v/>
      </c>
      <c r="Q60" s="32" t="str">
        <f aca="false">IF(R60="","",Reconciliation!Q61)</f>
        <v/>
      </c>
      <c r="R60" s="33" t="str">
        <f aca="false">IF(OR(Reconciliation!R61="✅ MATCH",Reconciliation!R61=""),"",Reconciliation!R61)</f>
        <v/>
      </c>
    </row>
    <row r="61" customFormat="false" ht="15" hidden="false" customHeight="true" outlineLevel="0" collapsed="false">
      <c r="A61" s="29" t="str">
        <f aca="false">IF(R61="","",Reconciliation!A62)</f>
        <v/>
      </c>
      <c r="B61" s="30" t="str">
        <f aca="false">IF(R61="","",Reconciliation!B62)</f>
        <v/>
      </c>
      <c r="C61" s="30" t="str">
        <f aca="false">IF(R61="","",Reconciliation!C62)</f>
        <v/>
      </c>
      <c r="D61" s="30" t="str">
        <f aca="false">IF(R61="","",Reconciliation!D62)</f>
        <v/>
      </c>
      <c r="E61" s="31" t="str">
        <f aca="false">IF(R61="","",Reconciliation!E62)</f>
        <v/>
      </c>
      <c r="F61" s="30" t="str">
        <f aca="false">IF(R61="","",Reconciliation!F62)</f>
        <v/>
      </c>
      <c r="G61" s="30" t="str">
        <f aca="false">IF(R61="","",Reconciliation!G62)</f>
        <v/>
      </c>
      <c r="H61" s="30" t="str">
        <f aca="false">IF(R61="","",Reconciliation!H62)</f>
        <v/>
      </c>
      <c r="I61" s="30" t="str">
        <f aca="false">IF(R61="","",Reconciliation!I62)</f>
        <v/>
      </c>
      <c r="J61" s="31" t="str">
        <f aca="false">IF(R61="","",Reconciliation!J62)</f>
        <v/>
      </c>
      <c r="K61" s="30" t="str">
        <f aca="false">IF(R61="","",Reconciliation!K62)</f>
        <v/>
      </c>
      <c r="L61" s="30" t="str">
        <f aca="false">IF(R61="","",Reconciliation!L62)</f>
        <v/>
      </c>
      <c r="M61" s="32" t="str">
        <f aca="false">IF(R61="","",Reconciliation!M62)</f>
        <v/>
      </c>
      <c r="N61" s="32" t="str">
        <f aca="false">IF(R61="","",Reconciliation!N62)</f>
        <v/>
      </c>
      <c r="O61" s="32" t="str">
        <f aca="false">IF(R61="","",Reconciliation!O62)</f>
        <v/>
      </c>
      <c r="P61" s="32" t="str">
        <f aca="false">IF(R61="","",Reconciliation!P62)</f>
        <v/>
      </c>
      <c r="Q61" s="32" t="str">
        <f aca="false">IF(R61="","",Reconciliation!Q62)</f>
        <v/>
      </c>
      <c r="R61" s="33" t="str">
        <f aca="false">IF(OR(Reconciliation!R62="✅ MATCH",Reconciliation!R62=""),"",Reconciliation!R62)</f>
        <v/>
      </c>
    </row>
    <row r="62" customFormat="false" ht="15" hidden="false" customHeight="true" outlineLevel="0" collapsed="false">
      <c r="A62" s="29" t="str">
        <f aca="false">IF(R62="","",Reconciliation!A63)</f>
        <v/>
      </c>
      <c r="B62" s="30" t="str">
        <f aca="false">IF(R62="","",Reconciliation!B63)</f>
        <v/>
      </c>
      <c r="C62" s="30" t="str">
        <f aca="false">IF(R62="","",Reconciliation!C63)</f>
        <v/>
      </c>
      <c r="D62" s="30" t="str">
        <f aca="false">IF(R62="","",Reconciliation!D63)</f>
        <v/>
      </c>
      <c r="E62" s="31" t="str">
        <f aca="false">IF(R62="","",Reconciliation!E63)</f>
        <v/>
      </c>
      <c r="F62" s="30" t="str">
        <f aca="false">IF(R62="","",Reconciliation!F63)</f>
        <v/>
      </c>
      <c r="G62" s="30" t="str">
        <f aca="false">IF(R62="","",Reconciliation!G63)</f>
        <v/>
      </c>
      <c r="H62" s="30" t="str">
        <f aca="false">IF(R62="","",Reconciliation!H63)</f>
        <v/>
      </c>
      <c r="I62" s="30" t="str">
        <f aca="false">IF(R62="","",Reconciliation!I63)</f>
        <v/>
      </c>
      <c r="J62" s="31" t="str">
        <f aca="false">IF(R62="","",Reconciliation!J63)</f>
        <v/>
      </c>
      <c r="K62" s="30" t="str">
        <f aca="false">IF(R62="","",Reconciliation!K63)</f>
        <v/>
      </c>
      <c r="L62" s="30" t="str">
        <f aca="false">IF(R62="","",Reconciliation!L63)</f>
        <v/>
      </c>
      <c r="M62" s="32" t="str">
        <f aca="false">IF(R62="","",Reconciliation!M63)</f>
        <v/>
      </c>
      <c r="N62" s="32" t="str">
        <f aca="false">IF(R62="","",Reconciliation!N63)</f>
        <v/>
      </c>
      <c r="O62" s="32" t="str">
        <f aca="false">IF(R62="","",Reconciliation!O63)</f>
        <v/>
      </c>
      <c r="P62" s="32" t="str">
        <f aca="false">IF(R62="","",Reconciliation!P63)</f>
        <v/>
      </c>
      <c r="Q62" s="32" t="str">
        <f aca="false">IF(R62="","",Reconciliation!Q63)</f>
        <v/>
      </c>
      <c r="R62" s="33" t="str">
        <f aca="false">IF(OR(Reconciliation!R63="✅ MATCH",Reconciliation!R63=""),"",Reconciliation!R63)</f>
        <v/>
      </c>
    </row>
    <row r="63" customFormat="false" ht="15" hidden="false" customHeight="true" outlineLevel="0" collapsed="false">
      <c r="A63" s="29" t="str">
        <f aca="false">IF(R63="","",Reconciliation!A64)</f>
        <v/>
      </c>
      <c r="B63" s="30" t="str">
        <f aca="false">IF(R63="","",Reconciliation!B64)</f>
        <v/>
      </c>
      <c r="C63" s="30" t="str">
        <f aca="false">IF(R63="","",Reconciliation!C64)</f>
        <v/>
      </c>
      <c r="D63" s="30" t="str">
        <f aca="false">IF(R63="","",Reconciliation!D64)</f>
        <v/>
      </c>
      <c r="E63" s="31" t="str">
        <f aca="false">IF(R63="","",Reconciliation!E64)</f>
        <v/>
      </c>
      <c r="F63" s="30" t="str">
        <f aca="false">IF(R63="","",Reconciliation!F64)</f>
        <v/>
      </c>
      <c r="G63" s="30" t="str">
        <f aca="false">IF(R63="","",Reconciliation!G64)</f>
        <v/>
      </c>
      <c r="H63" s="30" t="str">
        <f aca="false">IF(R63="","",Reconciliation!H64)</f>
        <v/>
      </c>
      <c r="I63" s="30" t="str">
        <f aca="false">IF(R63="","",Reconciliation!I64)</f>
        <v/>
      </c>
      <c r="J63" s="31" t="str">
        <f aca="false">IF(R63="","",Reconciliation!J64)</f>
        <v/>
      </c>
      <c r="K63" s="30" t="str">
        <f aca="false">IF(R63="","",Reconciliation!K64)</f>
        <v/>
      </c>
      <c r="L63" s="30" t="str">
        <f aca="false">IF(R63="","",Reconciliation!L64)</f>
        <v/>
      </c>
      <c r="M63" s="32" t="str">
        <f aca="false">IF(R63="","",Reconciliation!M64)</f>
        <v/>
      </c>
      <c r="N63" s="32" t="str">
        <f aca="false">IF(R63="","",Reconciliation!N64)</f>
        <v/>
      </c>
      <c r="O63" s="32" t="str">
        <f aca="false">IF(R63="","",Reconciliation!O64)</f>
        <v/>
      </c>
      <c r="P63" s="32" t="str">
        <f aca="false">IF(R63="","",Reconciliation!P64)</f>
        <v/>
      </c>
      <c r="Q63" s="32" t="str">
        <f aca="false">IF(R63="","",Reconciliation!Q64)</f>
        <v/>
      </c>
      <c r="R63" s="33" t="str">
        <f aca="false">IF(OR(Reconciliation!R64="✅ MATCH",Reconciliation!R64=""),"",Reconciliation!R64)</f>
        <v/>
      </c>
    </row>
    <row r="64" customFormat="false" ht="15" hidden="false" customHeight="true" outlineLevel="0" collapsed="false">
      <c r="A64" s="29" t="str">
        <f aca="false">IF(R64="","",Reconciliation!A65)</f>
        <v/>
      </c>
      <c r="B64" s="30" t="str">
        <f aca="false">IF(R64="","",Reconciliation!B65)</f>
        <v/>
      </c>
      <c r="C64" s="30" t="str">
        <f aca="false">IF(R64="","",Reconciliation!C65)</f>
        <v/>
      </c>
      <c r="D64" s="30" t="str">
        <f aca="false">IF(R64="","",Reconciliation!D65)</f>
        <v/>
      </c>
      <c r="E64" s="31" t="str">
        <f aca="false">IF(R64="","",Reconciliation!E65)</f>
        <v/>
      </c>
      <c r="F64" s="30" t="str">
        <f aca="false">IF(R64="","",Reconciliation!F65)</f>
        <v/>
      </c>
      <c r="G64" s="30" t="str">
        <f aca="false">IF(R64="","",Reconciliation!G65)</f>
        <v/>
      </c>
      <c r="H64" s="30" t="str">
        <f aca="false">IF(R64="","",Reconciliation!H65)</f>
        <v/>
      </c>
      <c r="I64" s="30" t="str">
        <f aca="false">IF(R64="","",Reconciliation!I65)</f>
        <v/>
      </c>
      <c r="J64" s="31" t="str">
        <f aca="false">IF(R64="","",Reconciliation!J65)</f>
        <v/>
      </c>
      <c r="K64" s="30" t="str">
        <f aca="false">IF(R64="","",Reconciliation!K65)</f>
        <v/>
      </c>
      <c r="L64" s="30" t="str">
        <f aca="false">IF(R64="","",Reconciliation!L65)</f>
        <v/>
      </c>
      <c r="M64" s="32" t="str">
        <f aca="false">IF(R64="","",Reconciliation!M65)</f>
        <v/>
      </c>
      <c r="N64" s="32" t="str">
        <f aca="false">IF(R64="","",Reconciliation!N65)</f>
        <v/>
      </c>
      <c r="O64" s="32" t="str">
        <f aca="false">IF(R64="","",Reconciliation!O65)</f>
        <v/>
      </c>
      <c r="P64" s="32" t="str">
        <f aca="false">IF(R64="","",Reconciliation!P65)</f>
        <v/>
      </c>
      <c r="Q64" s="32" t="str">
        <f aca="false">IF(R64="","",Reconciliation!Q65)</f>
        <v/>
      </c>
      <c r="R64" s="33" t="str">
        <f aca="false">IF(OR(Reconciliation!R65="✅ MATCH",Reconciliation!R65=""),"",Reconciliation!R65)</f>
        <v/>
      </c>
    </row>
    <row r="65" customFormat="false" ht="15" hidden="false" customHeight="true" outlineLevel="0" collapsed="false">
      <c r="A65" s="29" t="str">
        <f aca="false">IF(R65="","",Reconciliation!A66)</f>
        <v/>
      </c>
      <c r="B65" s="30" t="str">
        <f aca="false">IF(R65="","",Reconciliation!B66)</f>
        <v/>
      </c>
      <c r="C65" s="30" t="str">
        <f aca="false">IF(R65="","",Reconciliation!C66)</f>
        <v/>
      </c>
      <c r="D65" s="30" t="str">
        <f aca="false">IF(R65="","",Reconciliation!D66)</f>
        <v/>
      </c>
      <c r="E65" s="31" t="str">
        <f aca="false">IF(R65="","",Reconciliation!E66)</f>
        <v/>
      </c>
      <c r="F65" s="30" t="str">
        <f aca="false">IF(R65="","",Reconciliation!F66)</f>
        <v/>
      </c>
      <c r="G65" s="30" t="str">
        <f aca="false">IF(R65="","",Reconciliation!G66)</f>
        <v/>
      </c>
      <c r="H65" s="30" t="str">
        <f aca="false">IF(R65="","",Reconciliation!H66)</f>
        <v/>
      </c>
      <c r="I65" s="30" t="str">
        <f aca="false">IF(R65="","",Reconciliation!I66)</f>
        <v/>
      </c>
      <c r="J65" s="31" t="str">
        <f aca="false">IF(R65="","",Reconciliation!J66)</f>
        <v/>
      </c>
      <c r="K65" s="30" t="str">
        <f aca="false">IF(R65="","",Reconciliation!K66)</f>
        <v/>
      </c>
      <c r="L65" s="30" t="str">
        <f aca="false">IF(R65="","",Reconciliation!L66)</f>
        <v/>
      </c>
      <c r="M65" s="32" t="str">
        <f aca="false">IF(R65="","",Reconciliation!M66)</f>
        <v/>
      </c>
      <c r="N65" s="32" t="str">
        <f aca="false">IF(R65="","",Reconciliation!N66)</f>
        <v/>
      </c>
      <c r="O65" s="32" t="str">
        <f aca="false">IF(R65="","",Reconciliation!O66)</f>
        <v/>
      </c>
      <c r="P65" s="32" t="str">
        <f aca="false">IF(R65="","",Reconciliation!P66)</f>
        <v/>
      </c>
      <c r="Q65" s="32" t="str">
        <f aca="false">IF(R65="","",Reconciliation!Q66)</f>
        <v/>
      </c>
      <c r="R65" s="33" t="str">
        <f aca="false">IF(OR(Reconciliation!R66="✅ MATCH",Reconciliation!R66=""),"",Reconciliation!R66)</f>
        <v/>
      </c>
    </row>
    <row r="66" customFormat="false" ht="15" hidden="false" customHeight="true" outlineLevel="0" collapsed="false">
      <c r="A66" s="29" t="str">
        <f aca="false">IF(R66="","",Reconciliation!A67)</f>
        <v/>
      </c>
      <c r="B66" s="30" t="str">
        <f aca="false">IF(R66="","",Reconciliation!B67)</f>
        <v/>
      </c>
      <c r="C66" s="30" t="str">
        <f aca="false">IF(R66="","",Reconciliation!C67)</f>
        <v/>
      </c>
      <c r="D66" s="30" t="str">
        <f aca="false">IF(R66="","",Reconciliation!D67)</f>
        <v/>
      </c>
      <c r="E66" s="31" t="str">
        <f aca="false">IF(R66="","",Reconciliation!E67)</f>
        <v/>
      </c>
      <c r="F66" s="30" t="str">
        <f aca="false">IF(R66="","",Reconciliation!F67)</f>
        <v/>
      </c>
      <c r="G66" s="30" t="str">
        <f aca="false">IF(R66="","",Reconciliation!G67)</f>
        <v/>
      </c>
      <c r="H66" s="30" t="str">
        <f aca="false">IF(R66="","",Reconciliation!H67)</f>
        <v/>
      </c>
      <c r="I66" s="30" t="str">
        <f aca="false">IF(R66="","",Reconciliation!I67)</f>
        <v/>
      </c>
      <c r="J66" s="31" t="str">
        <f aca="false">IF(R66="","",Reconciliation!J67)</f>
        <v/>
      </c>
      <c r="K66" s="30" t="str">
        <f aca="false">IF(R66="","",Reconciliation!K67)</f>
        <v/>
      </c>
      <c r="L66" s="30" t="str">
        <f aca="false">IF(R66="","",Reconciliation!L67)</f>
        <v/>
      </c>
      <c r="M66" s="32" t="str">
        <f aca="false">IF(R66="","",Reconciliation!M67)</f>
        <v/>
      </c>
      <c r="N66" s="32" t="str">
        <f aca="false">IF(R66="","",Reconciliation!N67)</f>
        <v/>
      </c>
      <c r="O66" s="32" t="str">
        <f aca="false">IF(R66="","",Reconciliation!O67)</f>
        <v/>
      </c>
      <c r="P66" s="32" t="str">
        <f aca="false">IF(R66="","",Reconciliation!P67)</f>
        <v/>
      </c>
      <c r="Q66" s="32" t="str">
        <f aca="false">IF(R66="","",Reconciliation!Q67)</f>
        <v/>
      </c>
      <c r="R66" s="33" t="str">
        <f aca="false">IF(OR(Reconciliation!R67="✅ MATCH",Reconciliation!R67=""),"",Reconciliation!R67)</f>
        <v/>
      </c>
    </row>
    <row r="67" customFormat="false" ht="15" hidden="false" customHeight="true" outlineLevel="0" collapsed="false">
      <c r="A67" s="29" t="str">
        <f aca="false">IF(R67="","",Reconciliation!A68)</f>
        <v/>
      </c>
      <c r="B67" s="30" t="str">
        <f aca="false">IF(R67="","",Reconciliation!B68)</f>
        <v/>
      </c>
      <c r="C67" s="30" t="str">
        <f aca="false">IF(R67="","",Reconciliation!C68)</f>
        <v/>
      </c>
      <c r="D67" s="30" t="str">
        <f aca="false">IF(R67="","",Reconciliation!D68)</f>
        <v/>
      </c>
      <c r="E67" s="31" t="str">
        <f aca="false">IF(R67="","",Reconciliation!E68)</f>
        <v/>
      </c>
      <c r="F67" s="30" t="str">
        <f aca="false">IF(R67="","",Reconciliation!F68)</f>
        <v/>
      </c>
      <c r="G67" s="30" t="str">
        <f aca="false">IF(R67="","",Reconciliation!G68)</f>
        <v/>
      </c>
      <c r="H67" s="30" t="str">
        <f aca="false">IF(R67="","",Reconciliation!H68)</f>
        <v/>
      </c>
      <c r="I67" s="30" t="str">
        <f aca="false">IF(R67="","",Reconciliation!I68)</f>
        <v/>
      </c>
      <c r="J67" s="31" t="str">
        <f aca="false">IF(R67="","",Reconciliation!J68)</f>
        <v/>
      </c>
      <c r="K67" s="30" t="str">
        <f aca="false">IF(R67="","",Reconciliation!K68)</f>
        <v/>
      </c>
      <c r="L67" s="30" t="str">
        <f aca="false">IF(R67="","",Reconciliation!L68)</f>
        <v/>
      </c>
      <c r="M67" s="32" t="str">
        <f aca="false">IF(R67="","",Reconciliation!M68)</f>
        <v/>
      </c>
      <c r="N67" s="32" t="str">
        <f aca="false">IF(R67="","",Reconciliation!N68)</f>
        <v/>
      </c>
      <c r="O67" s="32" t="str">
        <f aca="false">IF(R67="","",Reconciliation!O68)</f>
        <v/>
      </c>
      <c r="P67" s="32" t="str">
        <f aca="false">IF(R67="","",Reconciliation!P68)</f>
        <v/>
      </c>
      <c r="Q67" s="32" t="str">
        <f aca="false">IF(R67="","",Reconciliation!Q68)</f>
        <v/>
      </c>
      <c r="R67" s="33" t="str">
        <f aca="false">IF(OR(Reconciliation!R68="✅ MATCH",Reconciliation!R68=""),"",Reconciliation!R68)</f>
        <v/>
      </c>
    </row>
    <row r="68" customFormat="false" ht="15" hidden="false" customHeight="true" outlineLevel="0" collapsed="false">
      <c r="A68" s="29" t="str">
        <f aca="false">IF(R68="","",Reconciliation!A69)</f>
        <v/>
      </c>
      <c r="B68" s="30" t="str">
        <f aca="false">IF(R68="","",Reconciliation!B69)</f>
        <v/>
      </c>
      <c r="C68" s="30" t="str">
        <f aca="false">IF(R68="","",Reconciliation!C69)</f>
        <v/>
      </c>
      <c r="D68" s="30" t="str">
        <f aca="false">IF(R68="","",Reconciliation!D69)</f>
        <v/>
      </c>
      <c r="E68" s="31" t="str">
        <f aca="false">IF(R68="","",Reconciliation!E69)</f>
        <v/>
      </c>
      <c r="F68" s="30" t="str">
        <f aca="false">IF(R68="","",Reconciliation!F69)</f>
        <v/>
      </c>
      <c r="G68" s="30" t="str">
        <f aca="false">IF(R68="","",Reconciliation!G69)</f>
        <v/>
      </c>
      <c r="H68" s="30" t="str">
        <f aca="false">IF(R68="","",Reconciliation!H69)</f>
        <v/>
      </c>
      <c r="I68" s="30" t="str">
        <f aca="false">IF(R68="","",Reconciliation!I69)</f>
        <v/>
      </c>
      <c r="J68" s="31" t="str">
        <f aca="false">IF(R68="","",Reconciliation!J69)</f>
        <v/>
      </c>
      <c r="K68" s="30" t="str">
        <f aca="false">IF(R68="","",Reconciliation!K69)</f>
        <v/>
      </c>
      <c r="L68" s="30" t="str">
        <f aca="false">IF(R68="","",Reconciliation!L69)</f>
        <v/>
      </c>
      <c r="M68" s="32" t="str">
        <f aca="false">IF(R68="","",Reconciliation!M69)</f>
        <v/>
      </c>
      <c r="N68" s="32" t="str">
        <f aca="false">IF(R68="","",Reconciliation!N69)</f>
        <v/>
      </c>
      <c r="O68" s="32" t="str">
        <f aca="false">IF(R68="","",Reconciliation!O69)</f>
        <v/>
      </c>
      <c r="P68" s="32" t="str">
        <f aca="false">IF(R68="","",Reconciliation!P69)</f>
        <v/>
      </c>
      <c r="Q68" s="32" t="str">
        <f aca="false">IF(R68="","",Reconciliation!Q69)</f>
        <v/>
      </c>
      <c r="R68" s="33" t="str">
        <f aca="false">IF(OR(Reconciliation!R69="✅ MATCH",Reconciliation!R69=""),"",Reconciliation!R69)</f>
        <v/>
      </c>
    </row>
    <row r="69" customFormat="false" ht="15" hidden="false" customHeight="true" outlineLevel="0" collapsed="false">
      <c r="A69" s="29" t="str">
        <f aca="false">IF(R69="","",Reconciliation!A70)</f>
        <v/>
      </c>
      <c r="B69" s="30" t="str">
        <f aca="false">IF(R69="","",Reconciliation!B70)</f>
        <v/>
      </c>
      <c r="C69" s="30" t="str">
        <f aca="false">IF(R69="","",Reconciliation!C70)</f>
        <v/>
      </c>
      <c r="D69" s="30" t="str">
        <f aca="false">IF(R69="","",Reconciliation!D70)</f>
        <v/>
      </c>
      <c r="E69" s="31" t="str">
        <f aca="false">IF(R69="","",Reconciliation!E70)</f>
        <v/>
      </c>
      <c r="F69" s="30" t="str">
        <f aca="false">IF(R69="","",Reconciliation!F70)</f>
        <v/>
      </c>
      <c r="G69" s="30" t="str">
        <f aca="false">IF(R69="","",Reconciliation!G70)</f>
        <v/>
      </c>
      <c r="H69" s="30" t="str">
        <f aca="false">IF(R69="","",Reconciliation!H70)</f>
        <v/>
      </c>
      <c r="I69" s="30" t="str">
        <f aca="false">IF(R69="","",Reconciliation!I70)</f>
        <v/>
      </c>
      <c r="J69" s="31" t="str">
        <f aca="false">IF(R69="","",Reconciliation!J70)</f>
        <v/>
      </c>
      <c r="K69" s="30" t="str">
        <f aca="false">IF(R69="","",Reconciliation!K70)</f>
        <v/>
      </c>
      <c r="L69" s="30" t="str">
        <f aca="false">IF(R69="","",Reconciliation!L70)</f>
        <v/>
      </c>
      <c r="M69" s="32" t="str">
        <f aca="false">IF(R69="","",Reconciliation!M70)</f>
        <v/>
      </c>
      <c r="N69" s="32" t="str">
        <f aca="false">IF(R69="","",Reconciliation!N70)</f>
        <v/>
      </c>
      <c r="O69" s="32" t="str">
        <f aca="false">IF(R69="","",Reconciliation!O70)</f>
        <v/>
      </c>
      <c r="P69" s="32" t="str">
        <f aca="false">IF(R69="","",Reconciliation!P70)</f>
        <v/>
      </c>
      <c r="Q69" s="32" t="str">
        <f aca="false">IF(R69="","",Reconciliation!Q70)</f>
        <v/>
      </c>
      <c r="R69" s="33" t="str">
        <f aca="false">IF(OR(Reconciliation!R70="✅ MATCH",Reconciliation!R70=""),"",Reconciliation!R70)</f>
        <v/>
      </c>
    </row>
    <row r="70" customFormat="false" ht="15" hidden="false" customHeight="true" outlineLevel="0" collapsed="false">
      <c r="A70" s="29" t="str">
        <f aca="false">IF(R70="","",Reconciliation!A71)</f>
        <v/>
      </c>
      <c r="B70" s="30" t="str">
        <f aca="false">IF(R70="","",Reconciliation!B71)</f>
        <v/>
      </c>
      <c r="C70" s="30" t="str">
        <f aca="false">IF(R70="","",Reconciliation!C71)</f>
        <v/>
      </c>
      <c r="D70" s="30" t="str">
        <f aca="false">IF(R70="","",Reconciliation!D71)</f>
        <v/>
      </c>
      <c r="E70" s="31" t="str">
        <f aca="false">IF(R70="","",Reconciliation!E71)</f>
        <v/>
      </c>
      <c r="F70" s="30" t="str">
        <f aca="false">IF(R70="","",Reconciliation!F71)</f>
        <v/>
      </c>
      <c r="G70" s="30" t="str">
        <f aca="false">IF(R70="","",Reconciliation!G71)</f>
        <v/>
      </c>
      <c r="H70" s="30" t="str">
        <f aca="false">IF(R70="","",Reconciliation!H71)</f>
        <v/>
      </c>
      <c r="I70" s="30" t="str">
        <f aca="false">IF(R70="","",Reconciliation!I71)</f>
        <v/>
      </c>
      <c r="J70" s="31" t="str">
        <f aca="false">IF(R70="","",Reconciliation!J71)</f>
        <v/>
      </c>
      <c r="K70" s="30" t="str">
        <f aca="false">IF(R70="","",Reconciliation!K71)</f>
        <v/>
      </c>
      <c r="L70" s="30" t="str">
        <f aca="false">IF(R70="","",Reconciliation!L71)</f>
        <v/>
      </c>
      <c r="M70" s="32" t="str">
        <f aca="false">IF(R70="","",Reconciliation!M71)</f>
        <v/>
      </c>
      <c r="N70" s="32" t="str">
        <f aca="false">IF(R70="","",Reconciliation!N71)</f>
        <v/>
      </c>
      <c r="O70" s="32" t="str">
        <f aca="false">IF(R70="","",Reconciliation!O71)</f>
        <v/>
      </c>
      <c r="P70" s="32" t="str">
        <f aca="false">IF(R70="","",Reconciliation!P71)</f>
        <v/>
      </c>
      <c r="Q70" s="32" t="str">
        <f aca="false">IF(R70="","",Reconciliation!Q71)</f>
        <v/>
      </c>
      <c r="R70" s="33" t="str">
        <f aca="false">IF(OR(Reconciliation!R71="✅ MATCH",Reconciliation!R71=""),"",Reconciliation!R71)</f>
        <v/>
      </c>
    </row>
    <row r="71" customFormat="false" ht="15" hidden="false" customHeight="true" outlineLevel="0" collapsed="false">
      <c r="A71" s="29" t="str">
        <f aca="false">IF(R71="","",Reconciliation!A72)</f>
        <v/>
      </c>
      <c r="B71" s="30" t="str">
        <f aca="false">IF(R71="","",Reconciliation!B72)</f>
        <v/>
      </c>
      <c r="C71" s="30" t="str">
        <f aca="false">IF(R71="","",Reconciliation!C72)</f>
        <v/>
      </c>
      <c r="D71" s="30" t="str">
        <f aca="false">IF(R71="","",Reconciliation!D72)</f>
        <v/>
      </c>
      <c r="E71" s="31" t="str">
        <f aca="false">IF(R71="","",Reconciliation!E72)</f>
        <v/>
      </c>
      <c r="F71" s="30" t="str">
        <f aca="false">IF(R71="","",Reconciliation!F72)</f>
        <v/>
      </c>
      <c r="G71" s="30" t="str">
        <f aca="false">IF(R71="","",Reconciliation!G72)</f>
        <v/>
      </c>
      <c r="H71" s="30" t="str">
        <f aca="false">IF(R71="","",Reconciliation!H72)</f>
        <v/>
      </c>
      <c r="I71" s="30" t="str">
        <f aca="false">IF(R71="","",Reconciliation!I72)</f>
        <v/>
      </c>
      <c r="J71" s="31" t="str">
        <f aca="false">IF(R71="","",Reconciliation!J72)</f>
        <v/>
      </c>
      <c r="K71" s="30" t="str">
        <f aca="false">IF(R71="","",Reconciliation!K72)</f>
        <v/>
      </c>
      <c r="L71" s="30" t="str">
        <f aca="false">IF(R71="","",Reconciliation!L72)</f>
        <v/>
      </c>
      <c r="M71" s="32" t="str">
        <f aca="false">IF(R71="","",Reconciliation!M72)</f>
        <v/>
      </c>
      <c r="N71" s="32" t="str">
        <f aca="false">IF(R71="","",Reconciliation!N72)</f>
        <v/>
      </c>
      <c r="O71" s="32" t="str">
        <f aca="false">IF(R71="","",Reconciliation!O72)</f>
        <v/>
      </c>
      <c r="P71" s="32" t="str">
        <f aca="false">IF(R71="","",Reconciliation!P72)</f>
        <v/>
      </c>
      <c r="Q71" s="32" t="str">
        <f aca="false">IF(R71="","",Reconciliation!Q72)</f>
        <v/>
      </c>
      <c r="R71" s="33" t="str">
        <f aca="false">IF(OR(Reconciliation!R72="✅ MATCH",Reconciliation!R72=""),"",Reconciliation!R72)</f>
        <v/>
      </c>
    </row>
    <row r="72" customFormat="false" ht="15" hidden="false" customHeight="true" outlineLevel="0" collapsed="false">
      <c r="A72" s="29" t="str">
        <f aca="false">IF(R72="","",Reconciliation!A73)</f>
        <v/>
      </c>
      <c r="B72" s="30" t="str">
        <f aca="false">IF(R72="","",Reconciliation!B73)</f>
        <v/>
      </c>
      <c r="C72" s="30" t="str">
        <f aca="false">IF(R72="","",Reconciliation!C73)</f>
        <v/>
      </c>
      <c r="D72" s="30" t="str">
        <f aca="false">IF(R72="","",Reconciliation!D73)</f>
        <v/>
      </c>
      <c r="E72" s="31" t="str">
        <f aca="false">IF(R72="","",Reconciliation!E73)</f>
        <v/>
      </c>
      <c r="F72" s="30" t="str">
        <f aca="false">IF(R72="","",Reconciliation!F73)</f>
        <v/>
      </c>
      <c r="G72" s="30" t="str">
        <f aca="false">IF(R72="","",Reconciliation!G73)</f>
        <v/>
      </c>
      <c r="H72" s="30" t="str">
        <f aca="false">IF(R72="","",Reconciliation!H73)</f>
        <v/>
      </c>
      <c r="I72" s="30" t="str">
        <f aca="false">IF(R72="","",Reconciliation!I73)</f>
        <v/>
      </c>
      <c r="J72" s="31" t="str">
        <f aca="false">IF(R72="","",Reconciliation!J73)</f>
        <v/>
      </c>
      <c r="K72" s="30" t="str">
        <f aca="false">IF(R72="","",Reconciliation!K73)</f>
        <v/>
      </c>
      <c r="L72" s="30" t="str">
        <f aca="false">IF(R72="","",Reconciliation!L73)</f>
        <v/>
      </c>
      <c r="M72" s="32" t="str">
        <f aca="false">IF(R72="","",Reconciliation!M73)</f>
        <v/>
      </c>
      <c r="N72" s="32" t="str">
        <f aca="false">IF(R72="","",Reconciliation!N73)</f>
        <v/>
      </c>
      <c r="O72" s="32" t="str">
        <f aca="false">IF(R72="","",Reconciliation!O73)</f>
        <v/>
      </c>
      <c r="P72" s="32" t="str">
        <f aca="false">IF(R72="","",Reconciliation!P73)</f>
        <v/>
      </c>
      <c r="Q72" s="32" t="str">
        <f aca="false">IF(R72="","",Reconciliation!Q73)</f>
        <v/>
      </c>
      <c r="R72" s="33" t="str">
        <f aca="false">IF(OR(Reconciliation!R73="✅ MATCH",Reconciliation!R73=""),"",Reconciliation!R73)</f>
        <v/>
      </c>
    </row>
    <row r="73" customFormat="false" ht="15" hidden="false" customHeight="true" outlineLevel="0" collapsed="false">
      <c r="A73" s="29" t="str">
        <f aca="false">IF(R73="","",Reconciliation!A74)</f>
        <v/>
      </c>
      <c r="B73" s="30" t="str">
        <f aca="false">IF(R73="","",Reconciliation!B74)</f>
        <v/>
      </c>
      <c r="C73" s="30" t="str">
        <f aca="false">IF(R73="","",Reconciliation!C74)</f>
        <v/>
      </c>
      <c r="D73" s="30" t="str">
        <f aca="false">IF(R73="","",Reconciliation!D74)</f>
        <v/>
      </c>
      <c r="E73" s="31" t="str">
        <f aca="false">IF(R73="","",Reconciliation!E74)</f>
        <v/>
      </c>
      <c r="F73" s="30" t="str">
        <f aca="false">IF(R73="","",Reconciliation!F74)</f>
        <v/>
      </c>
      <c r="G73" s="30" t="str">
        <f aca="false">IF(R73="","",Reconciliation!G74)</f>
        <v/>
      </c>
      <c r="H73" s="30" t="str">
        <f aca="false">IF(R73="","",Reconciliation!H74)</f>
        <v/>
      </c>
      <c r="I73" s="30" t="str">
        <f aca="false">IF(R73="","",Reconciliation!I74)</f>
        <v/>
      </c>
      <c r="J73" s="31" t="str">
        <f aca="false">IF(R73="","",Reconciliation!J74)</f>
        <v/>
      </c>
      <c r="K73" s="30" t="str">
        <f aca="false">IF(R73="","",Reconciliation!K74)</f>
        <v/>
      </c>
      <c r="L73" s="30" t="str">
        <f aca="false">IF(R73="","",Reconciliation!L74)</f>
        <v/>
      </c>
      <c r="M73" s="32" t="str">
        <f aca="false">IF(R73="","",Reconciliation!M74)</f>
        <v/>
      </c>
      <c r="N73" s="32" t="str">
        <f aca="false">IF(R73="","",Reconciliation!N74)</f>
        <v/>
      </c>
      <c r="O73" s="32" t="str">
        <f aca="false">IF(R73="","",Reconciliation!O74)</f>
        <v/>
      </c>
      <c r="P73" s="32" t="str">
        <f aca="false">IF(R73="","",Reconciliation!P74)</f>
        <v/>
      </c>
      <c r="Q73" s="32" t="str">
        <f aca="false">IF(R73="","",Reconciliation!Q74)</f>
        <v/>
      </c>
      <c r="R73" s="33" t="str">
        <f aca="false">IF(OR(Reconciliation!R74="✅ MATCH",Reconciliation!R74=""),"",Reconciliation!R74)</f>
        <v/>
      </c>
    </row>
    <row r="74" customFormat="false" ht="15" hidden="false" customHeight="true" outlineLevel="0" collapsed="false">
      <c r="A74" s="29" t="str">
        <f aca="false">IF(R74="","",Reconciliation!A75)</f>
        <v/>
      </c>
      <c r="B74" s="30" t="str">
        <f aca="false">IF(R74="","",Reconciliation!B75)</f>
        <v/>
      </c>
      <c r="C74" s="30" t="str">
        <f aca="false">IF(R74="","",Reconciliation!C75)</f>
        <v/>
      </c>
      <c r="D74" s="30" t="str">
        <f aca="false">IF(R74="","",Reconciliation!D75)</f>
        <v/>
      </c>
      <c r="E74" s="31" t="str">
        <f aca="false">IF(R74="","",Reconciliation!E75)</f>
        <v/>
      </c>
      <c r="F74" s="30" t="str">
        <f aca="false">IF(R74="","",Reconciliation!F75)</f>
        <v/>
      </c>
      <c r="G74" s="30" t="str">
        <f aca="false">IF(R74="","",Reconciliation!G75)</f>
        <v/>
      </c>
      <c r="H74" s="30" t="str">
        <f aca="false">IF(R74="","",Reconciliation!H75)</f>
        <v/>
      </c>
      <c r="I74" s="30" t="str">
        <f aca="false">IF(R74="","",Reconciliation!I75)</f>
        <v/>
      </c>
      <c r="J74" s="31" t="str">
        <f aca="false">IF(R74="","",Reconciliation!J75)</f>
        <v/>
      </c>
      <c r="K74" s="30" t="str">
        <f aca="false">IF(R74="","",Reconciliation!K75)</f>
        <v/>
      </c>
      <c r="L74" s="30" t="str">
        <f aca="false">IF(R74="","",Reconciliation!L75)</f>
        <v/>
      </c>
      <c r="M74" s="32" t="str">
        <f aca="false">IF(R74="","",Reconciliation!M75)</f>
        <v/>
      </c>
      <c r="N74" s="32" t="str">
        <f aca="false">IF(R74="","",Reconciliation!N75)</f>
        <v/>
      </c>
      <c r="O74" s="32" t="str">
        <f aca="false">IF(R74="","",Reconciliation!O75)</f>
        <v/>
      </c>
      <c r="P74" s="32" t="str">
        <f aca="false">IF(R74="","",Reconciliation!P75)</f>
        <v/>
      </c>
      <c r="Q74" s="32" t="str">
        <f aca="false">IF(R74="","",Reconciliation!Q75)</f>
        <v/>
      </c>
      <c r="R74" s="33" t="str">
        <f aca="false">IF(OR(Reconciliation!R75="✅ MATCH",Reconciliation!R75=""),"",Reconciliation!R75)</f>
        <v/>
      </c>
    </row>
    <row r="75" customFormat="false" ht="15" hidden="false" customHeight="true" outlineLevel="0" collapsed="false">
      <c r="A75" s="29" t="str">
        <f aca="false">IF(R75="","",Reconciliation!A76)</f>
        <v/>
      </c>
      <c r="B75" s="30" t="str">
        <f aca="false">IF(R75="","",Reconciliation!B76)</f>
        <v/>
      </c>
      <c r="C75" s="30" t="str">
        <f aca="false">IF(R75="","",Reconciliation!C76)</f>
        <v/>
      </c>
      <c r="D75" s="30" t="str">
        <f aca="false">IF(R75="","",Reconciliation!D76)</f>
        <v/>
      </c>
      <c r="E75" s="31" t="str">
        <f aca="false">IF(R75="","",Reconciliation!E76)</f>
        <v/>
      </c>
      <c r="F75" s="30" t="str">
        <f aca="false">IF(R75="","",Reconciliation!F76)</f>
        <v/>
      </c>
      <c r="G75" s="30" t="str">
        <f aca="false">IF(R75="","",Reconciliation!G76)</f>
        <v/>
      </c>
      <c r="H75" s="30" t="str">
        <f aca="false">IF(R75="","",Reconciliation!H76)</f>
        <v/>
      </c>
      <c r="I75" s="30" t="str">
        <f aca="false">IF(R75="","",Reconciliation!I76)</f>
        <v/>
      </c>
      <c r="J75" s="31" t="str">
        <f aca="false">IF(R75="","",Reconciliation!J76)</f>
        <v/>
      </c>
      <c r="K75" s="30" t="str">
        <f aca="false">IF(R75="","",Reconciliation!K76)</f>
        <v/>
      </c>
      <c r="L75" s="30" t="str">
        <f aca="false">IF(R75="","",Reconciliation!L76)</f>
        <v/>
      </c>
      <c r="M75" s="32" t="str">
        <f aca="false">IF(R75="","",Reconciliation!M76)</f>
        <v/>
      </c>
      <c r="N75" s="32" t="str">
        <f aca="false">IF(R75="","",Reconciliation!N76)</f>
        <v/>
      </c>
      <c r="O75" s="32" t="str">
        <f aca="false">IF(R75="","",Reconciliation!O76)</f>
        <v/>
      </c>
      <c r="P75" s="32" t="str">
        <f aca="false">IF(R75="","",Reconciliation!P76)</f>
        <v/>
      </c>
      <c r="Q75" s="32" t="str">
        <f aca="false">IF(R75="","",Reconciliation!Q76)</f>
        <v/>
      </c>
      <c r="R75" s="33" t="str">
        <f aca="false">IF(OR(Reconciliation!R76="✅ MATCH",Reconciliation!R76=""),"",Reconciliation!R76)</f>
        <v/>
      </c>
    </row>
    <row r="76" customFormat="false" ht="15" hidden="false" customHeight="true" outlineLevel="0" collapsed="false">
      <c r="A76" s="29" t="str">
        <f aca="false">IF(R76="","",Reconciliation!A77)</f>
        <v/>
      </c>
      <c r="B76" s="30" t="str">
        <f aca="false">IF(R76="","",Reconciliation!B77)</f>
        <v/>
      </c>
      <c r="C76" s="30" t="str">
        <f aca="false">IF(R76="","",Reconciliation!C77)</f>
        <v/>
      </c>
      <c r="D76" s="30" t="str">
        <f aca="false">IF(R76="","",Reconciliation!D77)</f>
        <v/>
      </c>
      <c r="E76" s="31" t="str">
        <f aca="false">IF(R76="","",Reconciliation!E77)</f>
        <v/>
      </c>
      <c r="F76" s="30" t="str">
        <f aca="false">IF(R76="","",Reconciliation!F77)</f>
        <v/>
      </c>
      <c r="G76" s="30" t="str">
        <f aca="false">IF(R76="","",Reconciliation!G77)</f>
        <v/>
      </c>
      <c r="H76" s="30" t="str">
        <f aca="false">IF(R76="","",Reconciliation!H77)</f>
        <v/>
      </c>
      <c r="I76" s="30" t="str">
        <f aca="false">IF(R76="","",Reconciliation!I77)</f>
        <v/>
      </c>
      <c r="J76" s="31" t="str">
        <f aca="false">IF(R76="","",Reconciliation!J77)</f>
        <v/>
      </c>
      <c r="K76" s="30" t="str">
        <f aca="false">IF(R76="","",Reconciliation!K77)</f>
        <v/>
      </c>
      <c r="L76" s="30" t="str">
        <f aca="false">IF(R76="","",Reconciliation!L77)</f>
        <v/>
      </c>
      <c r="M76" s="32" t="str">
        <f aca="false">IF(R76="","",Reconciliation!M77)</f>
        <v/>
      </c>
      <c r="N76" s="32" t="str">
        <f aca="false">IF(R76="","",Reconciliation!N77)</f>
        <v/>
      </c>
      <c r="O76" s="32" t="str">
        <f aca="false">IF(R76="","",Reconciliation!O77)</f>
        <v/>
      </c>
      <c r="P76" s="32" t="str">
        <f aca="false">IF(R76="","",Reconciliation!P77)</f>
        <v/>
      </c>
      <c r="Q76" s="32" t="str">
        <f aca="false">IF(R76="","",Reconciliation!Q77)</f>
        <v/>
      </c>
      <c r="R76" s="33" t="str">
        <f aca="false">IF(OR(Reconciliation!R77="✅ MATCH",Reconciliation!R77=""),"",Reconciliation!R77)</f>
        <v/>
      </c>
    </row>
    <row r="77" customFormat="false" ht="15" hidden="false" customHeight="true" outlineLevel="0" collapsed="false">
      <c r="A77" s="29" t="str">
        <f aca="false">IF(R77="","",Reconciliation!A78)</f>
        <v/>
      </c>
      <c r="B77" s="30" t="str">
        <f aca="false">IF(R77="","",Reconciliation!B78)</f>
        <v/>
      </c>
      <c r="C77" s="30" t="str">
        <f aca="false">IF(R77="","",Reconciliation!C78)</f>
        <v/>
      </c>
      <c r="D77" s="30" t="str">
        <f aca="false">IF(R77="","",Reconciliation!D78)</f>
        <v/>
      </c>
      <c r="E77" s="31" t="str">
        <f aca="false">IF(R77="","",Reconciliation!E78)</f>
        <v/>
      </c>
      <c r="F77" s="30" t="str">
        <f aca="false">IF(R77="","",Reconciliation!F78)</f>
        <v/>
      </c>
      <c r="G77" s="30" t="str">
        <f aca="false">IF(R77="","",Reconciliation!G78)</f>
        <v/>
      </c>
      <c r="H77" s="30" t="str">
        <f aca="false">IF(R77="","",Reconciliation!H78)</f>
        <v/>
      </c>
      <c r="I77" s="30" t="str">
        <f aca="false">IF(R77="","",Reconciliation!I78)</f>
        <v/>
      </c>
      <c r="J77" s="31" t="str">
        <f aca="false">IF(R77="","",Reconciliation!J78)</f>
        <v/>
      </c>
      <c r="K77" s="30" t="str">
        <f aca="false">IF(R77="","",Reconciliation!K78)</f>
        <v/>
      </c>
      <c r="L77" s="30" t="str">
        <f aca="false">IF(R77="","",Reconciliation!L78)</f>
        <v/>
      </c>
      <c r="M77" s="32" t="str">
        <f aca="false">IF(R77="","",Reconciliation!M78)</f>
        <v/>
      </c>
      <c r="N77" s="32" t="str">
        <f aca="false">IF(R77="","",Reconciliation!N78)</f>
        <v/>
      </c>
      <c r="O77" s="32" t="str">
        <f aca="false">IF(R77="","",Reconciliation!O78)</f>
        <v/>
      </c>
      <c r="P77" s="32" t="str">
        <f aca="false">IF(R77="","",Reconciliation!P78)</f>
        <v/>
      </c>
      <c r="Q77" s="32" t="str">
        <f aca="false">IF(R77="","",Reconciliation!Q78)</f>
        <v/>
      </c>
      <c r="R77" s="33" t="str">
        <f aca="false">IF(OR(Reconciliation!R78="✅ MATCH",Reconciliation!R78=""),"",Reconciliation!R78)</f>
        <v/>
      </c>
    </row>
    <row r="78" customFormat="false" ht="15" hidden="false" customHeight="true" outlineLevel="0" collapsed="false">
      <c r="A78" s="29" t="str">
        <f aca="false">IF(R78="","",Reconciliation!A79)</f>
        <v/>
      </c>
      <c r="B78" s="30" t="str">
        <f aca="false">IF(R78="","",Reconciliation!B79)</f>
        <v/>
      </c>
      <c r="C78" s="30" t="str">
        <f aca="false">IF(R78="","",Reconciliation!C79)</f>
        <v/>
      </c>
      <c r="D78" s="30" t="str">
        <f aca="false">IF(R78="","",Reconciliation!D79)</f>
        <v/>
      </c>
      <c r="E78" s="31" t="str">
        <f aca="false">IF(R78="","",Reconciliation!E79)</f>
        <v/>
      </c>
      <c r="F78" s="30" t="str">
        <f aca="false">IF(R78="","",Reconciliation!F79)</f>
        <v/>
      </c>
      <c r="G78" s="30" t="str">
        <f aca="false">IF(R78="","",Reconciliation!G79)</f>
        <v/>
      </c>
      <c r="H78" s="30" t="str">
        <f aca="false">IF(R78="","",Reconciliation!H79)</f>
        <v/>
      </c>
      <c r="I78" s="30" t="str">
        <f aca="false">IF(R78="","",Reconciliation!I79)</f>
        <v/>
      </c>
      <c r="J78" s="31" t="str">
        <f aca="false">IF(R78="","",Reconciliation!J79)</f>
        <v/>
      </c>
      <c r="K78" s="30" t="str">
        <f aca="false">IF(R78="","",Reconciliation!K79)</f>
        <v/>
      </c>
      <c r="L78" s="30" t="str">
        <f aca="false">IF(R78="","",Reconciliation!L79)</f>
        <v/>
      </c>
      <c r="M78" s="32" t="str">
        <f aca="false">IF(R78="","",Reconciliation!M79)</f>
        <v/>
      </c>
      <c r="N78" s="32" t="str">
        <f aca="false">IF(R78="","",Reconciliation!N79)</f>
        <v/>
      </c>
      <c r="O78" s="32" t="str">
        <f aca="false">IF(R78="","",Reconciliation!O79)</f>
        <v/>
      </c>
      <c r="P78" s="32" t="str">
        <f aca="false">IF(R78="","",Reconciliation!P79)</f>
        <v/>
      </c>
      <c r="Q78" s="32" t="str">
        <f aca="false">IF(R78="","",Reconciliation!Q79)</f>
        <v/>
      </c>
      <c r="R78" s="33" t="str">
        <f aca="false">IF(OR(Reconciliation!R79="✅ MATCH",Reconciliation!R79=""),"",Reconciliation!R79)</f>
        <v/>
      </c>
    </row>
    <row r="79" customFormat="false" ht="15" hidden="false" customHeight="true" outlineLevel="0" collapsed="false">
      <c r="A79" s="29" t="str">
        <f aca="false">IF(R79="","",Reconciliation!A80)</f>
        <v/>
      </c>
      <c r="B79" s="30" t="str">
        <f aca="false">IF(R79="","",Reconciliation!B80)</f>
        <v/>
      </c>
      <c r="C79" s="30" t="str">
        <f aca="false">IF(R79="","",Reconciliation!C80)</f>
        <v/>
      </c>
      <c r="D79" s="30" t="str">
        <f aca="false">IF(R79="","",Reconciliation!D80)</f>
        <v/>
      </c>
      <c r="E79" s="31" t="str">
        <f aca="false">IF(R79="","",Reconciliation!E80)</f>
        <v/>
      </c>
      <c r="F79" s="30" t="str">
        <f aca="false">IF(R79="","",Reconciliation!F80)</f>
        <v/>
      </c>
      <c r="G79" s="30" t="str">
        <f aca="false">IF(R79="","",Reconciliation!G80)</f>
        <v/>
      </c>
      <c r="H79" s="30" t="str">
        <f aca="false">IF(R79="","",Reconciliation!H80)</f>
        <v/>
      </c>
      <c r="I79" s="30" t="str">
        <f aca="false">IF(R79="","",Reconciliation!I80)</f>
        <v/>
      </c>
      <c r="J79" s="31" t="str">
        <f aca="false">IF(R79="","",Reconciliation!J80)</f>
        <v/>
      </c>
      <c r="K79" s="30" t="str">
        <f aca="false">IF(R79="","",Reconciliation!K80)</f>
        <v/>
      </c>
      <c r="L79" s="30" t="str">
        <f aca="false">IF(R79="","",Reconciliation!L80)</f>
        <v/>
      </c>
      <c r="M79" s="32" t="str">
        <f aca="false">IF(R79="","",Reconciliation!M80)</f>
        <v/>
      </c>
      <c r="N79" s="32" t="str">
        <f aca="false">IF(R79="","",Reconciliation!N80)</f>
        <v/>
      </c>
      <c r="O79" s="32" t="str">
        <f aca="false">IF(R79="","",Reconciliation!O80)</f>
        <v/>
      </c>
      <c r="P79" s="32" t="str">
        <f aca="false">IF(R79="","",Reconciliation!P80)</f>
        <v/>
      </c>
      <c r="Q79" s="32" t="str">
        <f aca="false">IF(R79="","",Reconciliation!Q80)</f>
        <v/>
      </c>
      <c r="R79" s="33" t="str">
        <f aca="false">IF(OR(Reconciliation!R80="✅ MATCH",Reconciliation!R80=""),"",Reconciliation!R80)</f>
        <v/>
      </c>
    </row>
    <row r="80" customFormat="false" ht="15" hidden="false" customHeight="true" outlineLevel="0" collapsed="false">
      <c r="A80" s="29" t="str">
        <f aca="false">IF(R80="","",Reconciliation!A81)</f>
        <v/>
      </c>
      <c r="B80" s="30" t="str">
        <f aca="false">IF(R80="","",Reconciliation!B81)</f>
        <v/>
      </c>
      <c r="C80" s="30" t="str">
        <f aca="false">IF(R80="","",Reconciliation!C81)</f>
        <v/>
      </c>
      <c r="D80" s="30" t="str">
        <f aca="false">IF(R80="","",Reconciliation!D81)</f>
        <v/>
      </c>
      <c r="E80" s="31" t="str">
        <f aca="false">IF(R80="","",Reconciliation!E81)</f>
        <v/>
      </c>
      <c r="F80" s="30" t="str">
        <f aca="false">IF(R80="","",Reconciliation!F81)</f>
        <v/>
      </c>
      <c r="G80" s="30" t="str">
        <f aca="false">IF(R80="","",Reconciliation!G81)</f>
        <v/>
      </c>
      <c r="H80" s="30" t="str">
        <f aca="false">IF(R80="","",Reconciliation!H81)</f>
        <v/>
      </c>
      <c r="I80" s="30" t="str">
        <f aca="false">IF(R80="","",Reconciliation!I81)</f>
        <v/>
      </c>
      <c r="J80" s="31" t="str">
        <f aca="false">IF(R80="","",Reconciliation!J81)</f>
        <v/>
      </c>
      <c r="K80" s="30" t="str">
        <f aca="false">IF(R80="","",Reconciliation!K81)</f>
        <v/>
      </c>
      <c r="L80" s="30" t="str">
        <f aca="false">IF(R80="","",Reconciliation!L81)</f>
        <v/>
      </c>
      <c r="M80" s="32" t="str">
        <f aca="false">IF(R80="","",Reconciliation!M81)</f>
        <v/>
      </c>
      <c r="N80" s="32" t="str">
        <f aca="false">IF(R80="","",Reconciliation!N81)</f>
        <v/>
      </c>
      <c r="O80" s="32" t="str">
        <f aca="false">IF(R80="","",Reconciliation!O81)</f>
        <v/>
      </c>
      <c r="P80" s="32" t="str">
        <f aca="false">IF(R80="","",Reconciliation!P81)</f>
        <v/>
      </c>
      <c r="Q80" s="32" t="str">
        <f aca="false">IF(R80="","",Reconciliation!Q81)</f>
        <v/>
      </c>
      <c r="R80" s="33" t="str">
        <f aca="false">IF(OR(Reconciliation!R81="✅ MATCH",Reconciliation!R81=""),"",Reconciliation!R81)</f>
        <v/>
      </c>
    </row>
    <row r="81" customFormat="false" ht="15" hidden="false" customHeight="true" outlineLevel="0" collapsed="false">
      <c r="A81" s="29" t="str">
        <f aca="false">IF(R81="","",Reconciliation!A82)</f>
        <v/>
      </c>
      <c r="B81" s="30" t="str">
        <f aca="false">IF(R81="","",Reconciliation!B82)</f>
        <v/>
      </c>
      <c r="C81" s="30" t="str">
        <f aca="false">IF(R81="","",Reconciliation!C82)</f>
        <v/>
      </c>
      <c r="D81" s="30" t="str">
        <f aca="false">IF(R81="","",Reconciliation!D82)</f>
        <v/>
      </c>
      <c r="E81" s="31" t="str">
        <f aca="false">IF(R81="","",Reconciliation!E82)</f>
        <v/>
      </c>
      <c r="F81" s="30" t="str">
        <f aca="false">IF(R81="","",Reconciliation!F82)</f>
        <v/>
      </c>
      <c r="G81" s="30" t="str">
        <f aca="false">IF(R81="","",Reconciliation!G82)</f>
        <v/>
      </c>
      <c r="H81" s="30" t="str">
        <f aca="false">IF(R81="","",Reconciliation!H82)</f>
        <v/>
      </c>
      <c r="I81" s="30" t="str">
        <f aca="false">IF(R81="","",Reconciliation!I82)</f>
        <v/>
      </c>
      <c r="J81" s="31" t="str">
        <f aca="false">IF(R81="","",Reconciliation!J82)</f>
        <v/>
      </c>
      <c r="K81" s="30" t="str">
        <f aca="false">IF(R81="","",Reconciliation!K82)</f>
        <v/>
      </c>
      <c r="L81" s="30" t="str">
        <f aca="false">IF(R81="","",Reconciliation!L82)</f>
        <v/>
      </c>
      <c r="M81" s="32" t="str">
        <f aca="false">IF(R81="","",Reconciliation!M82)</f>
        <v/>
      </c>
      <c r="N81" s="32" t="str">
        <f aca="false">IF(R81="","",Reconciliation!N82)</f>
        <v/>
      </c>
      <c r="O81" s="32" t="str">
        <f aca="false">IF(R81="","",Reconciliation!O82)</f>
        <v/>
      </c>
      <c r="P81" s="32" t="str">
        <f aca="false">IF(R81="","",Reconciliation!P82)</f>
        <v/>
      </c>
      <c r="Q81" s="32" t="str">
        <f aca="false">IF(R81="","",Reconciliation!Q82)</f>
        <v/>
      </c>
      <c r="R81" s="33" t="str">
        <f aca="false">IF(OR(Reconciliation!R82="✅ MATCH",Reconciliation!R82=""),"",Reconciliation!R82)</f>
        <v/>
      </c>
    </row>
    <row r="82" customFormat="false" ht="15" hidden="false" customHeight="true" outlineLevel="0" collapsed="false">
      <c r="A82" s="29" t="str">
        <f aca="false">IF(R82="","",Reconciliation!A83)</f>
        <v/>
      </c>
      <c r="B82" s="30" t="str">
        <f aca="false">IF(R82="","",Reconciliation!B83)</f>
        <v/>
      </c>
      <c r="C82" s="30" t="str">
        <f aca="false">IF(R82="","",Reconciliation!C83)</f>
        <v/>
      </c>
      <c r="D82" s="30" t="str">
        <f aca="false">IF(R82="","",Reconciliation!D83)</f>
        <v/>
      </c>
      <c r="E82" s="31" t="str">
        <f aca="false">IF(R82="","",Reconciliation!E83)</f>
        <v/>
      </c>
      <c r="F82" s="30" t="str">
        <f aca="false">IF(R82="","",Reconciliation!F83)</f>
        <v/>
      </c>
      <c r="G82" s="30" t="str">
        <f aca="false">IF(R82="","",Reconciliation!G83)</f>
        <v/>
      </c>
      <c r="H82" s="30" t="str">
        <f aca="false">IF(R82="","",Reconciliation!H83)</f>
        <v/>
      </c>
      <c r="I82" s="30" t="str">
        <f aca="false">IF(R82="","",Reconciliation!I83)</f>
        <v/>
      </c>
      <c r="J82" s="31" t="str">
        <f aca="false">IF(R82="","",Reconciliation!J83)</f>
        <v/>
      </c>
      <c r="K82" s="30" t="str">
        <f aca="false">IF(R82="","",Reconciliation!K83)</f>
        <v/>
      </c>
      <c r="L82" s="30" t="str">
        <f aca="false">IF(R82="","",Reconciliation!L83)</f>
        <v/>
      </c>
      <c r="M82" s="32" t="str">
        <f aca="false">IF(R82="","",Reconciliation!M83)</f>
        <v/>
      </c>
      <c r="N82" s="32" t="str">
        <f aca="false">IF(R82="","",Reconciliation!N83)</f>
        <v/>
      </c>
      <c r="O82" s="32" t="str">
        <f aca="false">IF(R82="","",Reconciliation!O83)</f>
        <v/>
      </c>
      <c r="P82" s="32" t="str">
        <f aca="false">IF(R82="","",Reconciliation!P83)</f>
        <v/>
      </c>
      <c r="Q82" s="32" t="str">
        <f aca="false">IF(R82="","",Reconciliation!Q83)</f>
        <v/>
      </c>
      <c r="R82" s="33" t="str">
        <f aca="false">IF(OR(Reconciliation!R83="✅ MATCH",Reconciliation!R83=""),"",Reconciliation!R83)</f>
        <v/>
      </c>
    </row>
    <row r="83" customFormat="false" ht="15" hidden="false" customHeight="true" outlineLevel="0" collapsed="false">
      <c r="A83" s="29" t="str">
        <f aca="false">IF(R83="","",Reconciliation!A84)</f>
        <v/>
      </c>
      <c r="B83" s="30" t="str">
        <f aca="false">IF(R83="","",Reconciliation!B84)</f>
        <v/>
      </c>
      <c r="C83" s="30" t="str">
        <f aca="false">IF(R83="","",Reconciliation!C84)</f>
        <v/>
      </c>
      <c r="D83" s="30" t="str">
        <f aca="false">IF(R83="","",Reconciliation!D84)</f>
        <v/>
      </c>
      <c r="E83" s="31" t="str">
        <f aca="false">IF(R83="","",Reconciliation!E84)</f>
        <v/>
      </c>
      <c r="F83" s="30" t="str">
        <f aca="false">IF(R83="","",Reconciliation!F84)</f>
        <v/>
      </c>
      <c r="G83" s="30" t="str">
        <f aca="false">IF(R83="","",Reconciliation!G84)</f>
        <v/>
      </c>
      <c r="H83" s="30" t="str">
        <f aca="false">IF(R83="","",Reconciliation!H84)</f>
        <v/>
      </c>
      <c r="I83" s="30" t="str">
        <f aca="false">IF(R83="","",Reconciliation!I84)</f>
        <v/>
      </c>
      <c r="J83" s="31" t="str">
        <f aca="false">IF(R83="","",Reconciliation!J84)</f>
        <v/>
      </c>
      <c r="K83" s="30" t="str">
        <f aca="false">IF(R83="","",Reconciliation!K84)</f>
        <v/>
      </c>
      <c r="L83" s="30" t="str">
        <f aca="false">IF(R83="","",Reconciliation!L84)</f>
        <v/>
      </c>
      <c r="M83" s="32" t="str">
        <f aca="false">IF(R83="","",Reconciliation!M84)</f>
        <v/>
      </c>
      <c r="N83" s="32" t="str">
        <f aca="false">IF(R83="","",Reconciliation!N84)</f>
        <v/>
      </c>
      <c r="O83" s="32" t="str">
        <f aca="false">IF(R83="","",Reconciliation!O84)</f>
        <v/>
      </c>
      <c r="P83" s="32" t="str">
        <f aca="false">IF(R83="","",Reconciliation!P84)</f>
        <v/>
      </c>
      <c r="Q83" s="32" t="str">
        <f aca="false">IF(R83="","",Reconciliation!Q84)</f>
        <v/>
      </c>
      <c r="R83" s="33" t="str">
        <f aca="false">IF(OR(Reconciliation!R84="✅ MATCH",Reconciliation!R84=""),"",Reconciliation!R84)</f>
        <v/>
      </c>
    </row>
    <row r="84" customFormat="false" ht="15" hidden="false" customHeight="true" outlineLevel="0" collapsed="false">
      <c r="A84" s="29" t="str">
        <f aca="false">IF(R84="","",Reconciliation!A85)</f>
        <v/>
      </c>
      <c r="B84" s="30" t="str">
        <f aca="false">IF(R84="","",Reconciliation!B85)</f>
        <v/>
      </c>
      <c r="C84" s="30" t="str">
        <f aca="false">IF(R84="","",Reconciliation!C85)</f>
        <v/>
      </c>
      <c r="D84" s="30" t="str">
        <f aca="false">IF(R84="","",Reconciliation!D85)</f>
        <v/>
      </c>
      <c r="E84" s="31" t="str">
        <f aca="false">IF(R84="","",Reconciliation!E85)</f>
        <v/>
      </c>
      <c r="F84" s="30" t="str">
        <f aca="false">IF(R84="","",Reconciliation!F85)</f>
        <v/>
      </c>
      <c r="G84" s="30" t="str">
        <f aca="false">IF(R84="","",Reconciliation!G85)</f>
        <v/>
      </c>
      <c r="H84" s="30" t="str">
        <f aca="false">IF(R84="","",Reconciliation!H85)</f>
        <v/>
      </c>
      <c r="I84" s="30" t="str">
        <f aca="false">IF(R84="","",Reconciliation!I85)</f>
        <v/>
      </c>
      <c r="J84" s="31" t="str">
        <f aca="false">IF(R84="","",Reconciliation!J85)</f>
        <v/>
      </c>
      <c r="K84" s="30" t="str">
        <f aca="false">IF(R84="","",Reconciliation!K85)</f>
        <v/>
      </c>
      <c r="L84" s="30" t="str">
        <f aca="false">IF(R84="","",Reconciliation!L85)</f>
        <v/>
      </c>
      <c r="M84" s="32" t="str">
        <f aca="false">IF(R84="","",Reconciliation!M85)</f>
        <v/>
      </c>
      <c r="N84" s="32" t="str">
        <f aca="false">IF(R84="","",Reconciliation!N85)</f>
        <v/>
      </c>
      <c r="O84" s="32" t="str">
        <f aca="false">IF(R84="","",Reconciliation!O85)</f>
        <v/>
      </c>
      <c r="P84" s="32" t="str">
        <f aca="false">IF(R84="","",Reconciliation!P85)</f>
        <v/>
      </c>
      <c r="Q84" s="32" t="str">
        <f aca="false">IF(R84="","",Reconciliation!Q85)</f>
        <v/>
      </c>
      <c r="R84" s="33" t="str">
        <f aca="false">IF(OR(Reconciliation!R85="✅ MATCH",Reconciliation!R85=""),"",Reconciliation!R85)</f>
        <v/>
      </c>
    </row>
    <row r="85" customFormat="false" ht="15" hidden="false" customHeight="true" outlineLevel="0" collapsed="false">
      <c r="A85" s="29" t="str">
        <f aca="false">IF(R85="","",Reconciliation!A86)</f>
        <v/>
      </c>
      <c r="B85" s="30" t="str">
        <f aca="false">IF(R85="","",Reconciliation!B86)</f>
        <v/>
      </c>
      <c r="C85" s="30" t="str">
        <f aca="false">IF(R85="","",Reconciliation!C86)</f>
        <v/>
      </c>
      <c r="D85" s="30" t="str">
        <f aca="false">IF(R85="","",Reconciliation!D86)</f>
        <v/>
      </c>
      <c r="E85" s="31" t="str">
        <f aca="false">IF(R85="","",Reconciliation!E86)</f>
        <v/>
      </c>
      <c r="F85" s="30" t="str">
        <f aca="false">IF(R85="","",Reconciliation!F86)</f>
        <v/>
      </c>
      <c r="G85" s="30" t="str">
        <f aca="false">IF(R85="","",Reconciliation!G86)</f>
        <v/>
      </c>
      <c r="H85" s="30" t="str">
        <f aca="false">IF(R85="","",Reconciliation!H86)</f>
        <v/>
      </c>
      <c r="I85" s="30" t="str">
        <f aca="false">IF(R85="","",Reconciliation!I86)</f>
        <v/>
      </c>
      <c r="J85" s="31" t="str">
        <f aca="false">IF(R85="","",Reconciliation!J86)</f>
        <v/>
      </c>
      <c r="K85" s="30" t="str">
        <f aca="false">IF(R85="","",Reconciliation!K86)</f>
        <v/>
      </c>
      <c r="L85" s="30" t="str">
        <f aca="false">IF(R85="","",Reconciliation!L86)</f>
        <v/>
      </c>
      <c r="M85" s="32" t="str">
        <f aca="false">IF(R85="","",Reconciliation!M86)</f>
        <v/>
      </c>
      <c r="N85" s="32" t="str">
        <f aca="false">IF(R85="","",Reconciliation!N86)</f>
        <v/>
      </c>
      <c r="O85" s="32" t="str">
        <f aca="false">IF(R85="","",Reconciliation!O86)</f>
        <v/>
      </c>
      <c r="P85" s="32" t="str">
        <f aca="false">IF(R85="","",Reconciliation!P86)</f>
        <v/>
      </c>
      <c r="Q85" s="32" t="str">
        <f aca="false">IF(R85="","",Reconciliation!Q86)</f>
        <v/>
      </c>
      <c r="R85" s="33" t="str">
        <f aca="false">IF(OR(Reconciliation!R86="✅ MATCH",Reconciliation!R86=""),"",Reconciliation!R86)</f>
        <v/>
      </c>
    </row>
    <row r="86" customFormat="false" ht="15" hidden="false" customHeight="true" outlineLevel="0" collapsed="false">
      <c r="A86" s="29" t="str">
        <f aca="false">IF(R86="","",Reconciliation!A87)</f>
        <v/>
      </c>
      <c r="B86" s="30" t="str">
        <f aca="false">IF(R86="","",Reconciliation!B87)</f>
        <v/>
      </c>
      <c r="C86" s="30" t="str">
        <f aca="false">IF(R86="","",Reconciliation!C87)</f>
        <v/>
      </c>
      <c r="D86" s="30" t="str">
        <f aca="false">IF(R86="","",Reconciliation!D87)</f>
        <v/>
      </c>
      <c r="E86" s="31" t="str">
        <f aca="false">IF(R86="","",Reconciliation!E87)</f>
        <v/>
      </c>
      <c r="F86" s="30" t="str">
        <f aca="false">IF(R86="","",Reconciliation!F87)</f>
        <v/>
      </c>
      <c r="G86" s="30" t="str">
        <f aca="false">IF(R86="","",Reconciliation!G87)</f>
        <v/>
      </c>
      <c r="H86" s="30" t="str">
        <f aca="false">IF(R86="","",Reconciliation!H87)</f>
        <v/>
      </c>
      <c r="I86" s="30" t="str">
        <f aca="false">IF(R86="","",Reconciliation!I87)</f>
        <v/>
      </c>
      <c r="J86" s="31" t="str">
        <f aca="false">IF(R86="","",Reconciliation!J87)</f>
        <v/>
      </c>
      <c r="K86" s="30" t="str">
        <f aca="false">IF(R86="","",Reconciliation!K87)</f>
        <v/>
      </c>
      <c r="L86" s="30" t="str">
        <f aca="false">IF(R86="","",Reconciliation!L87)</f>
        <v/>
      </c>
      <c r="M86" s="32" t="str">
        <f aca="false">IF(R86="","",Reconciliation!M87)</f>
        <v/>
      </c>
      <c r="N86" s="32" t="str">
        <f aca="false">IF(R86="","",Reconciliation!N87)</f>
        <v/>
      </c>
      <c r="O86" s="32" t="str">
        <f aca="false">IF(R86="","",Reconciliation!O87)</f>
        <v/>
      </c>
      <c r="P86" s="32" t="str">
        <f aca="false">IF(R86="","",Reconciliation!P87)</f>
        <v/>
      </c>
      <c r="Q86" s="32" t="str">
        <f aca="false">IF(R86="","",Reconciliation!Q87)</f>
        <v/>
      </c>
      <c r="R86" s="33" t="str">
        <f aca="false">IF(OR(Reconciliation!R87="✅ MATCH",Reconciliation!R87=""),"",Reconciliation!R87)</f>
        <v/>
      </c>
    </row>
    <row r="87" customFormat="false" ht="15" hidden="false" customHeight="true" outlineLevel="0" collapsed="false">
      <c r="A87" s="29" t="str">
        <f aca="false">IF(R87="","",Reconciliation!A88)</f>
        <v/>
      </c>
      <c r="B87" s="30" t="str">
        <f aca="false">IF(R87="","",Reconciliation!B88)</f>
        <v/>
      </c>
      <c r="C87" s="30" t="str">
        <f aca="false">IF(R87="","",Reconciliation!C88)</f>
        <v/>
      </c>
      <c r="D87" s="30" t="str">
        <f aca="false">IF(R87="","",Reconciliation!D88)</f>
        <v/>
      </c>
      <c r="E87" s="31" t="str">
        <f aca="false">IF(R87="","",Reconciliation!E88)</f>
        <v/>
      </c>
      <c r="F87" s="30" t="str">
        <f aca="false">IF(R87="","",Reconciliation!F88)</f>
        <v/>
      </c>
      <c r="G87" s="30" t="str">
        <f aca="false">IF(R87="","",Reconciliation!G88)</f>
        <v/>
      </c>
      <c r="H87" s="30" t="str">
        <f aca="false">IF(R87="","",Reconciliation!H88)</f>
        <v/>
      </c>
      <c r="I87" s="30" t="str">
        <f aca="false">IF(R87="","",Reconciliation!I88)</f>
        <v/>
      </c>
      <c r="J87" s="31" t="str">
        <f aca="false">IF(R87="","",Reconciliation!J88)</f>
        <v/>
      </c>
      <c r="K87" s="30" t="str">
        <f aca="false">IF(R87="","",Reconciliation!K88)</f>
        <v/>
      </c>
      <c r="L87" s="30" t="str">
        <f aca="false">IF(R87="","",Reconciliation!L88)</f>
        <v/>
      </c>
      <c r="M87" s="32" t="str">
        <f aca="false">IF(R87="","",Reconciliation!M88)</f>
        <v/>
      </c>
      <c r="N87" s="32" t="str">
        <f aca="false">IF(R87="","",Reconciliation!N88)</f>
        <v/>
      </c>
      <c r="O87" s="32" t="str">
        <f aca="false">IF(R87="","",Reconciliation!O88)</f>
        <v/>
      </c>
      <c r="P87" s="32" t="str">
        <f aca="false">IF(R87="","",Reconciliation!P88)</f>
        <v/>
      </c>
      <c r="Q87" s="32" t="str">
        <f aca="false">IF(R87="","",Reconciliation!Q88)</f>
        <v/>
      </c>
      <c r="R87" s="33" t="str">
        <f aca="false">IF(OR(Reconciliation!R88="✅ MATCH",Reconciliation!R88=""),"",Reconciliation!R88)</f>
        <v/>
      </c>
    </row>
    <row r="88" customFormat="false" ht="15" hidden="false" customHeight="true" outlineLevel="0" collapsed="false">
      <c r="A88" s="29" t="str">
        <f aca="false">IF(R88="","",Reconciliation!A89)</f>
        <v/>
      </c>
      <c r="B88" s="30" t="str">
        <f aca="false">IF(R88="","",Reconciliation!B89)</f>
        <v/>
      </c>
      <c r="C88" s="30" t="str">
        <f aca="false">IF(R88="","",Reconciliation!C89)</f>
        <v/>
      </c>
      <c r="D88" s="30" t="str">
        <f aca="false">IF(R88="","",Reconciliation!D89)</f>
        <v/>
      </c>
      <c r="E88" s="31" t="str">
        <f aca="false">IF(R88="","",Reconciliation!E89)</f>
        <v/>
      </c>
      <c r="F88" s="30" t="str">
        <f aca="false">IF(R88="","",Reconciliation!F89)</f>
        <v/>
      </c>
      <c r="G88" s="30" t="str">
        <f aca="false">IF(R88="","",Reconciliation!G89)</f>
        <v/>
      </c>
      <c r="H88" s="30" t="str">
        <f aca="false">IF(R88="","",Reconciliation!H89)</f>
        <v/>
      </c>
      <c r="I88" s="30" t="str">
        <f aca="false">IF(R88="","",Reconciliation!I89)</f>
        <v/>
      </c>
      <c r="J88" s="31" t="str">
        <f aca="false">IF(R88="","",Reconciliation!J89)</f>
        <v/>
      </c>
      <c r="K88" s="30" t="str">
        <f aca="false">IF(R88="","",Reconciliation!K89)</f>
        <v/>
      </c>
      <c r="L88" s="30" t="str">
        <f aca="false">IF(R88="","",Reconciliation!L89)</f>
        <v/>
      </c>
      <c r="M88" s="32" t="str">
        <f aca="false">IF(R88="","",Reconciliation!M89)</f>
        <v/>
      </c>
      <c r="N88" s="32" t="str">
        <f aca="false">IF(R88="","",Reconciliation!N89)</f>
        <v/>
      </c>
      <c r="O88" s="32" t="str">
        <f aca="false">IF(R88="","",Reconciliation!O89)</f>
        <v/>
      </c>
      <c r="P88" s="32" t="str">
        <f aca="false">IF(R88="","",Reconciliation!P89)</f>
        <v/>
      </c>
      <c r="Q88" s="32" t="str">
        <f aca="false">IF(R88="","",Reconciliation!Q89)</f>
        <v/>
      </c>
      <c r="R88" s="33" t="str">
        <f aca="false">IF(OR(Reconciliation!R89="✅ MATCH",Reconciliation!R89=""),"",Reconciliation!R89)</f>
        <v/>
      </c>
    </row>
    <row r="89" customFormat="false" ht="15" hidden="false" customHeight="true" outlineLevel="0" collapsed="false">
      <c r="A89" s="29" t="str">
        <f aca="false">IF(R89="","",Reconciliation!A90)</f>
        <v/>
      </c>
      <c r="B89" s="30" t="str">
        <f aca="false">IF(R89="","",Reconciliation!B90)</f>
        <v/>
      </c>
      <c r="C89" s="30" t="str">
        <f aca="false">IF(R89="","",Reconciliation!C90)</f>
        <v/>
      </c>
      <c r="D89" s="30" t="str">
        <f aca="false">IF(R89="","",Reconciliation!D90)</f>
        <v/>
      </c>
      <c r="E89" s="31" t="str">
        <f aca="false">IF(R89="","",Reconciliation!E90)</f>
        <v/>
      </c>
      <c r="F89" s="30" t="str">
        <f aca="false">IF(R89="","",Reconciliation!F90)</f>
        <v/>
      </c>
      <c r="G89" s="30" t="str">
        <f aca="false">IF(R89="","",Reconciliation!G90)</f>
        <v/>
      </c>
      <c r="H89" s="30" t="str">
        <f aca="false">IF(R89="","",Reconciliation!H90)</f>
        <v/>
      </c>
      <c r="I89" s="30" t="str">
        <f aca="false">IF(R89="","",Reconciliation!I90)</f>
        <v/>
      </c>
      <c r="J89" s="31" t="str">
        <f aca="false">IF(R89="","",Reconciliation!J90)</f>
        <v/>
      </c>
      <c r="K89" s="30" t="str">
        <f aca="false">IF(R89="","",Reconciliation!K90)</f>
        <v/>
      </c>
      <c r="L89" s="30" t="str">
        <f aca="false">IF(R89="","",Reconciliation!L90)</f>
        <v/>
      </c>
      <c r="M89" s="32" t="str">
        <f aca="false">IF(R89="","",Reconciliation!M90)</f>
        <v/>
      </c>
      <c r="N89" s="32" t="str">
        <f aca="false">IF(R89="","",Reconciliation!N90)</f>
        <v/>
      </c>
      <c r="O89" s="32" t="str">
        <f aca="false">IF(R89="","",Reconciliation!O90)</f>
        <v/>
      </c>
      <c r="P89" s="32" t="str">
        <f aca="false">IF(R89="","",Reconciliation!P90)</f>
        <v/>
      </c>
      <c r="Q89" s="32" t="str">
        <f aca="false">IF(R89="","",Reconciliation!Q90)</f>
        <v/>
      </c>
      <c r="R89" s="33" t="str">
        <f aca="false">IF(OR(Reconciliation!R90="✅ MATCH",Reconciliation!R90=""),"",Reconciliation!R90)</f>
        <v/>
      </c>
    </row>
    <row r="90" customFormat="false" ht="15" hidden="false" customHeight="true" outlineLevel="0" collapsed="false">
      <c r="A90" s="29" t="str">
        <f aca="false">IF(R90="","",Reconciliation!A91)</f>
        <v/>
      </c>
      <c r="B90" s="30" t="str">
        <f aca="false">IF(R90="","",Reconciliation!B91)</f>
        <v/>
      </c>
      <c r="C90" s="30" t="str">
        <f aca="false">IF(R90="","",Reconciliation!C91)</f>
        <v/>
      </c>
      <c r="D90" s="30" t="str">
        <f aca="false">IF(R90="","",Reconciliation!D91)</f>
        <v/>
      </c>
      <c r="E90" s="31" t="str">
        <f aca="false">IF(R90="","",Reconciliation!E91)</f>
        <v/>
      </c>
      <c r="F90" s="30" t="str">
        <f aca="false">IF(R90="","",Reconciliation!F91)</f>
        <v/>
      </c>
      <c r="G90" s="30" t="str">
        <f aca="false">IF(R90="","",Reconciliation!G91)</f>
        <v/>
      </c>
      <c r="H90" s="30" t="str">
        <f aca="false">IF(R90="","",Reconciliation!H91)</f>
        <v/>
      </c>
      <c r="I90" s="30" t="str">
        <f aca="false">IF(R90="","",Reconciliation!I91)</f>
        <v/>
      </c>
      <c r="J90" s="31" t="str">
        <f aca="false">IF(R90="","",Reconciliation!J91)</f>
        <v/>
      </c>
      <c r="K90" s="30" t="str">
        <f aca="false">IF(R90="","",Reconciliation!K91)</f>
        <v/>
      </c>
      <c r="L90" s="30" t="str">
        <f aca="false">IF(R90="","",Reconciliation!L91)</f>
        <v/>
      </c>
      <c r="M90" s="32" t="str">
        <f aca="false">IF(R90="","",Reconciliation!M91)</f>
        <v/>
      </c>
      <c r="N90" s="32" t="str">
        <f aca="false">IF(R90="","",Reconciliation!N91)</f>
        <v/>
      </c>
      <c r="O90" s="32" t="str">
        <f aca="false">IF(R90="","",Reconciliation!O91)</f>
        <v/>
      </c>
      <c r="P90" s="32" t="str">
        <f aca="false">IF(R90="","",Reconciliation!P91)</f>
        <v/>
      </c>
      <c r="Q90" s="32" t="str">
        <f aca="false">IF(R90="","",Reconciliation!Q91)</f>
        <v/>
      </c>
      <c r="R90" s="33" t="str">
        <f aca="false">IF(OR(Reconciliation!R91="✅ MATCH",Reconciliation!R91=""),"",Reconciliation!R91)</f>
        <v/>
      </c>
    </row>
    <row r="91" customFormat="false" ht="15" hidden="false" customHeight="true" outlineLevel="0" collapsed="false">
      <c r="A91" s="29" t="str">
        <f aca="false">IF(R91="","",Reconciliation!A92)</f>
        <v/>
      </c>
      <c r="B91" s="30" t="str">
        <f aca="false">IF(R91="","",Reconciliation!B92)</f>
        <v/>
      </c>
      <c r="C91" s="30" t="str">
        <f aca="false">IF(R91="","",Reconciliation!C92)</f>
        <v/>
      </c>
      <c r="D91" s="30" t="str">
        <f aca="false">IF(R91="","",Reconciliation!D92)</f>
        <v/>
      </c>
      <c r="E91" s="31" t="str">
        <f aca="false">IF(R91="","",Reconciliation!E92)</f>
        <v/>
      </c>
      <c r="F91" s="30" t="str">
        <f aca="false">IF(R91="","",Reconciliation!F92)</f>
        <v/>
      </c>
      <c r="G91" s="30" t="str">
        <f aca="false">IF(R91="","",Reconciliation!G92)</f>
        <v/>
      </c>
      <c r="H91" s="30" t="str">
        <f aca="false">IF(R91="","",Reconciliation!H92)</f>
        <v/>
      </c>
      <c r="I91" s="30" t="str">
        <f aca="false">IF(R91="","",Reconciliation!I92)</f>
        <v/>
      </c>
      <c r="J91" s="31" t="str">
        <f aca="false">IF(R91="","",Reconciliation!J92)</f>
        <v/>
      </c>
      <c r="K91" s="30" t="str">
        <f aca="false">IF(R91="","",Reconciliation!K92)</f>
        <v/>
      </c>
      <c r="L91" s="30" t="str">
        <f aca="false">IF(R91="","",Reconciliation!L92)</f>
        <v/>
      </c>
      <c r="M91" s="32" t="str">
        <f aca="false">IF(R91="","",Reconciliation!M92)</f>
        <v/>
      </c>
      <c r="N91" s="32" t="str">
        <f aca="false">IF(R91="","",Reconciliation!N92)</f>
        <v/>
      </c>
      <c r="O91" s="32" t="str">
        <f aca="false">IF(R91="","",Reconciliation!O92)</f>
        <v/>
      </c>
      <c r="P91" s="32" t="str">
        <f aca="false">IF(R91="","",Reconciliation!P92)</f>
        <v/>
      </c>
      <c r="Q91" s="32" t="str">
        <f aca="false">IF(R91="","",Reconciliation!Q92)</f>
        <v/>
      </c>
      <c r="R91" s="33" t="str">
        <f aca="false">IF(OR(Reconciliation!R92="✅ MATCH",Reconciliation!R92=""),"",Reconciliation!R92)</f>
        <v/>
      </c>
    </row>
    <row r="92" customFormat="false" ht="15" hidden="false" customHeight="true" outlineLevel="0" collapsed="false">
      <c r="A92" s="29" t="str">
        <f aca="false">IF(R92="","",Reconciliation!A93)</f>
        <v/>
      </c>
      <c r="B92" s="30" t="str">
        <f aca="false">IF(R92="","",Reconciliation!B93)</f>
        <v/>
      </c>
      <c r="C92" s="30" t="str">
        <f aca="false">IF(R92="","",Reconciliation!C93)</f>
        <v/>
      </c>
      <c r="D92" s="30" t="str">
        <f aca="false">IF(R92="","",Reconciliation!D93)</f>
        <v/>
      </c>
      <c r="E92" s="31" t="str">
        <f aca="false">IF(R92="","",Reconciliation!E93)</f>
        <v/>
      </c>
      <c r="F92" s="30" t="str">
        <f aca="false">IF(R92="","",Reconciliation!F93)</f>
        <v/>
      </c>
      <c r="G92" s="30" t="str">
        <f aca="false">IF(R92="","",Reconciliation!G93)</f>
        <v/>
      </c>
      <c r="H92" s="30" t="str">
        <f aca="false">IF(R92="","",Reconciliation!H93)</f>
        <v/>
      </c>
      <c r="I92" s="30" t="str">
        <f aca="false">IF(R92="","",Reconciliation!I93)</f>
        <v/>
      </c>
      <c r="J92" s="31" t="str">
        <f aca="false">IF(R92="","",Reconciliation!J93)</f>
        <v/>
      </c>
      <c r="K92" s="30" t="str">
        <f aca="false">IF(R92="","",Reconciliation!K93)</f>
        <v/>
      </c>
      <c r="L92" s="30" t="str">
        <f aca="false">IF(R92="","",Reconciliation!L93)</f>
        <v/>
      </c>
      <c r="M92" s="32" t="str">
        <f aca="false">IF(R92="","",Reconciliation!M93)</f>
        <v/>
      </c>
      <c r="N92" s="32" t="str">
        <f aca="false">IF(R92="","",Reconciliation!N93)</f>
        <v/>
      </c>
      <c r="O92" s="32" t="str">
        <f aca="false">IF(R92="","",Reconciliation!O93)</f>
        <v/>
      </c>
      <c r="P92" s="32" t="str">
        <f aca="false">IF(R92="","",Reconciliation!P93)</f>
        <v/>
      </c>
      <c r="Q92" s="32" t="str">
        <f aca="false">IF(R92="","",Reconciliation!Q93)</f>
        <v/>
      </c>
      <c r="R92" s="33" t="str">
        <f aca="false">IF(OR(Reconciliation!R93="✅ MATCH",Reconciliation!R93=""),"",Reconciliation!R93)</f>
        <v/>
      </c>
    </row>
    <row r="93" customFormat="false" ht="15" hidden="false" customHeight="true" outlineLevel="0" collapsed="false">
      <c r="A93" s="29" t="str">
        <f aca="false">IF(R93="","",Reconciliation!A94)</f>
        <v/>
      </c>
      <c r="B93" s="30" t="str">
        <f aca="false">IF(R93="","",Reconciliation!B94)</f>
        <v/>
      </c>
      <c r="C93" s="30" t="str">
        <f aca="false">IF(R93="","",Reconciliation!C94)</f>
        <v/>
      </c>
      <c r="D93" s="30" t="str">
        <f aca="false">IF(R93="","",Reconciliation!D94)</f>
        <v/>
      </c>
      <c r="E93" s="31" t="str">
        <f aca="false">IF(R93="","",Reconciliation!E94)</f>
        <v/>
      </c>
      <c r="F93" s="30" t="str">
        <f aca="false">IF(R93="","",Reconciliation!F94)</f>
        <v/>
      </c>
      <c r="G93" s="30" t="str">
        <f aca="false">IF(R93="","",Reconciliation!G94)</f>
        <v/>
      </c>
      <c r="H93" s="30" t="str">
        <f aca="false">IF(R93="","",Reconciliation!H94)</f>
        <v/>
      </c>
      <c r="I93" s="30" t="str">
        <f aca="false">IF(R93="","",Reconciliation!I94)</f>
        <v/>
      </c>
      <c r="J93" s="31" t="str">
        <f aca="false">IF(R93="","",Reconciliation!J94)</f>
        <v/>
      </c>
      <c r="K93" s="30" t="str">
        <f aca="false">IF(R93="","",Reconciliation!K94)</f>
        <v/>
      </c>
      <c r="L93" s="30" t="str">
        <f aca="false">IF(R93="","",Reconciliation!L94)</f>
        <v/>
      </c>
      <c r="M93" s="32" t="str">
        <f aca="false">IF(R93="","",Reconciliation!M94)</f>
        <v/>
      </c>
      <c r="N93" s="32" t="str">
        <f aca="false">IF(R93="","",Reconciliation!N94)</f>
        <v/>
      </c>
      <c r="O93" s="32" t="str">
        <f aca="false">IF(R93="","",Reconciliation!O94)</f>
        <v/>
      </c>
      <c r="P93" s="32" t="str">
        <f aca="false">IF(R93="","",Reconciliation!P94)</f>
        <v/>
      </c>
      <c r="Q93" s="32" t="str">
        <f aca="false">IF(R93="","",Reconciliation!Q94)</f>
        <v/>
      </c>
      <c r="R93" s="33" t="str">
        <f aca="false">IF(OR(Reconciliation!R94="✅ MATCH",Reconciliation!R94=""),"",Reconciliation!R94)</f>
        <v/>
      </c>
    </row>
    <row r="94" customFormat="false" ht="15" hidden="false" customHeight="true" outlineLevel="0" collapsed="false">
      <c r="A94" s="29" t="str">
        <f aca="false">IF(R94="","",Reconciliation!A95)</f>
        <v/>
      </c>
      <c r="B94" s="30" t="str">
        <f aca="false">IF(R94="","",Reconciliation!B95)</f>
        <v/>
      </c>
      <c r="C94" s="30" t="str">
        <f aca="false">IF(R94="","",Reconciliation!C95)</f>
        <v/>
      </c>
      <c r="D94" s="30" t="str">
        <f aca="false">IF(R94="","",Reconciliation!D95)</f>
        <v/>
      </c>
      <c r="E94" s="31" t="str">
        <f aca="false">IF(R94="","",Reconciliation!E95)</f>
        <v/>
      </c>
      <c r="F94" s="30" t="str">
        <f aca="false">IF(R94="","",Reconciliation!F95)</f>
        <v/>
      </c>
      <c r="G94" s="30" t="str">
        <f aca="false">IF(R94="","",Reconciliation!G95)</f>
        <v/>
      </c>
      <c r="H94" s="30" t="str">
        <f aca="false">IF(R94="","",Reconciliation!H95)</f>
        <v/>
      </c>
      <c r="I94" s="30" t="str">
        <f aca="false">IF(R94="","",Reconciliation!I95)</f>
        <v/>
      </c>
      <c r="J94" s="31" t="str">
        <f aca="false">IF(R94="","",Reconciliation!J95)</f>
        <v/>
      </c>
      <c r="K94" s="30" t="str">
        <f aca="false">IF(R94="","",Reconciliation!K95)</f>
        <v/>
      </c>
      <c r="L94" s="30" t="str">
        <f aca="false">IF(R94="","",Reconciliation!L95)</f>
        <v/>
      </c>
      <c r="M94" s="32" t="str">
        <f aca="false">IF(R94="","",Reconciliation!M95)</f>
        <v/>
      </c>
      <c r="N94" s="32" t="str">
        <f aca="false">IF(R94="","",Reconciliation!N95)</f>
        <v/>
      </c>
      <c r="O94" s="32" t="str">
        <f aca="false">IF(R94="","",Reconciliation!O95)</f>
        <v/>
      </c>
      <c r="P94" s="32" t="str">
        <f aca="false">IF(R94="","",Reconciliation!P95)</f>
        <v/>
      </c>
      <c r="Q94" s="32" t="str">
        <f aca="false">IF(R94="","",Reconciliation!Q95)</f>
        <v/>
      </c>
      <c r="R94" s="33" t="str">
        <f aca="false">IF(OR(Reconciliation!R95="✅ MATCH",Reconciliation!R95=""),"",Reconciliation!R95)</f>
        <v/>
      </c>
    </row>
    <row r="95" customFormat="false" ht="15" hidden="false" customHeight="true" outlineLevel="0" collapsed="false">
      <c r="A95" s="29" t="str">
        <f aca="false">IF(R95="","",Reconciliation!A96)</f>
        <v/>
      </c>
      <c r="B95" s="30" t="str">
        <f aca="false">IF(R95="","",Reconciliation!B96)</f>
        <v/>
      </c>
      <c r="C95" s="30" t="str">
        <f aca="false">IF(R95="","",Reconciliation!C96)</f>
        <v/>
      </c>
      <c r="D95" s="30" t="str">
        <f aca="false">IF(R95="","",Reconciliation!D96)</f>
        <v/>
      </c>
      <c r="E95" s="31" t="str">
        <f aca="false">IF(R95="","",Reconciliation!E96)</f>
        <v/>
      </c>
      <c r="F95" s="30" t="str">
        <f aca="false">IF(R95="","",Reconciliation!F96)</f>
        <v/>
      </c>
      <c r="G95" s="30" t="str">
        <f aca="false">IF(R95="","",Reconciliation!G96)</f>
        <v/>
      </c>
      <c r="H95" s="30" t="str">
        <f aca="false">IF(R95="","",Reconciliation!H96)</f>
        <v/>
      </c>
      <c r="I95" s="30" t="str">
        <f aca="false">IF(R95="","",Reconciliation!I96)</f>
        <v/>
      </c>
      <c r="J95" s="31" t="str">
        <f aca="false">IF(R95="","",Reconciliation!J96)</f>
        <v/>
      </c>
      <c r="K95" s="30" t="str">
        <f aca="false">IF(R95="","",Reconciliation!K96)</f>
        <v/>
      </c>
      <c r="L95" s="30" t="str">
        <f aca="false">IF(R95="","",Reconciliation!L96)</f>
        <v/>
      </c>
      <c r="M95" s="32" t="str">
        <f aca="false">IF(R95="","",Reconciliation!M96)</f>
        <v/>
      </c>
      <c r="N95" s="32" t="str">
        <f aca="false">IF(R95="","",Reconciliation!N96)</f>
        <v/>
      </c>
      <c r="O95" s="32" t="str">
        <f aca="false">IF(R95="","",Reconciliation!O96)</f>
        <v/>
      </c>
      <c r="P95" s="32" t="str">
        <f aca="false">IF(R95="","",Reconciliation!P96)</f>
        <v/>
      </c>
      <c r="Q95" s="32" t="str">
        <f aca="false">IF(R95="","",Reconciliation!Q96)</f>
        <v/>
      </c>
      <c r="R95" s="33" t="str">
        <f aca="false">IF(OR(Reconciliation!R96="✅ MATCH",Reconciliation!R96=""),"",Reconciliation!R96)</f>
        <v/>
      </c>
    </row>
    <row r="96" customFormat="false" ht="15" hidden="false" customHeight="true" outlineLevel="0" collapsed="false">
      <c r="A96" s="29" t="str">
        <f aca="false">IF(R96="","",Reconciliation!A97)</f>
        <v/>
      </c>
      <c r="B96" s="30" t="str">
        <f aca="false">IF(R96="","",Reconciliation!B97)</f>
        <v/>
      </c>
      <c r="C96" s="30" t="str">
        <f aca="false">IF(R96="","",Reconciliation!C97)</f>
        <v/>
      </c>
      <c r="D96" s="30" t="str">
        <f aca="false">IF(R96="","",Reconciliation!D97)</f>
        <v/>
      </c>
      <c r="E96" s="31" t="str">
        <f aca="false">IF(R96="","",Reconciliation!E97)</f>
        <v/>
      </c>
      <c r="F96" s="30" t="str">
        <f aca="false">IF(R96="","",Reconciliation!F97)</f>
        <v/>
      </c>
      <c r="G96" s="30" t="str">
        <f aca="false">IF(R96="","",Reconciliation!G97)</f>
        <v/>
      </c>
      <c r="H96" s="30" t="str">
        <f aca="false">IF(R96="","",Reconciliation!H97)</f>
        <v/>
      </c>
      <c r="I96" s="30" t="str">
        <f aca="false">IF(R96="","",Reconciliation!I97)</f>
        <v/>
      </c>
      <c r="J96" s="31" t="str">
        <f aca="false">IF(R96="","",Reconciliation!J97)</f>
        <v/>
      </c>
      <c r="K96" s="30" t="str">
        <f aca="false">IF(R96="","",Reconciliation!K97)</f>
        <v/>
      </c>
      <c r="L96" s="30" t="str">
        <f aca="false">IF(R96="","",Reconciliation!L97)</f>
        <v/>
      </c>
      <c r="M96" s="32" t="str">
        <f aca="false">IF(R96="","",Reconciliation!M97)</f>
        <v/>
      </c>
      <c r="N96" s="32" t="str">
        <f aca="false">IF(R96="","",Reconciliation!N97)</f>
        <v/>
      </c>
      <c r="O96" s="32" t="str">
        <f aca="false">IF(R96="","",Reconciliation!O97)</f>
        <v/>
      </c>
      <c r="P96" s="32" t="str">
        <f aca="false">IF(R96="","",Reconciliation!P97)</f>
        <v/>
      </c>
      <c r="Q96" s="32" t="str">
        <f aca="false">IF(R96="","",Reconciliation!Q97)</f>
        <v/>
      </c>
      <c r="R96" s="33" t="str">
        <f aca="false">IF(OR(Reconciliation!R97="✅ MATCH",Reconciliation!R97=""),"",Reconciliation!R97)</f>
        <v/>
      </c>
    </row>
    <row r="97" customFormat="false" ht="15" hidden="false" customHeight="true" outlineLevel="0" collapsed="false">
      <c r="A97" s="29" t="str">
        <f aca="false">IF(R97="","",Reconciliation!A98)</f>
        <v/>
      </c>
      <c r="B97" s="30" t="str">
        <f aca="false">IF(R97="","",Reconciliation!B98)</f>
        <v/>
      </c>
      <c r="C97" s="30" t="str">
        <f aca="false">IF(R97="","",Reconciliation!C98)</f>
        <v/>
      </c>
      <c r="D97" s="30" t="str">
        <f aca="false">IF(R97="","",Reconciliation!D98)</f>
        <v/>
      </c>
      <c r="E97" s="31" t="str">
        <f aca="false">IF(R97="","",Reconciliation!E98)</f>
        <v/>
      </c>
      <c r="F97" s="30" t="str">
        <f aca="false">IF(R97="","",Reconciliation!F98)</f>
        <v/>
      </c>
      <c r="G97" s="30" t="str">
        <f aca="false">IF(R97="","",Reconciliation!G98)</f>
        <v/>
      </c>
      <c r="H97" s="30" t="str">
        <f aca="false">IF(R97="","",Reconciliation!H98)</f>
        <v/>
      </c>
      <c r="I97" s="30" t="str">
        <f aca="false">IF(R97="","",Reconciliation!I98)</f>
        <v/>
      </c>
      <c r="J97" s="31" t="str">
        <f aca="false">IF(R97="","",Reconciliation!J98)</f>
        <v/>
      </c>
      <c r="K97" s="30" t="str">
        <f aca="false">IF(R97="","",Reconciliation!K98)</f>
        <v/>
      </c>
      <c r="L97" s="30" t="str">
        <f aca="false">IF(R97="","",Reconciliation!L98)</f>
        <v/>
      </c>
      <c r="M97" s="32" t="str">
        <f aca="false">IF(R97="","",Reconciliation!M98)</f>
        <v/>
      </c>
      <c r="N97" s="32" t="str">
        <f aca="false">IF(R97="","",Reconciliation!N98)</f>
        <v/>
      </c>
      <c r="O97" s="32" t="str">
        <f aca="false">IF(R97="","",Reconciliation!O98)</f>
        <v/>
      </c>
      <c r="P97" s="32" t="str">
        <f aca="false">IF(R97="","",Reconciliation!P98)</f>
        <v/>
      </c>
      <c r="Q97" s="32" t="str">
        <f aca="false">IF(R97="","",Reconciliation!Q98)</f>
        <v/>
      </c>
      <c r="R97" s="33" t="str">
        <f aca="false">IF(OR(Reconciliation!R98="✅ MATCH",Reconciliation!R98=""),"",Reconciliation!R98)</f>
        <v/>
      </c>
    </row>
    <row r="98" customFormat="false" ht="15" hidden="false" customHeight="true" outlineLevel="0" collapsed="false">
      <c r="A98" s="29" t="str">
        <f aca="false">IF(R98="","",Reconciliation!A99)</f>
        <v/>
      </c>
      <c r="B98" s="30" t="str">
        <f aca="false">IF(R98="","",Reconciliation!B99)</f>
        <v/>
      </c>
      <c r="C98" s="30" t="str">
        <f aca="false">IF(R98="","",Reconciliation!C99)</f>
        <v/>
      </c>
      <c r="D98" s="30" t="str">
        <f aca="false">IF(R98="","",Reconciliation!D99)</f>
        <v/>
      </c>
      <c r="E98" s="31" t="str">
        <f aca="false">IF(R98="","",Reconciliation!E99)</f>
        <v/>
      </c>
      <c r="F98" s="30" t="str">
        <f aca="false">IF(R98="","",Reconciliation!F99)</f>
        <v/>
      </c>
      <c r="G98" s="30" t="str">
        <f aca="false">IF(R98="","",Reconciliation!G99)</f>
        <v/>
      </c>
      <c r="H98" s="30" t="str">
        <f aca="false">IF(R98="","",Reconciliation!H99)</f>
        <v/>
      </c>
      <c r="I98" s="30" t="str">
        <f aca="false">IF(R98="","",Reconciliation!I99)</f>
        <v/>
      </c>
      <c r="J98" s="31" t="str">
        <f aca="false">IF(R98="","",Reconciliation!J99)</f>
        <v/>
      </c>
      <c r="K98" s="30" t="str">
        <f aca="false">IF(R98="","",Reconciliation!K99)</f>
        <v/>
      </c>
      <c r="L98" s="30" t="str">
        <f aca="false">IF(R98="","",Reconciliation!L99)</f>
        <v/>
      </c>
      <c r="M98" s="32" t="str">
        <f aca="false">IF(R98="","",Reconciliation!M99)</f>
        <v/>
      </c>
      <c r="N98" s="32" t="str">
        <f aca="false">IF(R98="","",Reconciliation!N99)</f>
        <v/>
      </c>
      <c r="O98" s="32" t="str">
        <f aca="false">IF(R98="","",Reconciliation!O99)</f>
        <v/>
      </c>
      <c r="P98" s="32" t="str">
        <f aca="false">IF(R98="","",Reconciliation!P99)</f>
        <v/>
      </c>
      <c r="Q98" s="32" t="str">
        <f aca="false">IF(R98="","",Reconciliation!Q99)</f>
        <v/>
      </c>
      <c r="R98" s="33" t="str">
        <f aca="false">IF(OR(Reconciliation!R99="✅ MATCH",Reconciliation!R99=""),"",Reconciliation!R99)</f>
        <v/>
      </c>
    </row>
    <row r="99" customFormat="false" ht="15" hidden="false" customHeight="true" outlineLevel="0" collapsed="false">
      <c r="A99" s="29" t="str">
        <f aca="false">IF(R99="","",Reconciliation!A100)</f>
        <v/>
      </c>
      <c r="B99" s="30" t="str">
        <f aca="false">IF(R99="","",Reconciliation!B100)</f>
        <v/>
      </c>
      <c r="C99" s="30" t="str">
        <f aca="false">IF(R99="","",Reconciliation!C100)</f>
        <v/>
      </c>
      <c r="D99" s="30" t="str">
        <f aca="false">IF(R99="","",Reconciliation!D100)</f>
        <v/>
      </c>
      <c r="E99" s="31" t="str">
        <f aca="false">IF(R99="","",Reconciliation!E100)</f>
        <v/>
      </c>
      <c r="F99" s="30" t="str">
        <f aca="false">IF(R99="","",Reconciliation!F100)</f>
        <v/>
      </c>
      <c r="G99" s="30" t="str">
        <f aca="false">IF(R99="","",Reconciliation!G100)</f>
        <v/>
      </c>
      <c r="H99" s="30" t="str">
        <f aca="false">IF(R99="","",Reconciliation!H100)</f>
        <v/>
      </c>
      <c r="I99" s="30" t="str">
        <f aca="false">IF(R99="","",Reconciliation!I100)</f>
        <v/>
      </c>
      <c r="J99" s="31" t="str">
        <f aca="false">IF(R99="","",Reconciliation!J100)</f>
        <v/>
      </c>
      <c r="K99" s="30" t="str">
        <f aca="false">IF(R99="","",Reconciliation!K100)</f>
        <v/>
      </c>
      <c r="L99" s="30" t="str">
        <f aca="false">IF(R99="","",Reconciliation!L100)</f>
        <v/>
      </c>
      <c r="M99" s="32" t="str">
        <f aca="false">IF(R99="","",Reconciliation!M100)</f>
        <v/>
      </c>
      <c r="N99" s="32" t="str">
        <f aca="false">IF(R99="","",Reconciliation!N100)</f>
        <v/>
      </c>
      <c r="O99" s="32" t="str">
        <f aca="false">IF(R99="","",Reconciliation!O100)</f>
        <v/>
      </c>
      <c r="P99" s="32" t="str">
        <f aca="false">IF(R99="","",Reconciliation!P100)</f>
        <v/>
      </c>
      <c r="Q99" s="32" t="str">
        <f aca="false">IF(R99="","",Reconciliation!Q100)</f>
        <v/>
      </c>
      <c r="R99" s="33" t="str">
        <f aca="false">IF(OR(Reconciliation!R100="✅ MATCH",Reconciliation!R100=""),"",Reconciliation!R100)</f>
        <v/>
      </c>
    </row>
    <row r="100" customFormat="false" ht="15" hidden="false" customHeight="true" outlineLevel="0" collapsed="false">
      <c r="A100" s="29" t="str">
        <f aca="false">IF(R100="","",Reconciliation!A101)</f>
        <v/>
      </c>
      <c r="B100" s="30" t="str">
        <f aca="false">IF(R100="","",Reconciliation!B101)</f>
        <v/>
      </c>
      <c r="C100" s="30" t="str">
        <f aca="false">IF(R100="","",Reconciliation!C101)</f>
        <v/>
      </c>
      <c r="D100" s="30" t="str">
        <f aca="false">IF(R100="","",Reconciliation!D101)</f>
        <v/>
      </c>
      <c r="E100" s="31" t="str">
        <f aca="false">IF(R100="","",Reconciliation!E101)</f>
        <v/>
      </c>
      <c r="F100" s="30" t="str">
        <f aca="false">IF(R100="","",Reconciliation!F101)</f>
        <v/>
      </c>
      <c r="G100" s="30" t="str">
        <f aca="false">IF(R100="","",Reconciliation!G101)</f>
        <v/>
      </c>
      <c r="H100" s="30" t="str">
        <f aca="false">IF(R100="","",Reconciliation!H101)</f>
        <v/>
      </c>
      <c r="I100" s="30" t="str">
        <f aca="false">IF(R100="","",Reconciliation!I101)</f>
        <v/>
      </c>
      <c r="J100" s="31" t="str">
        <f aca="false">IF(R100="","",Reconciliation!J101)</f>
        <v/>
      </c>
      <c r="K100" s="30" t="str">
        <f aca="false">IF(R100="","",Reconciliation!K101)</f>
        <v/>
      </c>
      <c r="L100" s="30" t="str">
        <f aca="false">IF(R100="","",Reconciliation!L101)</f>
        <v/>
      </c>
      <c r="M100" s="32" t="str">
        <f aca="false">IF(R100="","",Reconciliation!M101)</f>
        <v/>
      </c>
      <c r="N100" s="32" t="str">
        <f aca="false">IF(R100="","",Reconciliation!N101)</f>
        <v/>
      </c>
      <c r="O100" s="32" t="str">
        <f aca="false">IF(R100="","",Reconciliation!O101)</f>
        <v/>
      </c>
      <c r="P100" s="32" t="str">
        <f aca="false">IF(R100="","",Reconciliation!P101)</f>
        <v/>
      </c>
      <c r="Q100" s="32" t="str">
        <f aca="false">IF(R100="","",Reconciliation!Q101)</f>
        <v/>
      </c>
      <c r="R100" s="33" t="str">
        <f aca="false">IF(OR(Reconciliation!R101="✅ MATCH",Reconciliation!R101=""),"",Reconciliation!R101)</f>
        <v/>
      </c>
    </row>
    <row r="101" customFormat="false" ht="15" hidden="false" customHeight="true" outlineLevel="0" collapsed="false">
      <c r="A101" s="29" t="str">
        <f aca="false">IF(R101="","",Reconciliation!A102)</f>
        <v/>
      </c>
      <c r="B101" s="30" t="str">
        <f aca="false">IF(R101="","",Reconciliation!B102)</f>
        <v/>
      </c>
      <c r="C101" s="30" t="str">
        <f aca="false">IF(R101="","",Reconciliation!C102)</f>
        <v/>
      </c>
      <c r="D101" s="30" t="str">
        <f aca="false">IF(R101="","",Reconciliation!D102)</f>
        <v/>
      </c>
      <c r="E101" s="31" t="str">
        <f aca="false">IF(R101="","",Reconciliation!E102)</f>
        <v/>
      </c>
      <c r="F101" s="30" t="str">
        <f aca="false">IF(R101="","",Reconciliation!F102)</f>
        <v/>
      </c>
      <c r="G101" s="30" t="str">
        <f aca="false">IF(R101="","",Reconciliation!G102)</f>
        <v/>
      </c>
      <c r="H101" s="30" t="str">
        <f aca="false">IF(R101="","",Reconciliation!H102)</f>
        <v/>
      </c>
      <c r="I101" s="30" t="str">
        <f aca="false">IF(R101="","",Reconciliation!I102)</f>
        <v/>
      </c>
      <c r="J101" s="31" t="str">
        <f aca="false">IF(R101="","",Reconciliation!J102)</f>
        <v/>
      </c>
      <c r="K101" s="30" t="str">
        <f aca="false">IF(R101="","",Reconciliation!K102)</f>
        <v/>
      </c>
      <c r="L101" s="30" t="str">
        <f aca="false">IF(R101="","",Reconciliation!L102)</f>
        <v/>
      </c>
      <c r="M101" s="32" t="str">
        <f aca="false">IF(R101="","",Reconciliation!M102)</f>
        <v/>
      </c>
      <c r="N101" s="32" t="str">
        <f aca="false">IF(R101="","",Reconciliation!N102)</f>
        <v/>
      </c>
      <c r="O101" s="32" t="str">
        <f aca="false">IF(R101="","",Reconciliation!O102)</f>
        <v/>
      </c>
      <c r="P101" s="32" t="str">
        <f aca="false">IF(R101="","",Reconciliation!P102)</f>
        <v/>
      </c>
      <c r="Q101" s="32" t="str">
        <f aca="false">IF(R101="","",Reconciliation!Q102)</f>
        <v/>
      </c>
      <c r="R101" s="33" t="str">
        <f aca="false">IF(OR(Reconciliation!R102="✅ MATCH",Reconciliation!R102=""),"",Reconciliation!R102)</f>
        <v/>
      </c>
    </row>
    <row r="102" customFormat="false" ht="15" hidden="false" customHeight="true" outlineLevel="0" collapsed="false">
      <c r="A102" s="29" t="str">
        <f aca="false">IF(R102="","",Reconciliation!A103)</f>
        <v/>
      </c>
      <c r="B102" s="30" t="str">
        <f aca="false">IF(R102="","",Reconciliation!B103)</f>
        <v/>
      </c>
      <c r="C102" s="30" t="str">
        <f aca="false">IF(R102="","",Reconciliation!C103)</f>
        <v/>
      </c>
      <c r="D102" s="30" t="str">
        <f aca="false">IF(R102="","",Reconciliation!D103)</f>
        <v/>
      </c>
      <c r="E102" s="31" t="str">
        <f aca="false">IF(R102="","",Reconciliation!E103)</f>
        <v/>
      </c>
      <c r="F102" s="30" t="str">
        <f aca="false">IF(R102="","",Reconciliation!F103)</f>
        <v/>
      </c>
      <c r="G102" s="30" t="str">
        <f aca="false">IF(R102="","",Reconciliation!G103)</f>
        <v/>
      </c>
      <c r="H102" s="30" t="str">
        <f aca="false">IF(R102="","",Reconciliation!H103)</f>
        <v/>
      </c>
      <c r="I102" s="30" t="str">
        <f aca="false">IF(R102="","",Reconciliation!I103)</f>
        <v/>
      </c>
      <c r="J102" s="31" t="str">
        <f aca="false">IF(R102="","",Reconciliation!J103)</f>
        <v/>
      </c>
      <c r="K102" s="30" t="str">
        <f aca="false">IF(R102="","",Reconciliation!K103)</f>
        <v/>
      </c>
      <c r="L102" s="30" t="str">
        <f aca="false">IF(R102="","",Reconciliation!L103)</f>
        <v/>
      </c>
      <c r="M102" s="32" t="str">
        <f aca="false">IF(R102="","",Reconciliation!M103)</f>
        <v/>
      </c>
      <c r="N102" s="32" t="str">
        <f aca="false">IF(R102="","",Reconciliation!N103)</f>
        <v/>
      </c>
      <c r="O102" s="32" t="str">
        <f aca="false">IF(R102="","",Reconciliation!O103)</f>
        <v/>
      </c>
      <c r="P102" s="32" t="str">
        <f aca="false">IF(R102="","",Reconciliation!P103)</f>
        <v/>
      </c>
      <c r="Q102" s="32" t="str">
        <f aca="false">IF(R102="","",Reconciliation!Q103)</f>
        <v/>
      </c>
      <c r="R102" s="33" t="str">
        <f aca="false">IF(OR(Reconciliation!R103="✅ MATCH",Reconciliation!R103=""),"",Reconciliation!R103)</f>
        <v/>
      </c>
    </row>
    <row r="103" customFormat="false" ht="15" hidden="false" customHeight="true" outlineLevel="0" collapsed="false">
      <c r="A103" s="29" t="str">
        <f aca="false">IF(R103="","",Reconciliation!A104)</f>
        <v/>
      </c>
      <c r="B103" s="30" t="str">
        <f aca="false">IF(R103="","",Reconciliation!B104)</f>
        <v/>
      </c>
      <c r="C103" s="30" t="str">
        <f aca="false">IF(R103="","",Reconciliation!C104)</f>
        <v/>
      </c>
      <c r="D103" s="30" t="str">
        <f aca="false">IF(R103="","",Reconciliation!D104)</f>
        <v/>
      </c>
      <c r="E103" s="31" t="str">
        <f aca="false">IF(R103="","",Reconciliation!E104)</f>
        <v/>
      </c>
      <c r="F103" s="30" t="str">
        <f aca="false">IF(R103="","",Reconciliation!F104)</f>
        <v/>
      </c>
      <c r="G103" s="30" t="str">
        <f aca="false">IF(R103="","",Reconciliation!G104)</f>
        <v/>
      </c>
      <c r="H103" s="30" t="str">
        <f aca="false">IF(R103="","",Reconciliation!H104)</f>
        <v/>
      </c>
      <c r="I103" s="30" t="str">
        <f aca="false">IF(R103="","",Reconciliation!I104)</f>
        <v/>
      </c>
      <c r="J103" s="31" t="str">
        <f aca="false">IF(R103="","",Reconciliation!J104)</f>
        <v/>
      </c>
      <c r="K103" s="30" t="str">
        <f aca="false">IF(R103="","",Reconciliation!K104)</f>
        <v/>
      </c>
      <c r="L103" s="30" t="str">
        <f aca="false">IF(R103="","",Reconciliation!L104)</f>
        <v/>
      </c>
      <c r="M103" s="32" t="str">
        <f aca="false">IF(R103="","",Reconciliation!M104)</f>
        <v/>
      </c>
      <c r="N103" s="32" t="str">
        <f aca="false">IF(R103="","",Reconciliation!N104)</f>
        <v/>
      </c>
      <c r="O103" s="32" t="str">
        <f aca="false">IF(R103="","",Reconciliation!O104)</f>
        <v/>
      </c>
      <c r="P103" s="32" t="str">
        <f aca="false">IF(R103="","",Reconciliation!P104)</f>
        <v/>
      </c>
      <c r="Q103" s="32" t="str">
        <f aca="false">IF(R103="","",Reconciliation!Q104)</f>
        <v/>
      </c>
      <c r="R103" s="33" t="str">
        <f aca="false">IF(OR(Reconciliation!R104="✅ MATCH",Reconciliation!R104=""),"",Reconciliation!R104)</f>
        <v/>
      </c>
    </row>
    <row r="104" customFormat="false" ht="15" hidden="false" customHeight="true" outlineLevel="0" collapsed="false">
      <c r="A104" s="29" t="str">
        <f aca="false">IF(R104="","",Reconciliation!A105)</f>
        <v/>
      </c>
      <c r="B104" s="30" t="str">
        <f aca="false">IF(R104="","",Reconciliation!B105)</f>
        <v/>
      </c>
      <c r="C104" s="30" t="str">
        <f aca="false">IF(R104="","",Reconciliation!C105)</f>
        <v/>
      </c>
      <c r="D104" s="30" t="str">
        <f aca="false">IF(R104="","",Reconciliation!D105)</f>
        <v/>
      </c>
      <c r="E104" s="31" t="str">
        <f aca="false">IF(R104="","",Reconciliation!E105)</f>
        <v/>
      </c>
      <c r="F104" s="30" t="str">
        <f aca="false">IF(R104="","",Reconciliation!F105)</f>
        <v/>
      </c>
      <c r="G104" s="30" t="str">
        <f aca="false">IF(R104="","",Reconciliation!G105)</f>
        <v/>
      </c>
      <c r="H104" s="30" t="str">
        <f aca="false">IF(R104="","",Reconciliation!H105)</f>
        <v/>
      </c>
      <c r="I104" s="30" t="str">
        <f aca="false">IF(R104="","",Reconciliation!I105)</f>
        <v/>
      </c>
      <c r="J104" s="31" t="str">
        <f aca="false">IF(R104="","",Reconciliation!J105)</f>
        <v/>
      </c>
      <c r="K104" s="30" t="str">
        <f aca="false">IF(R104="","",Reconciliation!K105)</f>
        <v/>
      </c>
      <c r="L104" s="30" t="str">
        <f aca="false">IF(R104="","",Reconciliation!L105)</f>
        <v/>
      </c>
      <c r="M104" s="32" t="str">
        <f aca="false">IF(R104="","",Reconciliation!M105)</f>
        <v/>
      </c>
      <c r="N104" s="32" t="str">
        <f aca="false">IF(R104="","",Reconciliation!N105)</f>
        <v/>
      </c>
      <c r="O104" s="32" t="str">
        <f aca="false">IF(R104="","",Reconciliation!O105)</f>
        <v/>
      </c>
      <c r="P104" s="32" t="str">
        <f aca="false">IF(R104="","",Reconciliation!P105)</f>
        <v/>
      </c>
      <c r="Q104" s="32" t="str">
        <f aca="false">IF(R104="","",Reconciliation!Q105)</f>
        <v/>
      </c>
      <c r="R104" s="33" t="str">
        <f aca="false">IF(OR(Reconciliation!R105="✅ MATCH",Reconciliation!R105=""),"",Reconciliation!R105)</f>
        <v/>
      </c>
    </row>
    <row r="105" customFormat="false" ht="15" hidden="false" customHeight="true" outlineLevel="0" collapsed="false">
      <c r="A105" s="29" t="str">
        <f aca="false">IF(R105="","",Reconciliation!A106)</f>
        <v/>
      </c>
      <c r="B105" s="30" t="str">
        <f aca="false">IF(R105="","",Reconciliation!B106)</f>
        <v/>
      </c>
      <c r="C105" s="30" t="str">
        <f aca="false">IF(R105="","",Reconciliation!C106)</f>
        <v/>
      </c>
      <c r="D105" s="30" t="str">
        <f aca="false">IF(R105="","",Reconciliation!D106)</f>
        <v/>
      </c>
      <c r="E105" s="31" t="str">
        <f aca="false">IF(R105="","",Reconciliation!E106)</f>
        <v/>
      </c>
      <c r="F105" s="30" t="str">
        <f aca="false">IF(R105="","",Reconciliation!F106)</f>
        <v/>
      </c>
      <c r="G105" s="30" t="str">
        <f aca="false">IF(R105="","",Reconciliation!G106)</f>
        <v/>
      </c>
      <c r="H105" s="30" t="str">
        <f aca="false">IF(R105="","",Reconciliation!H106)</f>
        <v/>
      </c>
      <c r="I105" s="30" t="str">
        <f aca="false">IF(R105="","",Reconciliation!I106)</f>
        <v/>
      </c>
      <c r="J105" s="31" t="str">
        <f aca="false">IF(R105="","",Reconciliation!J106)</f>
        <v/>
      </c>
      <c r="K105" s="30" t="str">
        <f aca="false">IF(R105="","",Reconciliation!K106)</f>
        <v/>
      </c>
      <c r="L105" s="30" t="str">
        <f aca="false">IF(R105="","",Reconciliation!L106)</f>
        <v/>
      </c>
      <c r="M105" s="32" t="str">
        <f aca="false">IF(R105="","",Reconciliation!M106)</f>
        <v/>
      </c>
      <c r="N105" s="32" t="str">
        <f aca="false">IF(R105="","",Reconciliation!N106)</f>
        <v/>
      </c>
      <c r="O105" s="32" t="str">
        <f aca="false">IF(R105="","",Reconciliation!O106)</f>
        <v/>
      </c>
      <c r="P105" s="32" t="str">
        <f aca="false">IF(R105="","",Reconciliation!P106)</f>
        <v/>
      </c>
      <c r="Q105" s="32" t="str">
        <f aca="false">IF(R105="","",Reconciliation!Q106)</f>
        <v/>
      </c>
      <c r="R105" s="33" t="str">
        <f aca="false">IF(OR(Reconciliation!R106="✅ MATCH",Reconciliation!R106=""),"",Reconciliation!R106)</f>
        <v/>
      </c>
    </row>
    <row r="106" customFormat="false" ht="15" hidden="false" customHeight="true" outlineLevel="0" collapsed="false">
      <c r="A106" s="29" t="str">
        <f aca="false">IF(R106="","",Reconciliation!A107)</f>
        <v/>
      </c>
      <c r="B106" s="30" t="str">
        <f aca="false">IF(R106="","",Reconciliation!B107)</f>
        <v/>
      </c>
      <c r="C106" s="30" t="str">
        <f aca="false">IF(R106="","",Reconciliation!C107)</f>
        <v/>
      </c>
      <c r="D106" s="30" t="str">
        <f aca="false">IF(R106="","",Reconciliation!D107)</f>
        <v/>
      </c>
      <c r="E106" s="31" t="str">
        <f aca="false">IF(R106="","",Reconciliation!E107)</f>
        <v/>
      </c>
      <c r="F106" s="30" t="str">
        <f aca="false">IF(R106="","",Reconciliation!F107)</f>
        <v/>
      </c>
      <c r="G106" s="30" t="str">
        <f aca="false">IF(R106="","",Reconciliation!G107)</f>
        <v/>
      </c>
      <c r="H106" s="30" t="str">
        <f aca="false">IF(R106="","",Reconciliation!H107)</f>
        <v/>
      </c>
      <c r="I106" s="30" t="str">
        <f aca="false">IF(R106="","",Reconciliation!I107)</f>
        <v/>
      </c>
      <c r="J106" s="31" t="str">
        <f aca="false">IF(R106="","",Reconciliation!J107)</f>
        <v/>
      </c>
      <c r="K106" s="30" t="str">
        <f aca="false">IF(R106="","",Reconciliation!K107)</f>
        <v/>
      </c>
      <c r="L106" s="30" t="str">
        <f aca="false">IF(R106="","",Reconciliation!L107)</f>
        <v/>
      </c>
      <c r="M106" s="32" t="str">
        <f aca="false">IF(R106="","",Reconciliation!M107)</f>
        <v/>
      </c>
      <c r="N106" s="32" t="str">
        <f aca="false">IF(R106="","",Reconciliation!N107)</f>
        <v/>
      </c>
      <c r="O106" s="32" t="str">
        <f aca="false">IF(R106="","",Reconciliation!O107)</f>
        <v/>
      </c>
      <c r="P106" s="32" t="str">
        <f aca="false">IF(R106="","",Reconciliation!P107)</f>
        <v/>
      </c>
      <c r="Q106" s="32" t="str">
        <f aca="false">IF(R106="","",Reconciliation!Q107)</f>
        <v/>
      </c>
      <c r="R106" s="33" t="str">
        <f aca="false">IF(OR(Reconciliation!R107="✅ MATCH",Reconciliation!R107=""),"",Reconciliation!R107)</f>
        <v/>
      </c>
    </row>
    <row r="107" customFormat="false" ht="15" hidden="false" customHeight="true" outlineLevel="0" collapsed="false">
      <c r="A107" s="29" t="str">
        <f aca="false">IF(R107="","",Reconciliation!A108)</f>
        <v/>
      </c>
      <c r="B107" s="30" t="str">
        <f aca="false">IF(R107="","",Reconciliation!B108)</f>
        <v/>
      </c>
      <c r="C107" s="30" t="str">
        <f aca="false">IF(R107="","",Reconciliation!C108)</f>
        <v/>
      </c>
      <c r="D107" s="30" t="str">
        <f aca="false">IF(R107="","",Reconciliation!D108)</f>
        <v/>
      </c>
      <c r="E107" s="31" t="str">
        <f aca="false">IF(R107="","",Reconciliation!E108)</f>
        <v/>
      </c>
      <c r="F107" s="30" t="str">
        <f aca="false">IF(R107="","",Reconciliation!F108)</f>
        <v/>
      </c>
      <c r="G107" s="30" t="str">
        <f aca="false">IF(R107="","",Reconciliation!G108)</f>
        <v/>
      </c>
      <c r="H107" s="30" t="str">
        <f aca="false">IF(R107="","",Reconciliation!H108)</f>
        <v/>
      </c>
      <c r="I107" s="30" t="str">
        <f aca="false">IF(R107="","",Reconciliation!I108)</f>
        <v/>
      </c>
      <c r="J107" s="31" t="str">
        <f aca="false">IF(R107="","",Reconciliation!J108)</f>
        <v/>
      </c>
      <c r="K107" s="30" t="str">
        <f aca="false">IF(R107="","",Reconciliation!K108)</f>
        <v/>
      </c>
      <c r="L107" s="30" t="str">
        <f aca="false">IF(R107="","",Reconciliation!L108)</f>
        <v/>
      </c>
      <c r="M107" s="32" t="str">
        <f aca="false">IF(R107="","",Reconciliation!M108)</f>
        <v/>
      </c>
      <c r="N107" s="32" t="str">
        <f aca="false">IF(R107="","",Reconciliation!N108)</f>
        <v/>
      </c>
      <c r="O107" s="32" t="str">
        <f aca="false">IF(R107="","",Reconciliation!O108)</f>
        <v/>
      </c>
      <c r="P107" s="32" t="str">
        <f aca="false">IF(R107="","",Reconciliation!P108)</f>
        <v/>
      </c>
      <c r="Q107" s="32" t="str">
        <f aca="false">IF(R107="","",Reconciliation!Q108)</f>
        <v/>
      </c>
      <c r="R107" s="33" t="str">
        <f aca="false">IF(OR(Reconciliation!R108="✅ MATCH",Reconciliation!R108=""),"",Reconciliation!R108)</f>
        <v/>
      </c>
    </row>
    <row r="108" customFormat="false" ht="15" hidden="false" customHeight="true" outlineLevel="0" collapsed="false">
      <c r="A108" s="29" t="str">
        <f aca="false">IF(R108="","",Reconciliation!A109)</f>
        <v/>
      </c>
      <c r="B108" s="30" t="str">
        <f aca="false">IF(R108="","",Reconciliation!B109)</f>
        <v/>
      </c>
      <c r="C108" s="30" t="str">
        <f aca="false">IF(R108="","",Reconciliation!C109)</f>
        <v/>
      </c>
      <c r="D108" s="30" t="str">
        <f aca="false">IF(R108="","",Reconciliation!D109)</f>
        <v/>
      </c>
      <c r="E108" s="31" t="str">
        <f aca="false">IF(R108="","",Reconciliation!E109)</f>
        <v/>
      </c>
      <c r="F108" s="30" t="str">
        <f aca="false">IF(R108="","",Reconciliation!F109)</f>
        <v/>
      </c>
      <c r="G108" s="30" t="str">
        <f aca="false">IF(R108="","",Reconciliation!G109)</f>
        <v/>
      </c>
      <c r="H108" s="30" t="str">
        <f aca="false">IF(R108="","",Reconciliation!H109)</f>
        <v/>
      </c>
      <c r="I108" s="30" t="str">
        <f aca="false">IF(R108="","",Reconciliation!I109)</f>
        <v/>
      </c>
      <c r="J108" s="31" t="str">
        <f aca="false">IF(R108="","",Reconciliation!J109)</f>
        <v/>
      </c>
      <c r="K108" s="30" t="str">
        <f aca="false">IF(R108="","",Reconciliation!K109)</f>
        <v/>
      </c>
      <c r="L108" s="30" t="str">
        <f aca="false">IF(R108="","",Reconciliation!L109)</f>
        <v/>
      </c>
      <c r="M108" s="32" t="str">
        <f aca="false">IF(R108="","",Reconciliation!M109)</f>
        <v/>
      </c>
      <c r="N108" s="32" t="str">
        <f aca="false">IF(R108="","",Reconciliation!N109)</f>
        <v/>
      </c>
      <c r="O108" s="32" t="str">
        <f aca="false">IF(R108="","",Reconciliation!O109)</f>
        <v/>
      </c>
      <c r="P108" s="32" t="str">
        <f aca="false">IF(R108="","",Reconciliation!P109)</f>
        <v/>
      </c>
      <c r="Q108" s="32" t="str">
        <f aca="false">IF(R108="","",Reconciliation!Q109)</f>
        <v/>
      </c>
      <c r="R108" s="33" t="str">
        <f aca="false">IF(OR(Reconciliation!R109="✅ MATCH",Reconciliation!R109=""),"",Reconciliation!R109)</f>
        <v/>
      </c>
    </row>
    <row r="109" customFormat="false" ht="15" hidden="false" customHeight="true" outlineLevel="0" collapsed="false">
      <c r="A109" s="29" t="str">
        <f aca="false">IF(R109="","",Reconciliation!A110)</f>
        <v/>
      </c>
      <c r="B109" s="30" t="str">
        <f aca="false">IF(R109="","",Reconciliation!B110)</f>
        <v/>
      </c>
      <c r="C109" s="30" t="str">
        <f aca="false">IF(R109="","",Reconciliation!C110)</f>
        <v/>
      </c>
      <c r="D109" s="30" t="str">
        <f aca="false">IF(R109="","",Reconciliation!D110)</f>
        <v/>
      </c>
      <c r="E109" s="31" t="str">
        <f aca="false">IF(R109="","",Reconciliation!E110)</f>
        <v/>
      </c>
      <c r="F109" s="30" t="str">
        <f aca="false">IF(R109="","",Reconciliation!F110)</f>
        <v/>
      </c>
      <c r="G109" s="30" t="str">
        <f aca="false">IF(R109="","",Reconciliation!G110)</f>
        <v/>
      </c>
      <c r="H109" s="30" t="str">
        <f aca="false">IF(R109="","",Reconciliation!H110)</f>
        <v/>
      </c>
      <c r="I109" s="30" t="str">
        <f aca="false">IF(R109="","",Reconciliation!I110)</f>
        <v/>
      </c>
      <c r="J109" s="31" t="str">
        <f aca="false">IF(R109="","",Reconciliation!J110)</f>
        <v/>
      </c>
      <c r="K109" s="30" t="str">
        <f aca="false">IF(R109="","",Reconciliation!K110)</f>
        <v/>
      </c>
      <c r="L109" s="30" t="str">
        <f aca="false">IF(R109="","",Reconciliation!L110)</f>
        <v/>
      </c>
      <c r="M109" s="32" t="str">
        <f aca="false">IF(R109="","",Reconciliation!M110)</f>
        <v/>
      </c>
      <c r="N109" s="32" t="str">
        <f aca="false">IF(R109="","",Reconciliation!N110)</f>
        <v/>
      </c>
      <c r="O109" s="32" t="str">
        <f aca="false">IF(R109="","",Reconciliation!O110)</f>
        <v/>
      </c>
      <c r="P109" s="32" t="str">
        <f aca="false">IF(R109="","",Reconciliation!P110)</f>
        <v/>
      </c>
      <c r="Q109" s="32" t="str">
        <f aca="false">IF(R109="","",Reconciliation!Q110)</f>
        <v/>
      </c>
      <c r="R109" s="33" t="str">
        <f aca="false">IF(OR(Reconciliation!R110="✅ MATCH",Reconciliation!R110=""),"",Reconciliation!R110)</f>
        <v/>
      </c>
    </row>
    <row r="110" customFormat="false" ht="15" hidden="false" customHeight="true" outlineLevel="0" collapsed="false">
      <c r="A110" s="29" t="str">
        <f aca="false">IF(R110="","",Reconciliation!A111)</f>
        <v/>
      </c>
      <c r="B110" s="30" t="str">
        <f aca="false">IF(R110="","",Reconciliation!B111)</f>
        <v/>
      </c>
      <c r="C110" s="30" t="str">
        <f aca="false">IF(R110="","",Reconciliation!C111)</f>
        <v/>
      </c>
      <c r="D110" s="30" t="str">
        <f aca="false">IF(R110="","",Reconciliation!D111)</f>
        <v/>
      </c>
      <c r="E110" s="31" t="str">
        <f aca="false">IF(R110="","",Reconciliation!E111)</f>
        <v/>
      </c>
      <c r="F110" s="30" t="str">
        <f aca="false">IF(R110="","",Reconciliation!F111)</f>
        <v/>
      </c>
      <c r="G110" s="30" t="str">
        <f aca="false">IF(R110="","",Reconciliation!G111)</f>
        <v/>
      </c>
      <c r="H110" s="30" t="str">
        <f aca="false">IF(R110="","",Reconciliation!H111)</f>
        <v/>
      </c>
      <c r="I110" s="30" t="str">
        <f aca="false">IF(R110="","",Reconciliation!I111)</f>
        <v/>
      </c>
      <c r="J110" s="31" t="str">
        <f aca="false">IF(R110="","",Reconciliation!J111)</f>
        <v/>
      </c>
      <c r="K110" s="30" t="str">
        <f aca="false">IF(R110="","",Reconciliation!K111)</f>
        <v/>
      </c>
      <c r="L110" s="30" t="str">
        <f aca="false">IF(R110="","",Reconciliation!L111)</f>
        <v/>
      </c>
      <c r="M110" s="32" t="str">
        <f aca="false">IF(R110="","",Reconciliation!M111)</f>
        <v/>
      </c>
      <c r="N110" s="32" t="str">
        <f aca="false">IF(R110="","",Reconciliation!N111)</f>
        <v/>
      </c>
      <c r="O110" s="32" t="str">
        <f aca="false">IF(R110="","",Reconciliation!O111)</f>
        <v/>
      </c>
      <c r="P110" s="32" t="str">
        <f aca="false">IF(R110="","",Reconciliation!P111)</f>
        <v/>
      </c>
      <c r="Q110" s="32" t="str">
        <f aca="false">IF(R110="","",Reconciliation!Q111)</f>
        <v/>
      </c>
      <c r="R110" s="33" t="str">
        <f aca="false">IF(OR(Reconciliation!R111="✅ MATCH",Reconciliation!R111=""),"",Reconciliation!R111)</f>
        <v/>
      </c>
    </row>
    <row r="111" customFormat="false" ht="15" hidden="false" customHeight="true" outlineLevel="0" collapsed="false">
      <c r="A111" s="29" t="str">
        <f aca="false">IF(R111="","",Reconciliation!A112)</f>
        <v/>
      </c>
      <c r="B111" s="30" t="str">
        <f aca="false">IF(R111="","",Reconciliation!B112)</f>
        <v/>
      </c>
      <c r="C111" s="30" t="str">
        <f aca="false">IF(R111="","",Reconciliation!C112)</f>
        <v/>
      </c>
      <c r="D111" s="30" t="str">
        <f aca="false">IF(R111="","",Reconciliation!D112)</f>
        <v/>
      </c>
      <c r="E111" s="31" t="str">
        <f aca="false">IF(R111="","",Reconciliation!E112)</f>
        <v/>
      </c>
      <c r="F111" s="30" t="str">
        <f aca="false">IF(R111="","",Reconciliation!F112)</f>
        <v/>
      </c>
      <c r="G111" s="30" t="str">
        <f aca="false">IF(R111="","",Reconciliation!G112)</f>
        <v/>
      </c>
      <c r="H111" s="30" t="str">
        <f aca="false">IF(R111="","",Reconciliation!H112)</f>
        <v/>
      </c>
      <c r="I111" s="30" t="str">
        <f aca="false">IF(R111="","",Reconciliation!I112)</f>
        <v/>
      </c>
      <c r="J111" s="31" t="str">
        <f aca="false">IF(R111="","",Reconciliation!J112)</f>
        <v/>
      </c>
      <c r="K111" s="30" t="str">
        <f aca="false">IF(R111="","",Reconciliation!K112)</f>
        <v/>
      </c>
      <c r="L111" s="30" t="str">
        <f aca="false">IF(R111="","",Reconciliation!L112)</f>
        <v/>
      </c>
      <c r="M111" s="32" t="str">
        <f aca="false">IF(R111="","",Reconciliation!M112)</f>
        <v/>
      </c>
      <c r="N111" s="32" t="str">
        <f aca="false">IF(R111="","",Reconciliation!N112)</f>
        <v/>
      </c>
      <c r="O111" s="32" t="str">
        <f aca="false">IF(R111="","",Reconciliation!O112)</f>
        <v/>
      </c>
      <c r="P111" s="32" t="str">
        <f aca="false">IF(R111="","",Reconciliation!P112)</f>
        <v/>
      </c>
      <c r="Q111" s="32" t="str">
        <f aca="false">IF(R111="","",Reconciliation!Q112)</f>
        <v/>
      </c>
      <c r="R111" s="33" t="str">
        <f aca="false">IF(OR(Reconciliation!R112="✅ MATCH",Reconciliation!R112=""),"",Reconciliation!R112)</f>
        <v/>
      </c>
    </row>
    <row r="112" customFormat="false" ht="15" hidden="false" customHeight="true" outlineLevel="0" collapsed="false">
      <c r="A112" s="29" t="str">
        <f aca="false">IF(R112="","",Reconciliation!A113)</f>
        <v/>
      </c>
      <c r="B112" s="30" t="str">
        <f aca="false">IF(R112="","",Reconciliation!B113)</f>
        <v/>
      </c>
      <c r="C112" s="30" t="str">
        <f aca="false">IF(R112="","",Reconciliation!C113)</f>
        <v/>
      </c>
      <c r="D112" s="30" t="str">
        <f aca="false">IF(R112="","",Reconciliation!D113)</f>
        <v/>
      </c>
      <c r="E112" s="31" t="str">
        <f aca="false">IF(R112="","",Reconciliation!E113)</f>
        <v/>
      </c>
      <c r="F112" s="30" t="str">
        <f aca="false">IF(R112="","",Reconciliation!F113)</f>
        <v/>
      </c>
      <c r="G112" s="30" t="str">
        <f aca="false">IF(R112="","",Reconciliation!G113)</f>
        <v/>
      </c>
      <c r="H112" s="30" t="str">
        <f aca="false">IF(R112="","",Reconciliation!H113)</f>
        <v/>
      </c>
      <c r="I112" s="30" t="str">
        <f aca="false">IF(R112="","",Reconciliation!I113)</f>
        <v/>
      </c>
      <c r="J112" s="31" t="str">
        <f aca="false">IF(R112="","",Reconciliation!J113)</f>
        <v/>
      </c>
      <c r="K112" s="30" t="str">
        <f aca="false">IF(R112="","",Reconciliation!K113)</f>
        <v/>
      </c>
      <c r="L112" s="30" t="str">
        <f aca="false">IF(R112="","",Reconciliation!L113)</f>
        <v/>
      </c>
      <c r="M112" s="32" t="str">
        <f aca="false">IF(R112="","",Reconciliation!M113)</f>
        <v/>
      </c>
      <c r="N112" s="32" t="str">
        <f aca="false">IF(R112="","",Reconciliation!N113)</f>
        <v/>
      </c>
      <c r="O112" s="32" t="str">
        <f aca="false">IF(R112="","",Reconciliation!O113)</f>
        <v/>
      </c>
      <c r="P112" s="32" t="str">
        <f aca="false">IF(R112="","",Reconciliation!P113)</f>
        <v/>
      </c>
      <c r="Q112" s="32" t="str">
        <f aca="false">IF(R112="","",Reconciliation!Q113)</f>
        <v/>
      </c>
      <c r="R112" s="33" t="str">
        <f aca="false">IF(OR(Reconciliation!R113="✅ MATCH",Reconciliation!R113=""),"",Reconciliation!R113)</f>
        <v/>
      </c>
    </row>
    <row r="113" customFormat="false" ht="15" hidden="false" customHeight="true" outlineLevel="0" collapsed="false">
      <c r="A113" s="29" t="str">
        <f aca="false">IF(R113="","",Reconciliation!A114)</f>
        <v/>
      </c>
      <c r="B113" s="30" t="str">
        <f aca="false">IF(R113="","",Reconciliation!B114)</f>
        <v/>
      </c>
      <c r="C113" s="30" t="str">
        <f aca="false">IF(R113="","",Reconciliation!C114)</f>
        <v/>
      </c>
      <c r="D113" s="30" t="str">
        <f aca="false">IF(R113="","",Reconciliation!D114)</f>
        <v/>
      </c>
      <c r="E113" s="31" t="str">
        <f aca="false">IF(R113="","",Reconciliation!E114)</f>
        <v/>
      </c>
      <c r="F113" s="30" t="str">
        <f aca="false">IF(R113="","",Reconciliation!F114)</f>
        <v/>
      </c>
      <c r="G113" s="30" t="str">
        <f aca="false">IF(R113="","",Reconciliation!G114)</f>
        <v/>
      </c>
      <c r="H113" s="30" t="str">
        <f aca="false">IF(R113="","",Reconciliation!H114)</f>
        <v/>
      </c>
      <c r="I113" s="30" t="str">
        <f aca="false">IF(R113="","",Reconciliation!I114)</f>
        <v/>
      </c>
      <c r="J113" s="31" t="str">
        <f aca="false">IF(R113="","",Reconciliation!J114)</f>
        <v/>
      </c>
      <c r="K113" s="30" t="str">
        <f aca="false">IF(R113="","",Reconciliation!K114)</f>
        <v/>
      </c>
      <c r="L113" s="30" t="str">
        <f aca="false">IF(R113="","",Reconciliation!L114)</f>
        <v/>
      </c>
      <c r="M113" s="32" t="str">
        <f aca="false">IF(R113="","",Reconciliation!M114)</f>
        <v/>
      </c>
      <c r="N113" s="32" t="str">
        <f aca="false">IF(R113="","",Reconciliation!N114)</f>
        <v/>
      </c>
      <c r="O113" s="32" t="str">
        <f aca="false">IF(R113="","",Reconciliation!O114)</f>
        <v/>
      </c>
      <c r="P113" s="32" t="str">
        <f aca="false">IF(R113="","",Reconciliation!P114)</f>
        <v/>
      </c>
      <c r="Q113" s="32" t="str">
        <f aca="false">IF(R113="","",Reconciliation!Q114)</f>
        <v/>
      </c>
      <c r="R113" s="33" t="str">
        <f aca="false">IF(OR(Reconciliation!R114="✅ MATCH",Reconciliation!R114=""),"",Reconciliation!R114)</f>
        <v/>
      </c>
    </row>
    <row r="114" customFormat="false" ht="15" hidden="false" customHeight="true" outlineLevel="0" collapsed="false">
      <c r="A114" s="29" t="str">
        <f aca="false">IF(R114="","",Reconciliation!A115)</f>
        <v/>
      </c>
      <c r="B114" s="30" t="str">
        <f aca="false">IF(R114="","",Reconciliation!B115)</f>
        <v/>
      </c>
      <c r="C114" s="30" t="str">
        <f aca="false">IF(R114="","",Reconciliation!C115)</f>
        <v/>
      </c>
      <c r="D114" s="30" t="str">
        <f aca="false">IF(R114="","",Reconciliation!D115)</f>
        <v/>
      </c>
      <c r="E114" s="31" t="str">
        <f aca="false">IF(R114="","",Reconciliation!E115)</f>
        <v/>
      </c>
      <c r="F114" s="30" t="str">
        <f aca="false">IF(R114="","",Reconciliation!F115)</f>
        <v/>
      </c>
      <c r="G114" s="30" t="str">
        <f aca="false">IF(R114="","",Reconciliation!G115)</f>
        <v/>
      </c>
      <c r="H114" s="30" t="str">
        <f aca="false">IF(R114="","",Reconciliation!H115)</f>
        <v/>
      </c>
      <c r="I114" s="30" t="str">
        <f aca="false">IF(R114="","",Reconciliation!I115)</f>
        <v/>
      </c>
      <c r="J114" s="31" t="str">
        <f aca="false">IF(R114="","",Reconciliation!J115)</f>
        <v/>
      </c>
      <c r="K114" s="30" t="str">
        <f aca="false">IF(R114="","",Reconciliation!K115)</f>
        <v/>
      </c>
      <c r="L114" s="30" t="str">
        <f aca="false">IF(R114="","",Reconciliation!L115)</f>
        <v/>
      </c>
      <c r="M114" s="32" t="str">
        <f aca="false">IF(R114="","",Reconciliation!M115)</f>
        <v/>
      </c>
      <c r="N114" s="32" t="str">
        <f aca="false">IF(R114="","",Reconciliation!N115)</f>
        <v/>
      </c>
      <c r="O114" s="32" t="str">
        <f aca="false">IF(R114="","",Reconciliation!O115)</f>
        <v/>
      </c>
      <c r="P114" s="32" t="str">
        <f aca="false">IF(R114="","",Reconciliation!P115)</f>
        <v/>
      </c>
      <c r="Q114" s="32" t="str">
        <f aca="false">IF(R114="","",Reconciliation!Q115)</f>
        <v/>
      </c>
      <c r="R114" s="33" t="str">
        <f aca="false">IF(OR(Reconciliation!R115="✅ MATCH",Reconciliation!R115=""),"",Reconciliation!R115)</f>
        <v/>
      </c>
    </row>
    <row r="115" customFormat="false" ht="15" hidden="false" customHeight="true" outlineLevel="0" collapsed="false">
      <c r="A115" s="29" t="str">
        <f aca="false">IF(R115="","",Reconciliation!A116)</f>
        <v/>
      </c>
      <c r="B115" s="30" t="str">
        <f aca="false">IF(R115="","",Reconciliation!B116)</f>
        <v/>
      </c>
      <c r="C115" s="30" t="str">
        <f aca="false">IF(R115="","",Reconciliation!C116)</f>
        <v/>
      </c>
      <c r="D115" s="30" t="str">
        <f aca="false">IF(R115="","",Reconciliation!D116)</f>
        <v/>
      </c>
      <c r="E115" s="31" t="str">
        <f aca="false">IF(R115="","",Reconciliation!E116)</f>
        <v/>
      </c>
      <c r="F115" s="30" t="str">
        <f aca="false">IF(R115="","",Reconciliation!F116)</f>
        <v/>
      </c>
      <c r="G115" s="30" t="str">
        <f aca="false">IF(R115="","",Reconciliation!G116)</f>
        <v/>
      </c>
      <c r="H115" s="30" t="str">
        <f aca="false">IF(R115="","",Reconciliation!H116)</f>
        <v/>
      </c>
      <c r="I115" s="30" t="str">
        <f aca="false">IF(R115="","",Reconciliation!I116)</f>
        <v/>
      </c>
      <c r="J115" s="31" t="str">
        <f aca="false">IF(R115="","",Reconciliation!J116)</f>
        <v/>
      </c>
      <c r="K115" s="30" t="str">
        <f aca="false">IF(R115="","",Reconciliation!K116)</f>
        <v/>
      </c>
      <c r="L115" s="30" t="str">
        <f aca="false">IF(R115="","",Reconciliation!L116)</f>
        <v/>
      </c>
      <c r="M115" s="32" t="str">
        <f aca="false">IF(R115="","",Reconciliation!M116)</f>
        <v/>
      </c>
      <c r="N115" s="32" t="str">
        <f aca="false">IF(R115="","",Reconciliation!N116)</f>
        <v/>
      </c>
      <c r="O115" s="32" t="str">
        <f aca="false">IF(R115="","",Reconciliation!O116)</f>
        <v/>
      </c>
      <c r="P115" s="32" t="str">
        <f aca="false">IF(R115="","",Reconciliation!P116)</f>
        <v/>
      </c>
      <c r="Q115" s="32" t="str">
        <f aca="false">IF(R115="","",Reconciliation!Q116)</f>
        <v/>
      </c>
      <c r="R115" s="33" t="str">
        <f aca="false">IF(OR(Reconciliation!R116="✅ MATCH",Reconciliation!R116=""),"",Reconciliation!R116)</f>
        <v/>
      </c>
    </row>
    <row r="116" customFormat="false" ht="15" hidden="false" customHeight="true" outlineLevel="0" collapsed="false">
      <c r="A116" s="29" t="str">
        <f aca="false">IF(R116="","",Reconciliation!A117)</f>
        <v/>
      </c>
      <c r="B116" s="30" t="str">
        <f aca="false">IF(R116="","",Reconciliation!B117)</f>
        <v/>
      </c>
      <c r="C116" s="30" t="str">
        <f aca="false">IF(R116="","",Reconciliation!C117)</f>
        <v/>
      </c>
      <c r="D116" s="30" t="str">
        <f aca="false">IF(R116="","",Reconciliation!D117)</f>
        <v/>
      </c>
      <c r="E116" s="31" t="str">
        <f aca="false">IF(R116="","",Reconciliation!E117)</f>
        <v/>
      </c>
      <c r="F116" s="30" t="str">
        <f aca="false">IF(R116="","",Reconciliation!F117)</f>
        <v/>
      </c>
      <c r="G116" s="30" t="str">
        <f aca="false">IF(R116="","",Reconciliation!G117)</f>
        <v/>
      </c>
      <c r="H116" s="30" t="str">
        <f aca="false">IF(R116="","",Reconciliation!H117)</f>
        <v/>
      </c>
      <c r="I116" s="30" t="str">
        <f aca="false">IF(R116="","",Reconciliation!I117)</f>
        <v/>
      </c>
      <c r="J116" s="31" t="str">
        <f aca="false">IF(R116="","",Reconciliation!J117)</f>
        <v/>
      </c>
      <c r="K116" s="30" t="str">
        <f aca="false">IF(R116="","",Reconciliation!K117)</f>
        <v/>
      </c>
      <c r="L116" s="30" t="str">
        <f aca="false">IF(R116="","",Reconciliation!L117)</f>
        <v/>
      </c>
      <c r="M116" s="32" t="str">
        <f aca="false">IF(R116="","",Reconciliation!M117)</f>
        <v/>
      </c>
      <c r="N116" s="32" t="str">
        <f aca="false">IF(R116="","",Reconciliation!N117)</f>
        <v/>
      </c>
      <c r="O116" s="32" t="str">
        <f aca="false">IF(R116="","",Reconciliation!O117)</f>
        <v/>
      </c>
      <c r="P116" s="32" t="str">
        <f aca="false">IF(R116="","",Reconciliation!P117)</f>
        <v/>
      </c>
      <c r="Q116" s="32" t="str">
        <f aca="false">IF(R116="","",Reconciliation!Q117)</f>
        <v/>
      </c>
      <c r="R116" s="33" t="str">
        <f aca="false">IF(OR(Reconciliation!R117="✅ MATCH",Reconciliation!R117=""),"",Reconciliation!R117)</f>
        <v/>
      </c>
    </row>
    <row r="117" customFormat="false" ht="15" hidden="false" customHeight="true" outlineLevel="0" collapsed="false">
      <c r="A117" s="29" t="str">
        <f aca="false">IF(R117="","",Reconciliation!A118)</f>
        <v/>
      </c>
      <c r="B117" s="30" t="str">
        <f aca="false">IF(R117="","",Reconciliation!B118)</f>
        <v/>
      </c>
      <c r="C117" s="30" t="str">
        <f aca="false">IF(R117="","",Reconciliation!C118)</f>
        <v/>
      </c>
      <c r="D117" s="30" t="str">
        <f aca="false">IF(R117="","",Reconciliation!D118)</f>
        <v/>
      </c>
      <c r="E117" s="31" t="str">
        <f aca="false">IF(R117="","",Reconciliation!E118)</f>
        <v/>
      </c>
      <c r="F117" s="30" t="str">
        <f aca="false">IF(R117="","",Reconciliation!F118)</f>
        <v/>
      </c>
      <c r="G117" s="30" t="str">
        <f aca="false">IF(R117="","",Reconciliation!G118)</f>
        <v/>
      </c>
      <c r="H117" s="30" t="str">
        <f aca="false">IF(R117="","",Reconciliation!H118)</f>
        <v/>
      </c>
      <c r="I117" s="30" t="str">
        <f aca="false">IF(R117="","",Reconciliation!I118)</f>
        <v/>
      </c>
      <c r="J117" s="31" t="str">
        <f aca="false">IF(R117="","",Reconciliation!J118)</f>
        <v/>
      </c>
      <c r="K117" s="30" t="str">
        <f aca="false">IF(R117="","",Reconciliation!K118)</f>
        <v/>
      </c>
      <c r="L117" s="30" t="str">
        <f aca="false">IF(R117="","",Reconciliation!L118)</f>
        <v/>
      </c>
      <c r="M117" s="32" t="str">
        <f aca="false">IF(R117="","",Reconciliation!M118)</f>
        <v/>
      </c>
      <c r="N117" s="32" t="str">
        <f aca="false">IF(R117="","",Reconciliation!N118)</f>
        <v/>
      </c>
      <c r="O117" s="32" t="str">
        <f aca="false">IF(R117="","",Reconciliation!O118)</f>
        <v/>
      </c>
      <c r="P117" s="32" t="str">
        <f aca="false">IF(R117="","",Reconciliation!P118)</f>
        <v/>
      </c>
      <c r="Q117" s="32" t="str">
        <f aca="false">IF(R117="","",Reconciliation!Q118)</f>
        <v/>
      </c>
      <c r="R117" s="33" t="str">
        <f aca="false">IF(OR(Reconciliation!R118="✅ MATCH",Reconciliation!R118=""),"",Reconciliation!R118)</f>
        <v/>
      </c>
    </row>
    <row r="118" customFormat="false" ht="15" hidden="false" customHeight="true" outlineLevel="0" collapsed="false">
      <c r="A118" s="29" t="str">
        <f aca="false">IF(R118="","",Reconciliation!A119)</f>
        <v/>
      </c>
      <c r="B118" s="30" t="str">
        <f aca="false">IF(R118="","",Reconciliation!B119)</f>
        <v/>
      </c>
      <c r="C118" s="30" t="str">
        <f aca="false">IF(R118="","",Reconciliation!C119)</f>
        <v/>
      </c>
      <c r="D118" s="30" t="str">
        <f aca="false">IF(R118="","",Reconciliation!D119)</f>
        <v/>
      </c>
      <c r="E118" s="31" t="str">
        <f aca="false">IF(R118="","",Reconciliation!E119)</f>
        <v/>
      </c>
      <c r="F118" s="30" t="str">
        <f aca="false">IF(R118="","",Reconciliation!F119)</f>
        <v/>
      </c>
      <c r="G118" s="30" t="str">
        <f aca="false">IF(R118="","",Reconciliation!G119)</f>
        <v/>
      </c>
      <c r="H118" s="30" t="str">
        <f aca="false">IF(R118="","",Reconciliation!H119)</f>
        <v/>
      </c>
      <c r="I118" s="30" t="str">
        <f aca="false">IF(R118="","",Reconciliation!I119)</f>
        <v/>
      </c>
      <c r="J118" s="31" t="str">
        <f aca="false">IF(R118="","",Reconciliation!J119)</f>
        <v/>
      </c>
      <c r="K118" s="30" t="str">
        <f aca="false">IF(R118="","",Reconciliation!K119)</f>
        <v/>
      </c>
      <c r="L118" s="30" t="str">
        <f aca="false">IF(R118="","",Reconciliation!L119)</f>
        <v/>
      </c>
      <c r="M118" s="32" t="str">
        <f aca="false">IF(R118="","",Reconciliation!M119)</f>
        <v/>
      </c>
      <c r="N118" s="32" t="str">
        <f aca="false">IF(R118="","",Reconciliation!N119)</f>
        <v/>
      </c>
      <c r="O118" s="32" t="str">
        <f aca="false">IF(R118="","",Reconciliation!O119)</f>
        <v/>
      </c>
      <c r="P118" s="32" t="str">
        <f aca="false">IF(R118="","",Reconciliation!P119)</f>
        <v/>
      </c>
      <c r="Q118" s="32" t="str">
        <f aca="false">IF(R118="","",Reconciliation!Q119)</f>
        <v/>
      </c>
      <c r="R118" s="33" t="str">
        <f aca="false">IF(OR(Reconciliation!R119="✅ MATCH",Reconciliation!R119=""),"",Reconciliation!R119)</f>
        <v/>
      </c>
    </row>
    <row r="119" customFormat="false" ht="15" hidden="false" customHeight="true" outlineLevel="0" collapsed="false">
      <c r="A119" s="29" t="str">
        <f aca="false">IF(R119="","",Reconciliation!A120)</f>
        <v/>
      </c>
      <c r="B119" s="30" t="str">
        <f aca="false">IF(R119="","",Reconciliation!B120)</f>
        <v/>
      </c>
      <c r="C119" s="30" t="str">
        <f aca="false">IF(R119="","",Reconciliation!C120)</f>
        <v/>
      </c>
      <c r="D119" s="30" t="str">
        <f aca="false">IF(R119="","",Reconciliation!D120)</f>
        <v/>
      </c>
      <c r="E119" s="31" t="str">
        <f aca="false">IF(R119="","",Reconciliation!E120)</f>
        <v/>
      </c>
      <c r="F119" s="30" t="str">
        <f aca="false">IF(R119="","",Reconciliation!F120)</f>
        <v/>
      </c>
      <c r="G119" s="30" t="str">
        <f aca="false">IF(R119="","",Reconciliation!G120)</f>
        <v/>
      </c>
      <c r="H119" s="30" t="str">
        <f aca="false">IF(R119="","",Reconciliation!H120)</f>
        <v/>
      </c>
      <c r="I119" s="30" t="str">
        <f aca="false">IF(R119="","",Reconciliation!I120)</f>
        <v/>
      </c>
      <c r="J119" s="31" t="str">
        <f aca="false">IF(R119="","",Reconciliation!J120)</f>
        <v/>
      </c>
      <c r="K119" s="30" t="str">
        <f aca="false">IF(R119="","",Reconciliation!K120)</f>
        <v/>
      </c>
      <c r="L119" s="30" t="str">
        <f aca="false">IF(R119="","",Reconciliation!L120)</f>
        <v/>
      </c>
      <c r="M119" s="32" t="str">
        <f aca="false">IF(R119="","",Reconciliation!M120)</f>
        <v/>
      </c>
      <c r="N119" s="32" t="str">
        <f aca="false">IF(R119="","",Reconciliation!N120)</f>
        <v/>
      </c>
      <c r="O119" s="32" t="str">
        <f aca="false">IF(R119="","",Reconciliation!O120)</f>
        <v/>
      </c>
      <c r="P119" s="32" t="str">
        <f aca="false">IF(R119="","",Reconciliation!P120)</f>
        <v/>
      </c>
      <c r="Q119" s="32" t="str">
        <f aca="false">IF(R119="","",Reconciliation!Q120)</f>
        <v/>
      </c>
      <c r="R119" s="33" t="str">
        <f aca="false">IF(OR(Reconciliation!R120="✅ MATCH",Reconciliation!R120=""),"",Reconciliation!R120)</f>
        <v/>
      </c>
    </row>
    <row r="120" customFormat="false" ht="15" hidden="false" customHeight="true" outlineLevel="0" collapsed="false">
      <c r="A120" s="29" t="str">
        <f aca="false">IF(R120="","",Reconciliation!A121)</f>
        <v/>
      </c>
      <c r="B120" s="30" t="str">
        <f aca="false">IF(R120="","",Reconciliation!B121)</f>
        <v/>
      </c>
      <c r="C120" s="30" t="str">
        <f aca="false">IF(R120="","",Reconciliation!C121)</f>
        <v/>
      </c>
      <c r="D120" s="30" t="str">
        <f aca="false">IF(R120="","",Reconciliation!D121)</f>
        <v/>
      </c>
      <c r="E120" s="31" t="str">
        <f aca="false">IF(R120="","",Reconciliation!E121)</f>
        <v/>
      </c>
      <c r="F120" s="30" t="str">
        <f aca="false">IF(R120="","",Reconciliation!F121)</f>
        <v/>
      </c>
      <c r="G120" s="30" t="str">
        <f aca="false">IF(R120="","",Reconciliation!G121)</f>
        <v/>
      </c>
      <c r="H120" s="30" t="str">
        <f aca="false">IF(R120="","",Reconciliation!H121)</f>
        <v/>
      </c>
      <c r="I120" s="30" t="str">
        <f aca="false">IF(R120="","",Reconciliation!I121)</f>
        <v/>
      </c>
      <c r="J120" s="31" t="str">
        <f aca="false">IF(R120="","",Reconciliation!J121)</f>
        <v/>
      </c>
      <c r="K120" s="30" t="str">
        <f aca="false">IF(R120="","",Reconciliation!K121)</f>
        <v/>
      </c>
      <c r="L120" s="30" t="str">
        <f aca="false">IF(R120="","",Reconciliation!L121)</f>
        <v/>
      </c>
      <c r="M120" s="32" t="str">
        <f aca="false">IF(R120="","",Reconciliation!M121)</f>
        <v/>
      </c>
      <c r="N120" s="32" t="str">
        <f aca="false">IF(R120="","",Reconciliation!N121)</f>
        <v/>
      </c>
      <c r="O120" s="32" t="str">
        <f aca="false">IF(R120="","",Reconciliation!O121)</f>
        <v/>
      </c>
      <c r="P120" s="32" t="str">
        <f aca="false">IF(R120="","",Reconciliation!P121)</f>
        <v/>
      </c>
      <c r="Q120" s="32" t="str">
        <f aca="false">IF(R120="","",Reconciliation!Q121)</f>
        <v/>
      </c>
      <c r="R120" s="33" t="str">
        <f aca="false">IF(OR(Reconciliation!R121="✅ MATCH",Reconciliation!R121=""),"",Reconciliation!R121)</f>
        <v/>
      </c>
    </row>
    <row r="121" customFormat="false" ht="15" hidden="false" customHeight="true" outlineLevel="0" collapsed="false">
      <c r="A121" s="29" t="str">
        <f aca="false">IF(R121="","",Reconciliation!A122)</f>
        <v/>
      </c>
      <c r="B121" s="30" t="str">
        <f aca="false">IF(R121="","",Reconciliation!B122)</f>
        <v/>
      </c>
      <c r="C121" s="30" t="str">
        <f aca="false">IF(R121="","",Reconciliation!C122)</f>
        <v/>
      </c>
      <c r="D121" s="30" t="str">
        <f aca="false">IF(R121="","",Reconciliation!D122)</f>
        <v/>
      </c>
      <c r="E121" s="31" t="str">
        <f aca="false">IF(R121="","",Reconciliation!E122)</f>
        <v/>
      </c>
      <c r="F121" s="30" t="str">
        <f aca="false">IF(R121="","",Reconciliation!F122)</f>
        <v/>
      </c>
      <c r="G121" s="30" t="str">
        <f aca="false">IF(R121="","",Reconciliation!G122)</f>
        <v/>
      </c>
      <c r="H121" s="30" t="str">
        <f aca="false">IF(R121="","",Reconciliation!H122)</f>
        <v/>
      </c>
      <c r="I121" s="30" t="str">
        <f aca="false">IF(R121="","",Reconciliation!I122)</f>
        <v/>
      </c>
      <c r="J121" s="31" t="str">
        <f aca="false">IF(R121="","",Reconciliation!J122)</f>
        <v/>
      </c>
      <c r="K121" s="30" t="str">
        <f aca="false">IF(R121="","",Reconciliation!K122)</f>
        <v/>
      </c>
      <c r="L121" s="30" t="str">
        <f aca="false">IF(R121="","",Reconciliation!L122)</f>
        <v/>
      </c>
      <c r="M121" s="32" t="str">
        <f aca="false">IF(R121="","",Reconciliation!M122)</f>
        <v/>
      </c>
      <c r="N121" s="32" t="str">
        <f aca="false">IF(R121="","",Reconciliation!N122)</f>
        <v/>
      </c>
      <c r="O121" s="32" t="str">
        <f aca="false">IF(R121="","",Reconciliation!O122)</f>
        <v/>
      </c>
      <c r="P121" s="32" t="str">
        <f aca="false">IF(R121="","",Reconciliation!P122)</f>
        <v/>
      </c>
      <c r="Q121" s="32" t="str">
        <f aca="false">IF(R121="","",Reconciliation!Q122)</f>
        <v/>
      </c>
      <c r="R121" s="33" t="str">
        <f aca="false">IF(OR(Reconciliation!R122="✅ MATCH",Reconciliation!R122=""),"",Reconciliation!R122)</f>
        <v/>
      </c>
    </row>
    <row r="122" customFormat="false" ht="15" hidden="false" customHeight="true" outlineLevel="0" collapsed="false">
      <c r="A122" s="29" t="str">
        <f aca="false">IF(R122="","",Reconciliation!A123)</f>
        <v/>
      </c>
      <c r="B122" s="30" t="str">
        <f aca="false">IF(R122="","",Reconciliation!B123)</f>
        <v/>
      </c>
      <c r="C122" s="30" t="str">
        <f aca="false">IF(R122="","",Reconciliation!C123)</f>
        <v/>
      </c>
      <c r="D122" s="30" t="str">
        <f aca="false">IF(R122="","",Reconciliation!D123)</f>
        <v/>
      </c>
      <c r="E122" s="31" t="str">
        <f aca="false">IF(R122="","",Reconciliation!E123)</f>
        <v/>
      </c>
      <c r="F122" s="30" t="str">
        <f aca="false">IF(R122="","",Reconciliation!F123)</f>
        <v/>
      </c>
      <c r="G122" s="30" t="str">
        <f aca="false">IF(R122="","",Reconciliation!G123)</f>
        <v/>
      </c>
      <c r="H122" s="30" t="str">
        <f aca="false">IF(R122="","",Reconciliation!H123)</f>
        <v/>
      </c>
      <c r="I122" s="30" t="str">
        <f aca="false">IF(R122="","",Reconciliation!I123)</f>
        <v/>
      </c>
      <c r="J122" s="31" t="str">
        <f aca="false">IF(R122="","",Reconciliation!J123)</f>
        <v/>
      </c>
      <c r="K122" s="30" t="str">
        <f aca="false">IF(R122="","",Reconciliation!K123)</f>
        <v/>
      </c>
      <c r="L122" s="30" t="str">
        <f aca="false">IF(R122="","",Reconciliation!L123)</f>
        <v/>
      </c>
      <c r="M122" s="32" t="str">
        <f aca="false">IF(R122="","",Reconciliation!M123)</f>
        <v/>
      </c>
      <c r="N122" s="32" t="str">
        <f aca="false">IF(R122="","",Reconciliation!N123)</f>
        <v/>
      </c>
      <c r="O122" s="32" t="str">
        <f aca="false">IF(R122="","",Reconciliation!O123)</f>
        <v/>
      </c>
      <c r="P122" s="32" t="str">
        <f aca="false">IF(R122="","",Reconciliation!P123)</f>
        <v/>
      </c>
      <c r="Q122" s="32" t="str">
        <f aca="false">IF(R122="","",Reconciliation!Q123)</f>
        <v/>
      </c>
      <c r="R122" s="33" t="str">
        <f aca="false">IF(OR(Reconciliation!R123="✅ MATCH",Reconciliation!R123=""),"",Reconciliation!R123)</f>
        <v/>
      </c>
    </row>
    <row r="123" customFormat="false" ht="15" hidden="false" customHeight="true" outlineLevel="0" collapsed="false">
      <c r="A123" s="29" t="str">
        <f aca="false">IF(R123="","",Reconciliation!A124)</f>
        <v/>
      </c>
      <c r="B123" s="30" t="str">
        <f aca="false">IF(R123="","",Reconciliation!B124)</f>
        <v/>
      </c>
      <c r="C123" s="30" t="str">
        <f aca="false">IF(R123="","",Reconciliation!C124)</f>
        <v/>
      </c>
      <c r="D123" s="30" t="str">
        <f aca="false">IF(R123="","",Reconciliation!D124)</f>
        <v/>
      </c>
      <c r="E123" s="31" t="str">
        <f aca="false">IF(R123="","",Reconciliation!E124)</f>
        <v/>
      </c>
      <c r="F123" s="30" t="str">
        <f aca="false">IF(R123="","",Reconciliation!F124)</f>
        <v/>
      </c>
      <c r="G123" s="30" t="str">
        <f aca="false">IF(R123="","",Reconciliation!G124)</f>
        <v/>
      </c>
      <c r="H123" s="30" t="str">
        <f aca="false">IF(R123="","",Reconciliation!H124)</f>
        <v/>
      </c>
      <c r="I123" s="30" t="str">
        <f aca="false">IF(R123="","",Reconciliation!I124)</f>
        <v/>
      </c>
      <c r="J123" s="31" t="str">
        <f aca="false">IF(R123="","",Reconciliation!J124)</f>
        <v/>
      </c>
      <c r="K123" s="30" t="str">
        <f aca="false">IF(R123="","",Reconciliation!K124)</f>
        <v/>
      </c>
      <c r="L123" s="30" t="str">
        <f aca="false">IF(R123="","",Reconciliation!L124)</f>
        <v/>
      </c>
      <c r="M123" s="32" t="str">
        <f aca="false">IF(R123="","",Reconciliation!M124)</f>
        <v/>
      </c>
      <c r="N123" s="32" t="str">
        <f aca="false">IF(R123="","",Reconciliation!N124)</f>
        <v/>
      </c>
      <c r="O123" s="32" t="str">
        <f aca="false">IF(R123="","",Reconciliation!O124)</f>
        <v/>
      </c>
      <c r="P123" s="32" t="str">
        <f aca="false">IF(R123="","",Reconciliation!P124)</f>
        <v/>
      </c>
      <c r="Q123" s="32" t="str">
        <f aca="false">IF(R123="","",Reconciliation!Q124)</f>
        <v/>
      </c>
      <c r="R123" s="33" t="str">
        <f aca="false">IF(OR(Reconciliation!R124="✅ MATCH",Reconciliation!R124=""),"",Reconciliation!R124)</f>
        <v/>
      </c>
    </row>
    <row r="124" customFormat="false" ht="15" hidden="false" customHeight="true" outlineLevel="0" collapsed="false">
      <c r="A124" s="29" t="str">
        <f aca="false">IF(R124="","",Reconciliation!A125)</f>
        <v/>
      </c>
      <c r="B124" s="30" t="str">
        <f aca="false">IF(R124="","",Reconciliation!B125)</f>
        <v/>
      </c>
      <c r="C124" s="30" t="str">
        <f aca="false">IF(R124="","",Reconciliation!C125)</f>
        <v/>
      </c>
      <c r="D124" s="30" t="str">
        <f aca="false">IF(R124="","",Reconciliation!D125)</f>
        <v/>
      </c>
      <c r="E124" s="31" t="str">
        <f aca="false">IF(R124="","",Reconciliation!E125)</f>
        <v/>
      </c>
      <c r="F124" s="30" t="str">
        <f aca="false">IF(R124="","",Reconciliation!F125)</f>
        <v/>
      </c>
      <c r="G124" s="30" t="str">
        <f aca="false">IF(R124="","",Reconciliation!G125)</f>
        <v/>
      </c>
      <c r="H124" s="30" t="str">
        <f aca="false">IF(R124="","",Reconciliation!H125)</f>
        <v/>
      </c>
      <c r="I124" s="30" t="str">
        <f aca="false">IF(R124="","",Reconciliation!I125)</f>
        <v/>
      </c>
      <c r="J124" s="31" t="str">
        <f aca="false">IF(R124="","",Reconciliation!J125)</f>
        <v/>
      </c>
      <c r="K124" s="30" t="str">
        <f aca="false">IF(R124="","",Reconciliation!K125)</f>
        <v/>
      </c>
      <c r="L124" s="30" t="str">
        <f aca="false">IF(R124="","",Reconciliation!L125)</f>
        <v/>
      </c>
      <c r="M124" s="32" t="str">
        <f aca="false">IF(R124="","",Reconciliation!M125)</f>
        <v/>
      </c>
      <c r="N124" s="32" t="str">
        <f aca="false">IF(R124="","",Reconciliation!N125)</f>
        <v/>
      </c>
      <c r="O124" s="32" t="str">
        <f aca="false">IF(R124="","",Reconciliation!O125)</f>
        <v/>
      </c>
      <c r="P124" s="32" t="str">
        <f aca="false">IF(R124="","",Reconciliation!P125)</f>
        <v/>
      </c>
      <c r="Q124" s="32" t="str">
        <f aca="false">IF(R124="","",Reconciliation!Q125)</f>
        <v/>
      </c>
      <c r="R124" s="33" t="str">
        <f aca="false">IF(OR(Reconciliation!R125="✅ MATCH",Reconciliation!R125=""),"",Reconciliation!R125)</f>
        <v/>
      </c>
    </row>
    <row r="125" customFormat="false" ht="15" hidden="false" customHeight="true" outlineLevel="0" collapsed="false">
      <c r="A125" s="29" t="str">
        <f aca="false">IF(R125="","",Reconciliation!A126)</f>
        <v/>
      </c>
      <c r="B125" s="30" t="str">
        <f aca="false">IF(R125="","",Reconciliation!B126)</f>
        <v/>
      </c>
      <c r="C125" s="30" t="str">
        <f aca="false">IF(R125="","",Reconciliation!C126)</f>
        <v/>
      </c>
      <c r="D125" s="30" t="str">
        <f aca="false">IF(R125="","",Reconciliation!D126)</f>
        <v/>
      </c>
      <c r="E125" s="31" t="str">
        <f aca="false">IF(R125="","",Reconciliation!E126)</f>
        <v/>
      </c>
      <c r="F125" s="30" t="str">
        <f aca="false">IF(R125="","",Reconciliation!F126)</f>
        <v/>
      </c>
      <c r="G125" s="30" t="str">
        <f aca="false">IF(R125="","",Reconciliation!G126)</f>
        <v/>
      </c>
      <c r="H125" s="30" t="str">
        <f aca="false">IF(R125="","",Reconciliation!H126)</f>
        <v/>
      </c>
      <c r="I125" s="30" t="str">
        <f aca="false">IF(R125="","",Reconciliation!I126)</f>
        <v/>
      </c>
      <c r="J125" s="31" t="str">
        <f aca="false">IF(R125="","",Reconciliation!J126)</f>
        <v/>
      </c>
      <c r="K125" s="30" t="str">
        <f aca="false">IF(R125="","",Reconciliation!K126)</f>
        <v/>
      </c>
      <c r="L125" s="30" t="str">
        <f aca="false">IF(R125="","",Reconciliation!L126)</f>
        <v/>
      </c>
      <c r="M125" s="32" t="str">
        <f aca="false">IF(R125="","",Reconciliation!M126)</f>
        <v/>
      </c>
      <c r="N125" s="32" t="str">
        <f aca="false">IF(R125="","",Reconciliation!N126)</f>
        <v/>
      </c>
      <c r="O125" s="32" t="str">
        <f aca="false">IF(R125="","",Reconciliation!O126)</f>
        <v/>
      </c>
      <c r="P125" s="32" t="str">
        <f aca="false">IF(R125="","",Reconciliation!P126)</f>
        <v/>
      </c>
      <c r="Q125" s="32" t="str">
        <f aca="false">IF(R125="","",Reconciliation!Q126)</f>
        <v/>
      </c>
      <c r="R125" s="33" t="str">
        <f aca="false">IF(OR(Reconciliation!R126="✅ MATCH",Reconciliation!R126=""),"",Reconciliation!R126)</f>
        <v/>
      </c>
    </row>
    <row r="126" customFormat="false" ht="15" hidden="false" customHeight="true" outlineLevel="0" collapsed="false">
      <c r="A126" s="29" t="str">
        <f aca="false">IF(R126="","",Reconciliation!A127)</f>
        <v/>
      </c>
      <c r="B126" s="30" t="str">
        <f aca="false">IF(R126="","",Reconciliation!B127)</f>
        <v/>
      </c>
      <c r="C126" s="30" t="str">
        <f aca="false">IF(R126="","",Reconciliation!C127)</f>
        <v/>
      </c>
      <c r="D126" s="30" t="str">
        <f aca="false">IF(R126="","",Reconciliation!D127)</f>
        <v/>
      </c>
      <c r="E126" s="31" t="str">
        <f aca="false">IF(R126="","",Reconciliation!E127)</f>
        <v/>
      </c>
      <c r="F126" s="30" t="str">
        <f aca="false">IF(R126="","",Reconciliation!F127)</f>
        <v/>
      </c>
      <c r="G126" s="30" t="str">
        <f aca="false">IF(R126="","",Reconciliation!G127)</f>
        <v/>
      </c>
      <c r="H126" s="30" t="str">
        <f aca="false">IF(R126="","",Reconciliation!H127)</f>
        <v/>
      </c>
      <c r="I126" s="30" t="str">
        <f aca="false">IF(R126="","",Reconciliation!I127)</f>
        <v/>
      </c>
      <c r="J126" s="31" t="str">
        <f aca="false">IF(R126="","",Reconciliation!J127)</f>
        <v/>
      </c>
      <c r="K126" s="30" t="str">
        <f aca="false">IF(R126="","",Reconciliation!K127)</f>
        <v/>
      </c>
      <c r="L126" s="30" t="str">
        <f aca="false">IF(R126="","",Reconciliation!L127)</f>
        <v/>
      </c>
      <c r="M126" s="32" t="str">
        <f aca="false">IF(R126="","",Reconciliation!M127)</f>
        <v/>
      </c>
      <c r="N126" s="32" t="str">
        <f aca="false">IF(R126="","",Reconciliation!N127)</f>
        <v/>
      </c>
      <c r="O126" s="32" t="str">
        <f aca="false">IF(R126="","",Reconciliation!O127)</f>
        <v/>
      </c>
      <c r="P126" s="32" t="str">
        <f aca="false">IF(R126="","",Reconciliation!P127)</f>
        <v/>
      </c>
      <c r="Q126" s="32" t="str">
        <f aca="false">IF(R126="","",Reconciliation!Q127)</f>
        <v/>
      </c>
      <c r="R126" s="33" t="str">
        <f aca="false">IF(OR(Reconciliation!R127="✅ MATCH",Reconciliation!R127=""),"",Reconciliation!R127)</f>
        <v/>
      </c>
    </row>
    <row r="127" customFormat="false" ht="15" hidden="false" customHeight="true" outlineLevel="0" collapsed="false">
      <c r="A127" s="29" t="str">
        <f aca="false">IF(R127="","",Reconciliation!A128)</f>
        <v/>
      </c>
      <c r="B127" s="30" t="str">
        <f aca="false">IF(R127="","",Reconciliation!B128)</f>
        <v/>
      </c>
      <c r="C127" s="30" t="str">
        <f aca="false">IF(R127="","",Reconciliation!C128)</f>
        <v/>
      </c>
      <c r="D127" s="30" t="str">
        <f aca="false">IF(R127="","",Reconciliation!D128)</f>
        <v/>
      </c>
      <c r="E127" s="31" t="str">
        <f aca="false">IF(R127="","",Reconciliation!E128)</f>
        <v/>
      </c>
      <c r="F127" s="30" t="str">
        <f aca="false">IF(R127="","",Reconciliation!F128)</f>
        <v/>
      </c>
      <c r="G127" s="30" t="str">
        <f aca="false">IF(R127="","",Reconciliation!G128)</f>
        <v/>
      </c>
      <c r="H127" s="30" t="str">
        <f aca="false">IF(R127="","",Reconciliation!H128)</f>
        <v/>
      </c>
      <c r="I127" s="30" t="str">
        <f aca="false">IF(R127="","",Reconciliation!I128)</f>
        <v/>
      </c>
      <c r="J127" s="31" t="str">
        <f aca="false">IF(R127="","",Reconciliation!J128)</f>
        <v/>
      </c>
      <c r="K127" s="30" t="str">
        <f aca="false">IF(R127="","",Reconciliation!K128)</f>
        <v/>
      </c>
      <c r="L127" s="30" t="str">
        <f aca="false">IF(R127="","",Reconciliation!L128)</f>
        <v/>
      </c>
      <c r="M127" s="32" t="str">
        <f aca="false">IF(R127="","",Reconciliation!M128)</f>
        <v/>
      </c>
      <c r="N127" s="32" t="str">
        <f aca="false">IF(R127="","",Reconciliation!N128)</f>
        <v/>
      </c>
      <c r="O127" s="32" t="str">
        <f aca="false">IF(R127="","",Reconciliation!O128)</f>
        <v/>
      </c>
      <c r="P127" s="32" t="str">
        <f aca="false">IF(R127="","",Reconciliation!P128)</f>
        <v/>
      </c>
      <c r="Q127" s="32" t="str">
        <f aca="false">IF(R127="","",Reconciliation!Q128)</f>
        <v/>
      </c>
      <c r="R127" s="33" t="str">
        <f aca="false">IF(OR(Reconciliation!R128="✅ MATCH",Reconciliation!R128=""),"",Reconciliation!R128)</f>
        <v/>
      </c>
    </row>
    <row r="128" customFormat="false" ht="15" hidden="false" customHeight="true" outlineLevel="0" collapsed="false">
      <c r="A128" s="29" t="str">
        <f aca="false">IF(R128="","",Reconciliation!A129)</f>
        <v/>
      </c>
      <c r="B128" s="30" t="str">
        <f aca="false">IF(R128="","",Reconciliation!B129)</f>
        <v/>
      </c>
      <c r="C128" s="30" t="str">
        <f aca="false">IF(R128="","",Reconciliation!C129)</f>
        <v/>
      </c>
      <c r="D128" s="30" t="str">
        <f aca="false">IF(R128="","",Reconciliation!D129)</f>
        <v/>
      </c>
      <c r="E128" s="31" t="str">
        <f aca="false">IF(R128="","",Reconciliation!E129)</f>
        <v/>
      </c>
      <c r="F128" s="30" t="str">
        <f aca="false">IF(R128="","",Reconciliation!F129)</f>
        <v/>
      </c>
      <c r="G128" s="30" t="str">
        <f aca="false">IF(R128="","",Reconciliation!G129)</f>
        <v/>
      </c>
      <c r="H128" s="30" t="str">
        <f aca="false">IF(R128="","",Reconciliation!H129)</f>
        <v/>
      </c>
      <c r="I128" s="30" t="str">
        <f aca="false">IF(R128="","",Reconciliation!I129)</f>
        <v/>
      </c>
      <c r="J128" s="31" t="str">
        <f aca="false">IF(R128="","",Reconciliation!J129)</f>
        <v/>
      </c>
      <c r="K128" s="30" t="str">
        <f aca="false">IF(R128="","",Reconciliation!K129)</f>
        <v/>
      </c>
      <c r="L128" s="30" t="str">
        <f aca="false">IF(R128="","",Reconciliation!L129)</f>
        <v/>
      </c>
      <c r="M128" s="32" t="str">
        <f aca="false">IF(R128="","",Reconciliation!M129)</f>
        <v/>
      </c>
      <c r="N128" s="32" t="str">
        <f aca="false">IF(R128="","",Reconciliation!N129)</f>
        <v/>
      </c>
      <c r="O128" s="32" t="str">
        <f aca="false">IF(R128="","",Reconciliation!O129)</f>
        <v/>
      </c>
      <c r="P128" s="32" t="str">
        <f aca="false">IF(R128="","",Reconciliation!P129)</f>
        <v/>
      </c>
      <c r="Q128" s="32" t="str">
        <f aca="false">IF(R128="","",Reconciliation!Q129)</f>
        <v/>
      </c>
      <c r="R128" s="33" t="str">
        <f aca="false">IF(OR(Reconciliation!R129="✅ MATCH",Reconciliation!R129=""),"",Reconciliation!R129)</f>
        <v/>
      </c>
    </row>
    <row r="129" customFormat="false" ht="15" hidden="false" customHeight="true" outlineLevel="0" collapsed="false">
      <c r="A129" s="29" t="str">
        <f aca="false">IF(R129="","",Reconciliation!A130)</f>
        <v/>
      </c>
      <c r="B129" s="30" t="str">
        <f aca="false">IF(R129="","",Reconciliation!B130)</f>
        <v/>
      </c>
      <c r="C129" s="30" t="str">
        <f aca="false">IF(R129="","",Reconciliation!C130)</f>
        <v/>
      </c>
      <c r="D129" s="30" t="str">
        <f aca="false">IF(R129="","",Reconciliation!D130)</f>
        <v/>
      </c>
      <c r="E129" s="31" t="str">
        <f aca="false">IF(R129="","",Reconciliation!E130)</f>
        <v/>
      </c>
      <c r="F129" s="30" t="str">
        <f aca="false">IF(R129="","",Reconciliation!F130)</f>
        <v/>
      </c>
      <c r="G129" s="30" t="str">
        <f aca="false">IF(R129="","",Reconciliation!G130)</f>
        <v/>
      </c>
      <c r="H129" s="30" t="str">
        <f aca="false">IF(R129="","",Reconciliation!H130)</f>
        <v/>
      </c>
      <c r="I129" s="30" t="str">
        <f aca="false">IF(R129="","",Reconciliation!I130)</f>
        <v/>
      </c>
      <c r="J129" s="31" t="str">
        <f aca="false">IF(R129="","",Reconciliation!J130)</f>
        <v/>
      </c>
      <c r="K129" s="30" t="str">
        <f aca="false">IF(R129="","",Reconciliation!K130)</f>
        <v/>
      </c>
      <c r="L129" s="30" t="str">
        <f aca="false">IF(R129="","",Reconciliation!L130)</f>
        <v/>
      </c>
      <c r="M129" s="32" t="str">
        <f aca="false">IF(R129="","",Reconciliation!M130)</f>
        <v/>
      </c>
      <c r="N129" s="32" t="str">
        <f aca="false">IF(R129="","",Reconciliation!N130)</f>
        <v/>
      </c>
      <c r="O129" s="32" t="str">
        <f aca="false">IF(R129="","",Reconciliation!O130)</f>
        <v/>
      </c>
      <c r="P129" s="32" t="str">
        <f aca="false">IF(R129="","",Reconciliation!P130)</f>
        <v/>
      </c>
      <c r="Q129" s="32" t="str">
        <f aca="false">IF(R129="","",Reconciliation!Q130)</f>
        <v/>
      </c>
      <c r="R129" s="33" t="str">
        <f aca="false">IF(OR(Reconciliation!R130="✅ MATCH",Reconciliation!R130=""),"",Reconciliation!R130)</f>
        <v/>
      </c>
    </row>
    <row r="130" customFormat="false" ht="15" hidden="false" customHeight="true" outlineLevel="0" collapsed="false">
      <c r="A130" s="29" t="str">
        <f aca="false">IF(R130="","",Reconciliation!A131)</f>
        <v/>
      </c>
      <c r="B130" s="30" t="str">
        <f aca="false">IF(R130="","",Reconciliation!B131)</f>
        <v/>
      </c>
      <c r="C130" s="30" t="str">
        <f aca="false">IF(R130="","",Reconciliation!C131)</f>
        <v/>
      </c>
      <c r="D130" s="30" t="str">
        <f aca="false">IF(R130="","",Reconciliation!D131)</f>
        <v/>
      </c>
      <c r="E130" s="31" t="str">
        <f aca="false">IF(R130="","",Reconciliation!E131)</f>
        <v/>
      </c>
      <c r="F130" s="30" t="str">
        <f aca="false">IF(R130="","",Reconciliation!F131)</f>
        <v/>
      </c>
      <c r="G130" s="30" t="str">
        <f aca="false">IF(R130="","",Reconciliation!G131)</f>
        <v/>
      </c>
      <c r="H130" s="30" t="str">
        <f aca="false">IF(R130="","",Reconciliation!H131)</f>
        <v/>
      </c>
      <c r="I130" s="30" t="str">
        <f aca="false">IF(R130="","",Reconciliation!I131)</f>
        <v/>
      </c>
      <c r="J130" s="31" t="str">
        <f aca="false">IF(R130="","",Reconciliation!J131)</f>
        <v/>
      </c>
      <c r="K130" s="30" t="str">
        <f aca="false">IF(R130="","",Reconciliation!K131)</f>
        <v/>
      </c>
      <c r="L130" s="30" t="str">
        <f aca="false">IF(R130="","",Reconciliation!L131)</f>
        <v/>
      </c>
      <c r="M130" s="32" t="str">
        <f aca="false">IF(R130="","",Reconciliation!M131)</f>
        <v/>
      </c>
      <c r="N130" s="32" t="str">
        <f aca="false">IF(R130="","",Reconciliation!N131)</f>
        <v/>
      </c>
      <c r="O130" s="32" t="str">
        <f aca="false">IF(R130="","",Reconciliation!O131)</f>
        <v/>
      </c>
      <c r="P130" s="32" t="str">
        <f aca="false">IF(R130="","",Reconciliation!P131)</f>
        <v/>
      </c>
      <c r="Q130" s="32" t="str">
        <f aca="false">IF(R130="","",Reconciliation!Q131)</f>
        <v/>
      </c>
      <c r="R130" s="33" t="str">
        <f aca="false">IF(OR(Reconciliation!R131="✅ MATCH",Reconciliation!R131=""),"",Reconciliation!R131)</f>
        <v/>
      </c>
    </row>
    <row r="131" customFormat="false" ht="15" hidden="false" customHeight="true" outlineLevel="0" collapsed="false">
      <c r="A131" s="29" t="str">
        <f aca="false">IF(R131="","",Reconciliation!A132)</f>
        <v/>
      </c>
      <c r="B131" s="30" t="str">
        <f aca="false">IF(R131="","",Reconciliation!B132)</f>
        <v/>
      </c>
      <c r="C131" s="30" t="str">
        <f aca="false">IF(R131="","",Reconciliation!C132)</f>
        <v/>
      </c>
      <c r="D131" s="30" t="str">
        <f aca="false">IF(R131="","",Reconciliation!D132)</f>
        <v/>
      </c>
      <c r="E131" s="31" t="str">
        <f aca="false">IF(R131="","",Reconciliation!E132)</f>
        <v/>
      </c>
      <c r="F131" s="30" t="str">
        <f aca="false">IF(R131="","",Reconciliation!F132)</f>
        <v/>
      </c>
      <c r="G131" s="30" t="str">
        <f aca="false">IF(R131="","",Reconciliation!G132)</f>
        <v/>
      </c>
      <c r="H131" s="30" t="str">
        <f aca="false">IF(R131="","",Reconciliation!H132)</f>
        <v/>
      </c>
      <c r="I131" s="30" t="str">
        <f aca="false">IF(R131="","",Reconciliation!I132)</f>
        <v/>
      </c>
      <c r="J131" s="31" t="str">
        <f aca="false">IF(R131="","",Reconciliation!J132)</f>
        <v/>
      </c>
      <c r="K131" s="30" t="str">
        <f aca="false">IF(R131="","",Reconciliation!K132)</f>
        <v/>
      </c>
      <c r="L131" s="30" t="str">
        <f aca="false">IF(R131="","",Reconciliation!L132)</f>
        <v/>
      </c>
      <c r="M131" s="32" t="str">
        <f aca="false">IF(R131="","",Reconciliation!M132)</f>
        <v/>
      </c>
      <c r="N131" s="32" t="str">
        <f aca="false">IF(R131="","",Reconciliation!N132)</f>
        <v/>
      </c>
      <c r="O131" s="32" t="str">
        <f aca="false">IF(R131="","",Reconciliation!O132)</f>
        <v/>
      </c>
      <c r="P131" s="32" t="str">
        <f aca="false">IF(R131="","",Reconciliation!P132)</f>
        <v/>
      </c>
      <c r="Q131" s="32" t="str">
        <f aca="false">IF(R131="","",Reconciliation!Q132)</f>
        <v/>
      </c>
      <c r="R131" s="33" t="str">
        <f aca="false">IF(OR(Reconciliation!R132="✅ MATCH",Reconciliation!R132=""),"",Reconciliation!R132)</f>
        <v/>
      </c>
    </row>
    <row r="132" customFormat="false" ht="15" hidden="false" customHeight="true" outlineLevel="0" collapsed="false">
      <c r="A132" s="29" t="str">
        <f aca="false">IF(R132="","",Reconciliation!A133)</f>
        <v/>
      </c>
      <c r="B132" s="30" t="str">
        <f aca="false">IF(R132="","",Reconciliation!B133)</f>
        <v/>
      </c>
      <c r="C132" s="30" t="str">
        <f aca="false">IF(R132="","",Reconciliation!C133)</f>
        <v/>
      </c>
      <c r="D132" s="30" t="str">
        <f aca="false">IF(R132="","",Reconciliation!D133)</f>
        <v/>
      </c>
      <c r="E132" s="31" t="str">
        <f aca="false">IF(R132="","",Reconciliation!E133)</f>
        <v/>
      </c>
      <c r="F132" s="30" t="str">
        <f aca="false">IF(R132="","",Reconciliation!F133)</f>
        <v/>
      </c>
      <c r="G132" s="30" t="str">
        <f aca="false">IF(R132="","",Reconciliation!G133)</f>
        <v/>
      </c>
      <c r="H132" s="30" t="str">
        <f aca="false">IF(R132="","",Reconciliation!H133)</f>
        <v/>
      </c>
      <c r="I132" s="30" t="str">
        <f aca="false">IF(R132="","",Reconciliation!I133)</f>
        <v/>
      </c>
      <c r="J132" s="31" t="str">
        <f aca="false">IF(R132="","",Reconciliation!J133)</f>
        <v/>
      </c>
      <c r="K132" s="30" t="str">
        <f aca="false">IF(R132="","",Reconciliation!K133)</f>
        <v/>
      </c>
      <c r="L132" s="30" t="str">
        <f aca="false">IF(R132="","",Reconciliation!L133)</f>
        <v/>
      </c>
      <c r="M132" s="32" t="str">
        <f aca="false">IF(R132="","",Reconciliation!M133)</f>
        <v/>
      </c>
      <c r="N132" s="32" t="str">
        <f aca="false">IF(R132="","",Reconciliation!N133)</f>
        <v/>
      </c>
      <c r="O132" s="32" t="str">
        <f aca="false">IF(R132="","",Reconciliation!O133)</f>
        <v/>
      </c>
      <c r="P132" s="32" t="str">
        <f aca="false">IF(R132="","",Reconciliation!P133)</f>
        <v/>
      </c>
      <c r="Q132" s="32" t="str">
        <f aca="false">IF(R132="","",Reconciliation!Q133)</f>
        <v/>
      </c>
      <c r="R132" s="33" t="str">
        <f aca="false">IF(OR(Reconciliation!R133="✅ MATCH",Reconciliation!R133=""),"",Reconciliation!R133)</f>
        <v/>
      </c>
    </row>
    <row r="133" customFormat="false" ht="15" hidden="false" customHeight="true" outlineLevel="0" collapsed="false">
      <c r="A133" s="29" t="str">
        <f aca="false">IF(R133="","",Reconciliation!A134)</f>
        <v/>
      </c>
      <c r="B133" s="30" t="str">
        <f aca="false">IF(R133="","",Reconciliation!B134)</f>
        <v/>
      </c>
      <c r="C133" s="30" t="str">
        <f aca="false">IF(R133="","",Reconciliation!C134)</f>
        <v/>
      </c>
      <c r="D133" s="30" t="str">
        <f aca="false">IF(R133="","",Reconciliation!D134)</f>
        <v/>
      </c>
      <c r="E133" s="31" t="str">
        <f aca="false">IF(R133="","",Reconciliation!E134)</f>
        <v/>
      </c>
      <c r="F133" s="30" t="str">
        <f aca="false">IF(R133="","",Reconciliation!F134)</f>
        <v/>
      </c>
      <c r="G133" s="30" t="str">
        <f aca="false">IF(R133="","",Reconciliation!G134)</f>
        <v/>
      </c>
      <c r="H133" s="30" t="str">
        <f aca="false">IF(R133="","",Reconciliation!H134)</f>
        <v/>
      </c>
      <c r="I133" s="30" t="str">
        <f aca="false">IF(R133="","",Reconciliation!I134)</f>
        <v/>
      </c>
      <c r="J133" s="31" t="str">
        <f aca="false">IF(R133="","",Reconciliation!J134)</f>
        <v/>
      </c>
      <c r="K133" s="30" t="str">
        <f aca="false">IF(R133="","",Reconciliation!K134)</f>
        <v/>
      </c>
      <c r="L133" s="30" t="str">
        <f aca="false">IF(R133="","",Reconciliation!L134)</f>
        <v/>
      </c>
      <c r="M133" s="32" t="str">
        <f aca="false">IF(R133="","",Reconciliation!M134)</f>
        <v/>
      </c>
      <c r="N133" s="32" t="str">
        <f aca="false">IF(R133="","",Reconciliation!N134)</f>
        <v/>
      </c>
      <c r="O133" s="32" t="str">
        <f aca="false">IF(R133="","",Reconciliation!O134)</f>
        <v/>
      </c>
      <c r="P133" s="32" t="str">
        <f aca="false">IF(R133="","",Reconciliation!P134)</f>
        <v/>
      </c>
      <c r="Q133" s="32" t="str">
        <f aca="false">IF(R133="","",Reconciliation!Q134)</f>
        <v/>
      </c>
      <c r="R133" s="33" t="str">
        <f aca="false">IF(OR(Reconciliation!R134="✅ MATCH",Reconciliation!R134=""),"",Reconciliation!R134)</f>
        <v/>
      </c>
    </row>
    <row r="134" customFormat="false" ht="15" hidden="false" customHeight="true" outlineLevel="0" collapsed="false">
      <c r="A134" s="29" t="str">
        <f aca="false">IF(R134="","",Reconciliation!A135)</f>
        <v/>
      </c>
      <c r="B134" s="30" t="str">
        <f aca="false">IF(R134="","",Reconciliation!B135)</f>
        <v/>
      </c>
      <c r="C134" s="30" t="str">
        <f aca="false">IF(R134="","",Reconciliation!C135)</f>
        <v/>
      </c>
      <c r="D134" s="30" t="str">
        <f aca="false">IF(R134="","",Reconciliation!D135)</f>
        <v/>
      </c>
      <c r="E134" s="31" t="str">
        <f aca="false">IF(R134="","",Reconciliation!E135)</f>
        <v/>
      </c>
      <c r="F134" s="30" t="str">
        <f aca="false">IF(R134="","",Reconciliation!F135)</f>
        <v/>
      </c>
      <c r="G134" s="30" t="str">
        <f aca="false">IF(R134="","",Reconciliation!G135)</f>
        <v/>
      </c>
      <c r="H134" s="30" t="str">
        <f aca="false">IF(R134="","",Reconciliation!H135)</f>
        <v/>
      </c>
      <c r="I134" s="30" t="str">
        <f aca="false">IF(R134="","",Reconciliation!I135)</f>
        <v/>
      </c>
      <c r="J134" s="31" t="str">
        <f aca="false">IF(R134="","",Reconciliation!J135)</f>
        <v/>
      </c>
      <c r="K134" s="30" t="str">
        <f aca="false">IF(R134="","",Reconciliation!K135)</f>
        <v/>
      </c>
      <c r="L134" s="30" t="str">
        <f aca="false">IF(R134="","",Reconciliation!L135)</f>
        <v/>
      </c>
      <c r="M134" s="32" t="str">
        <f aca="false">IF(R134="","",Reconciliation!M135)</f>
        <v/>
      </c>
      <c r="N134" s="32" t="str">
        <f aca="false">IF(R134="","",Reconciliation!N135)</f>
        <v/>
      </c>
      <c r="O134" s="32" t="str">
        <f aca="false">IF(R134="","",Reconciliation!O135)</f>
        <v/>
      </c>
      <c r="P134" s="32" t="str">
        <f aca="false">IF(R134="","",Reconciliation!P135)</f>
        <v/>
      </c>
      <c r="Q134" s="32" t="str">
        <f aca="false">IF(R134="","",Reconciliation!Q135)</f>
        <v/>
      </c>
      <c r="R134" s="33" t="str">
        <f aca="false">IF(OR(Reconciliation!R135="✅ MATCH",Reconciliation!R135=""),"",Reconciliation!R135)</f>
        <v/>
      </c>
    </row>
    <row r="135" customFormat="false" ht="15" hidden="false" customHeight="true" outlineLevel="0" collapsed="false">
      <c r="A135" s="29" t="str">
        <f aca="false">IF(R135="","",Reconciliation!A136)</f>
        <v/>
      </c>
      <c r="B135" s="30" t="str">
        <f aca="false">IF(R135="","",Reconciliation!B136)</f>
        <v/>
      </c>
      <c r="C135" s="30" t="str">
        <f aca="false">IF(R135="","",Reconciliation!C136)</f>
        <v/>
      </c>
      <c r="D135" s="30" t="str">
        <f aca="false">IF(R135="","",Reconciliation!D136)</f>
        <v/>
      </c>
      <c r="E135" s="31" t="str">
        <f aca="false">IF(R135="","",Reconciliation!E136)</f>
        <v/>
      </c>
      <c r="F135" s="30" t="str">
        <f aca="false">IF(R135="","",Reconciliation!F136)</f>
        <v/>
      </c>
      <c r="G135" s="30" t="str">
        <f aca="false">IF(R135="","",Reconciliation!G136)</f>
        <v/>
      </c>
      <c r="H135" s="30" t="str">
        <f aca="false">IF(R135="","",Reconciliation!H136)</f>
        <v/>
      </c>
      <c r="I135" s="30" t="str">
        <f aca="false">IF(R135="","",Reconciliation!I136)</f>
        <v/>
      </c>
      <c r="J135" s="31" t="str">
        <f aca="false">IF(R135="","",Reconciliation!J136)</f>
        <v/>
      </c>
      <c r="K135" s="30" t="str">
        <f aca="false">IF(R135="","",Reconciliation!K136)</f>
        <v/>
      </c>
      <c r="L135" s="30" t="str">
        <f aca="false">IF(R135="","",Reconciliation!L136)</f>
        <v/>
      </c>
      <c r="M135" s="32" t="str">
        <f aca="false">IF(R135="","",Reconciliation!M136)</f>
        <v/>
      </c>
      <c r="N135" s="32" t="str">
        <f aca="false">IF(R135="","",Reconciliation!N136)</f>
        <v/>
      </c>
      <c r="O135" s="32" t="str">
        <f aca="false">IF(R135="","",Reconciliation!O136)</f>
        <v/>
      </c>
      <c r="P135" s="32" t="str">
        <f aca="false">IF(R135="","",Reconciliation!P136)</f>
        <v/>
      </c>
      <c r="Q135" s="32" t="str">
        <f aca="false">IF(R135="","",Reconciliation!Q136)</f>
        <v/>
      </c>
      <c r="R135" s="33" t="str">
        <f aca="false">IF(OR(Reconciliation!R136="✅ MATCH",Reconciliation!R136=""),"",Reconciliation!R136)</f>
        <v/>
      </c>
    </row>
    <row r="136" customFormat="false" ht="15" hidden="false" customHeight="true" outlineLevel="0" collapsed="false">
      <c r="A136" s="29" t="str">
        <f aca="false">IF(R136="","",Reconciliation!A137)</f>
        <v/>
      </c>
      <c r="B136" s="30" t="str">
        <f aca="false">IF(R136="","",Reconciliation!B137)</f>
        <v/>
      </c>
      <c r="C136" s="30" t="str">
        <f aca="false">IF(R136="","",Reconciliation!C137)</f>
        <v/>
      </c>
      <c r="D136" s="30" t="str">
        <f aca="false">IF(R136="","",Reconciliation!D137)</f>
        <v/>
      </c>
      <c r="E136" s="31" t="str">
        <f aca="false">IF(R136="","",Reconciliation!E137)</f>
        <v/>
      </c>
      <c r="F136" s="30" t="str">
        <f aca="false">IF(R136="","",Reconciliation!F137)</f>
        <v/>
      </c>
      <c r="G136" s="30" t="str">
        <f aca="false">IF(R136="","",Reconciliation!G137)</f>
        <v/>
      </c>
      <c r="H136" s="30" t="str">
        <f aca="false">IF(R136="","",Reconciliation!H137)</f>
        <v/>
      </c>
      <c r="I136" s="30" t="str">
        <f aca="false">IF(R136="","",Reconciliation!I137)</f>
        <v/>
      </c>
      <c r="J136" s="31" t="str">
        <f aca="false">IF(R136="","",Reconciliation!J137)</f>
        <v/>
      </c>
      <c r="K136" s="30" t="str">
        <f aca="false">IF(R136="","",Reconciliation!K137)</f>
        <v/>
      </c>
      <c r="L136" s="30" t="str">
        <f aca="false">IF(R136="","",Reconciliation!L137)</f>
        <v/>
      </c>
      <c r="M136" s="32" t="str">
        <f aca="false">IF(R136="","",Reconciliation!M137)</f>
        <v/>
      </c>
      <c r="N136" s="32" t="str">
        <f aca="false">IF(R136="","",Reconciliation!N137)</f>
        <v/>
      </c>
      <c r="O136" s="32" t="str">
        <f aca="false">IF(R136="","",Reconciliation!O137)</f>
        <v/>
      </c>
      <c r="P136" s="32" t="str">
        <f aca="false">IF(R136="","",Reconciliation!P137)</f>
        <v/>
      </c>
      <c r="Q136" s="32" t="str">
        <f aca="false">IF(R136="","",Reconciliation!Q137)</f>
        <v/>
      </c>
      <c r="R136" s="33" t="str">
        <f aca="false">IF(OR(Reconciliation!R137="✅ MATCH",Reconciliation!R137=""),"",Reconciliation!R137)</f>
        <v/>
      </c>
    </row>
    <row r="137" customFormat="false" ht="15" hidden="false" customHeight="true" outlineLevel="0" collapsed="false">
      <c r="A137" s="29" t="str">
        <f aca="false">IF(R137="","",Reconciliation!A138)</f>
        <v/>
      </c>
      <c r="B137" s="30" t="str">
        <f aca="false">IF(R137="","",Reconciliation!B138)</f>
        <v/>
      </c>
      <c r="C137" s="30" t="str">
        <f aca="false">IF(R137="","",Reconciliation!C138)</f>
        <v/>
      </c>
      <c r="D137" s="30" t="str">
        <f aca="false">IF(R137="","",Reconciliation!D138)</f>
        <v/>
      </c>
      <c r="E137" s="31" t="str">
        <f aca="false">IF(R137="","",Reconciliation!E138)</f>
        <v/>
      </c>
      <c r="F137" s="30" t="str">
        <f aca="false">IF(R137="","",Reconciliation!F138)</f>
        <v/>
      </c>
      <c r="G137" s="30" t="str">
        <f aca="false">IF(R137="","",Reconciliation!G138)</f>
        <v/>
      </c>
      <c r="H137" s="30" t="str">
        <f aca="false">IF(R137="","",Reconciliation!H138)</f>
        <v/>
      </c>
      <c r="I137" s="30" t="str">
        <f aca="false">IF(R137="","",Reconciliation!I138)</f>
        <v/>
      </c>
      <c r="J137" s="31" t="str">
        <f aca="false">IF(R137="","",Reconciliation!J138)</f>
        <v/>
      </c>
      <c r="K137" s="30" t="str">
        <f aca="false">IF(R137="","",Reconciliation!K138)</f>
        <v/>
      </c>
      <c r="L137" s="30" t="str">
        <f aca="false">IF(R137="","",Reconciliation!L138)</f>
        <v/>
      </c>
      <c r="M137" s="32" t="str">
        <f aca="false">IF(R137="","",Reconciliation!M138)</f>
        <v/>
      </c>
      <c r="N137" s="32" t="str">
        <f aca="false">IF(R137="","",Reconciliation!N138)</f>
        <v/>
      </c>
      <c r="O137" s="32" t="str">
        <f aca="false">IF(R137="","",Reconciliation!O138)</f>
        <v/>
      </c>
      <c r="P137" s="32" t="str">
        <f aca="false">IF(R137="","",Reconciliation!P138)</f>
        <v/>
      </c>
      <c r="Q137" s="32" t="str">
        <f aca="false">IF(R137="","",Reconciliation!Q138)</f>
        <v/>
      </c>
      <c r="R137" s="33" t="str">
        <f aca="false">IF(OR(Reconciliation!R138="✅ MATCH",Reconciliation!R138=""),"",Reconciliation!R138)</f>
        <v/>
      </c>
    </row>
    <row r="138" customFormat="false" ht="15" hidden="false" customHeight="true" outlineLevel="0" collapsed="false">
      <c r="A138" s="29" t="str">
        <f aca="false">IF(R138="","",Reconciliation!A139)</f>
        <v/>
      </c>
      <c r="B138" s="30" t="str">
        <f aca="false">IF(R138="","",Reconciliation!B139)</f>
        <v/>
      </c>
      <c r="C138" s="30" t="str">
        <f aca="false">IF(R138="","",Reconciliation!C139)</f>
        <v/>
      </c>
      <c r="D138" s="30" t="str">
        <f aca="false">IF(R138="","",Reconciliation!D139)</f>
        <v/>
      </c>
      <c r="E138" s="31" t="str">
        <f aca="false">IF(R138="","",Reconciliation!E139)</f>
        <v/>
      </c>
      <c r="F138" s="30" t="str">
        <f aca="false">IF(R138="","",Reconciliation!F139)</f>
        <v/>
      </c>
      <c r="G138" s="30" t="str">
        <f aca="false">IF(R138="","",Reconciliation!G139)</f>
        <v/>
      </c>
      <c r="H138" s="30" t="str">
        <f aca="false">IF(R138="","",Reconciliation!H139)</f>
        <v/>
      </c>
      <c r="I138" s="30" t="str">
        <f aca="false">IF(R138="","",Reconciliation!I139)</f>
        <v/>
      </c>
      <c r="J138" s="31" t="str">
        <f aca="false">IF(R138="","",Reconciliation!J139)</f>
        <v/>
      </c>
      <c r="K138" s="30" t="str">
        <f aca="false">IF(R138="","",Reconciliation!K139)</f>
        <v/>
      </c>
      <c r="L138" s="30" t="str">
        <f aca="false">IF(R138="","",Reconciliation!L139)</f>
        <v/>
      </c>
      <c r="M138" s="32" t="str">
        <f aca="false">IF(R138="","",Reconciliation!M139)</f>
        <v/>
      </c>
      <c r="N138" s="32" t="str">
        <f aca="false">IF(R138="","",Reconciliation!N139)</f>
        <v/>
      </c>
      <c r="O138" s="32" t="str">
        <f aca="false">IF(R138="","",Reconciliation!O139)</f>
        <v/>
      </c>
      <c r="P138" s="32" t="str">
        <f aca="false">IF(R138="","",Reconciliation!P139)</f>
        <v/>
      </c>
      <c r="Q138" s="32" t="str">
        <f aca="false">IF(R138="","",Reconciliation!Q139)</f>
        <v/>
      </c>
      <c r="R138" s="33" t="str">
        <f aca="false">IF(OR(Reconciliation!R139="✅ MATCH",Reconciliation!R139=""),"",Reconciliation!R139)</f>
        <v/>
      </c>
    </row>
    <row r="139" customFormat="false" ht="15" hidden="false" customHeight="true" outlineLevel="0" collapsed="false">
      <c r="A139" s="29" t="str">
        <f aca="false">IF(R139="","",Reconciliation!A140)</f>
        <v/>
      </c>
      <c r="B139" s="30" t="str">
        <f aca="false">IF(R139="","",Reconciliation!B140)</f>
        <v/>
      </c>
      <c r="C139" s="30" t="str">
        <f aca="false">IF(R139="","",Reconciliation!C140)</f>
        <v/>
      </c>
      <c r="D139" s="30" t="str">
        <f aca="false">IF(R139="","",Reconciliation!D140)</f>
        <v/>
      </c>
      <c r="E139" s="31" t="str">
        <f aca="false">IF(R139="","",Reconciliation!E140)</f>
        <v/>
      </c>
      <c r="F139" s="30" t="str">
        <f aca="false">IF(R139="","",Reconciliation!F140)</f>
        <v/>
      </c>
      <c r="G139" s="30" t="str">
        <f aca="false">IF(R139="","",Reconciliation!G140)</f>
        <v/>
      </c>
      <c r="H139" s="30" t="str">
        <f aca="false">IF(R139="","",Reconciliation!H140)</f>
        <v/>
      </c>
      <c r="I139" s="30" t="str">
        <f aca="false">IF(R139="","",Reconciliation!I140)</f>
        <v/>
      </c>
      <c r="J139" s="31" t="str">
        <f aca="false">IF(R139="","",Reconciliation!J140)</f>
        <v/>
      </c>
      <c r="K139" s="30" t="str">
        <f aca="false">IF(R139="","",Reconciliation!K140)</f>
        <v/>
      </c>
      <c r="L139" s="30" t="str">
        <f aca="false">IF(R139="","",Reconciliation!L140)</f>
        <v/>
      </c>
      <c r="M139" s="32" t="str">
        <f aca="false">IF(R139="","",Reconciliation!M140)</f>
        <v/>
      </c>
      <c r="N139" s="32" t="str">
        <f aca="false">IF(R139="","",Reconciliation!N140)</f>
        <v/>
      </c>
      <c r="O139" s="32" t="str">
        <f aca="false">IF(R139="","",Reconciliation!O140)</f>
        <v/>
      </c>
      <c r="P139" s="32" t="str">
        <f aca="false">IF(R139="","",Reconciliation!P140)</f>
        <v/>
      </c>
      <c r="Q139" s="32" t="str">
        <f aca="false">IF(R139="","",Reconciliation!Q140)</f>
        <v/>
      </c>
      <c r="R139" s="33" t="str">
        <f aca="false">IF(OR(Reconciliation!R140="✅ MATCH",Reconciliation!R140=""),"",Reconciliation!R140)</f>
        <v/>
      </c>
    </row>
    <row r="140" customFormat="false" ht="15" hidden="false" customHeight="true" outlineLevel="0" collapsed="false">
      <c r="A140" s="29" t="str">
        <f aca="false">IF(R140="","",Reconciliation!A141)</f>
        <v/>
      </c>
      <c r="B140" s="30" t="str">
        <f aca="false">IF(R140="","",Reconciliation!B141)</f>
        <v/>
      </c>
      <c r="C140" s="30" t="str">
        <f aca="false">IF(R140="","",Reconciliation!C141)</f>
        <v/>
      </c>
      <c r="D140" s="30" t="str">
        <f aca="false">IF(R140="","",Reconciliation!D141)</f>
        <v/>
      </c>
      <c r="E140" s="31" t="str">
        <f aca="false">IF(R140="","",Reconciliation!E141)</f>
        <v/>
      </c>
      <c r="F140" s="30" t="str">
        <f aca="false">IF(R140="","",Reconciliation!F141)</f>
        <v/>
      </c>
      <c r="G140" s="30" t="str">
        <f aca="false">IF(R140="","",Reconciliation!G141)</f>
        <v/>
      </c>
      <c r="H140" s="30" t="str">
        <f aca="false">IF(R140="","",Reconciliation!H141)</f>
        <v/>
      </c>
      <c r="I140" s="30" t="str">
        <f aca="false">IF(R140="","",Reconciliation!I141)</f>
        <v/>
      </c>
      <c r="J140" s="31" t="str">
        <f aca="false">IF(R140="","",Reconciliation!J141)</f>
        <v/>
      </c>
      <c r="K140" s="30" t="str">
        <f aca="false">IF(R140="","",Reconciliation!K141)</f>
        <v/>
      </c>
      <c r="L140" s="30" t="str">
        <f aca="false">IF(R140="","",Reconciliation!L141)</f>
        <v/>
      </c>
      <c r="M140" s="32" t="str">
        <f aca="false">IF(R140="","",Reconciliation!M141)</f>
        <v/>
      </c>
      <c r="N140" s="32" t="str">
        <f aca="false">IF(R140="","",Reconciliation!N141)</f>
        <v/>
      </c>
      <c r="O140" s="32" t="str">
        <f aca="false">IF(R140="","",Reconciliation!O141)</f>
        <v/>
      </c>
      <c r="P140" s="32" t="str">
        <f aca="false">IF(R140="","",Reconciliation!P141)</f>
        <v/>
      </c>
      <c r="Q140" s="32" t="str">
        <f aca="false">IF(R140="","",Reconciliation!Q141)</f>
        <v/>
      </c>
      <c r="R140" s="33" t="str">
        <f aca="false">IF(OR(Reconciliation!R141="✅ MATCH",Reconciliation!R141=""),"",Reconciliation!R141)</f>
        <v/>
      </c>
    </row>
    <row r="141" customFormat="false" ht="15" hidden="false" customHeight="true" outlineLevel="0" collapsed="false">
      <c r="A141" s="29" t="str">
        <f aca="false">IF(R141="","",Reconciliation!A142)</f>
        <v/>
      </c>
      <c r="B141" s="30" t="str">
        <f aca="false">IF(R141="","",Reconciliation!B142)</f>
        <v/>
      </c>
      <c r="C141" s="30" t="str">
        <f aca="false">IF(R141="","",Reconciliation!C142)</f>
        <v/>
      </c>
      <c r="D141" s="30" t="str">
        <f aca="false">IF(R141="","",Reconciliation!D142)</f>
        <v/>
      </c>
      <c r="E141" s="31" t="str">
        <f aca="false">IF(R141="","",Reconciliation!E142)</f>
        <v/>
      </c>
      <c r="F141" s="30" t="str">
        <f aca="false">IF(R141="","",Reconciliation!F142)</f>
        <v/>
      </c>
      <c r="G141" s="30" t="str">
        <f aca="false">IF(R141="","",Reconciliation!G142)</f>
        <v/>
      </c>
      <c r="H141" s="30" t="str">
        <f aca="false">IF(R141="","",Reconciliation!H142)</f>
        <v/>
      </c>
      <c r="I141" s="30" t="str">
        <f aca="false">IF(R141="","",Reconciliation!I142)</f>
        <v/>
      </c>
      <c r="J141" s="31" t="str">
        <f aca="false">IF(R141="","",Reconciliation!J142)</f>
        <v/>
      </c>
      <c r="K141" s="30" t="str">
        <f aca="false">IF(R141="","",Reconciliation!K142)</f>
        <v/>
      </c>
      <c r="L141" s="30" t="str">
        <f aca="false">IF(R141="","",Reconciliation!L142)</f>
        <v/>
      </c>
      <c r="M141" s="32" t="str">
        <f aca="false">IF(R141="","",Reconciliation!M142)</f>
        <v/>
      </c>
      <c r="N141" s="32" t="str">
        <f aca="false">IF(R141="","",Reconciliation!N142)</f>
        <v/>
      </c>
      <c r="O141" s="32" t="str">
        <f aca="false">IF(R141="","",Reconciliation!O142)</f>
        <v/>
      </c>
      <c r="P141" s="32" t="str">
        <f aca="false">IF(R141="","",Reconciliation!P142)</f>
        <v/>
      </c>
      <c r="Q141" s="32" t="str">
        <f aca="false">IF(R141="","",Reconciliation!Q142)</f>
        <v/>
      </c>
      <c r="R141" s="33" t="str">
        <f aca="false">IF(OR(Reconciliation!R142="✅ MATCH",Reconciliation!R142=""),"",Reconciliation!R142)</f>
        <v/>
      </c>
    </row>
    <row r="142" customFormat="false" ht="15" hidden="false" customHeight="true" outlineLevel="0" collapsed="false">
      <c r="A142" s="29" t="str">
        <f aca="false">IF(R142="","",Reconciliation!A143)</f>
        <v/>
      </c>
      <c r="B142" s="30" t="str">
        <f aca="false">IF(R142="","",Reconciliation!B143)</f>
        <v/>
      </c>
      <c r="C142" s="30" t="str">
        <f aca="false">IF(R142="","",Reconciliation!C143)</f>
        <v/>
      </c>
      <c r="D142" s="30" t="str">
        <f aca="false">IF(R142="","",Reconciliation!D143)</f>
        <v/>
      </c>
      <c r="E142" s="31" t="str">
        <f aca="false">IF(R142="","",Reconciliation!E143)</f>
        <v/>
      </c>
      <c r="F142" s="30" t="str">
        <f aca="false">IF(R142="","",Reconciliation!F143)</f>
        <v/>
      </c>
      <c r="G142" s="30" t="str">
        <f aca="false">IF(R142="","",Reconciliation!G143)</f>
        <v/>
      </c>
      <c r="H142" s="30" t="str">
        <f aca="false">IF(R142="","",Reconciliation!H143)</f>
        <v/>
      </c>
      <c r="I142" s="30" t="str">
        <f aca="false">IF(R142="","",Reconciliation!I143)</f>
        <v/>
      </c>
      <c r="J142" s="31" t="str">
        <f aca="false">IF(R142="","",Reconciliation!J143)</f>
        <v/>
      </c>
      <c r="K142" s="30" t="str">
        <f aca="false">IF(R142="","",Reconciliation!K143)</f>
        <v/>
      </c>
      <c r="L142" s="30" t="str">
        <f aca="false">IF(R142="","",Reconciliation!L143)</f>
        <v/>
      </c>
      <c r="M142" s="32" t="str">
        <f aca="false">IF(R142="","",Reconciliation!M143)</f>
        <v/>
      </c>
      <c r="N142" s="32" t="str">
        <f aca="false">IF(R142="","",Reconciliation!N143)</f>
        <v/>
      </c>
      <c r="O142" s="32" t="str">
        <f aca="false">IF(R142="","",Reconciliation!O143)</f>
        <v/>
      </c>
      <c r="P142" s="32" t="str">
        <f aca="false">IF(R142="","",Reconciliation!P143)</f>
        <v/>
      </c>
      <c r="Q142" s="32" t="str">
        <f aca="false">IF(R142="","",Reconciliation!Q143)</f>
        <v/>
      </c>
      <c r="R142" s="33" t="str">
        <f aca="false">IF(OR(Reconciliation!R143="✅ MATCH",Reconciliation!R143=""),"",Reconciliation!R143)</f>
        <v/>
      </c>
    </row>
    <row r="143" customFormat="false" ht="15" hidden="false" customHeight="true" outlineLevel="0" collapsed="false">
      <c r="A143" s="29" t="str">
        <f aca="false">IF(R143="","",Reconciliation!A144)</f>
        <v/>
      </c>
      <c r="B143" s="30" t="str">
        <f aca="false">IF(R143="","",Reconciliation!B144)</f>
        <v/>
      </c>
      <c r="C143" s="30" t="str">
        <f aca="false">IF(R143="","",Reconciliation!C144)</f>
        <v/>
      </c>
      <c r="D143" s="30" t="str">
        <f aca="false">IF(R143="","",Reconciliation!D144)</f>
        <v/>
      </c>
      <c r="E143" s="31" t="str">
        <f aca="false">IF(R143="","",Reconciliation!E144)</f>
        <v/>
      </c>
      <c r="F143" s="30" t="str">
        <f aca="false">IF(R143="","",Reconciliation!F144)</f>
        <v/>
      </c>
      <c r="G143" s="30" t="str">
        <f aca="false">IF(R143="","",Reconciliation!G144)</f>
        <v/>
      </c>
      <c r="H143" s="30" t="str">
        <f aca="false">IF(R143="","",Reconciliation!H144)</f>
        <v/>
      </c>
      <c r="I143" s="30" t="str">
        <f aca="false">IF(R143="","",Reconciliation!I144)</f>
        <v/>
      </c>
      <c r="J143" s="31" t="str">
        <f aca="false">IF(R143="","",Reconciliation!J144)</f>
        <v/>
      </c>
      <c r="K143" s="30" t="str">
        <f aca="false">IF(R143="","",Reconciliation!K144)</f>
        <v/>
      </c>
      <c r="L143" s="30" t="str">
        <f aca="false">IF(R143="","",Reconciliation!L144)</f>
        <v/>
      </c>
      <c r="M143" s="32" t="str">
        <f aca="false">IF(R143="","",Reconciliation!M144)</f>
        <v/>
      </c>
      <c r="N143" s="32" t="str">
        <f aca="false">IF(R143="","",Reconciliation!N144)</f>
        <v/>
      </c>
      <c r="O143" s="32" t="str">
        <f aca="false">IF(R143="","",Reconciliation!O144)</f>
        <v/>
      </c>
      <c r="P143" s="32" t="str">
        <f aca="false">IF(R143="","",Reconciliation!P144)</f>
        <v/>
      </c>
      <c r="Q143" s="32" t="str">
        <f aca="false">IF(R143="","",Reconciliation!Q144)</f>
        <v/>
      </c>
      <c r="R143" s="33" t="str">
        <f aca="false">IF(OR(Reconciliation!R144="✅ MATCH",Reconciliation!R144=""),"",Reconciliation!R144)</f>
        <v/>
      </c>
    </row>
    <row r="144" customFormat="false" ht="15" hidden="false" customHeight="true" outlineLevel="0" collapsed="false">
      <c r="A144" s="29" t="str">
        <f aca="false">IF(R144="","",Reconciliation!A145)</f>
        <v/>
      </c>
      <c r="B144" s="30" t="str">
        <f aca="false">IF(R144="","",Reconciliation!B145)</f>
        <v/>
      </c>
      <c r="C144" s="30" t="str">
        <f aca="false">IF(R144="","",Reconciliation!C145)</f>
        <v/>
      </c>
      <c r="D144" s="30" t="str">
        <f aca="false">IF(R144="","",Reconciliation!D145)</f>
        <v/>
      </c>
      <c r="E144" s="31" t="str">
        <f aca="false">IF(R144="","",Reconciliation!E145)</f>
        <v/>
      </c>
      <c r="F144" s="30" t="str">
        <f aca="false">IF(R144="","",Reconciliation!F145)</f>
        <v/>
      </c>
      <c r="G144" s="30" t="str">
        <f aca="false">IF(R144="","",Reconciliation!G145)</f>
        <v/>
      </c>
      <c r="H144" s="30" t="str">
        <f aca="false">IF(R144="","",Reconciliation!H145)</f>
        <v/>
      </c>
      <c r="I144" s="30" t="str">
        <f aca="false">IF(R144="","",Reconciliation!I145)</f>
        <v/>
      </c>
      <c r="J144" s="31" t="str">
        <f aca="false">IF(R144="","",Reconciliation!J145)</f>
        <v/>
      </c>
      <c r="K144" s="30" t="str">
        <f aca="false">IF(R144="","",Reconciliation!K145)</f>
        <v/>
      </c>
      <c r="L144" s="30" t="str">
        <f aca="false">IF(R144="","",Reconciliation!L145)</f>
        <v/>
      </c>
      <c r="M144" s="32" t="str">
        <f aca="false">IF(R144="","",Reconciliation!M145)</f>
        <v/>
      </c>
      <c r="N144" s="32" t="str">
        <f aca="false">IF(R144="","",Reconciliation!N145)</f>
        <v/>
      </c>
      <c r="O144" s="32" t="str">
        <f aca="false">IF(R144="","",Reconciliation!O145)</f>
        <v/>
      </c>
      <c r="P144" s="32" t="str">
        <f aca="false">IF(R144="","",Reconciliation!P145)</f>
        <v/>
      </c>
      <c r="Q144" s="32" t="str">
        <f aca="false">IF(R144="","",Reconciliation!Q145)</f>
        <v/>
      </c>
      <c r="R144" s="33" t="str">
        <f aca="false">IF(OR(Reconciliation!R145="✅ MATCH",Reconciliation!R145=""),"",Reconciliation!R145)</f>
        <v/>
      </c>
    </row>
    <row r="145" customFormat="false" ht="15" hidden="false" customHeight="true" outlineLevel="0" collapsed="false">
      <c r="A145" s="29" t="str">
        <f aca="false">IF(R145="","",Reconciliation!A146)</f>
        <v/>
      </c>
      <c r="B145" s="30" t="str">
        <f aca="false">IF(R145="","",Reconciliation!B146)</f>
        <v/>
      </c>
      <c r="C145" s="30" t="str">
        <f aca="false">IF(R145="","",Reconciliation!C146)</f>
        <v/>
      </c>
      <c r="D145" s="30" t="str">
        <f aca="false">IF(R145="","",Reconciliation!D146)</f>
        <v/>
      </c>
      <c r="E145" s="31" t="str">
        <f aca="false">IF(R145="","",Reconciliation!E146)</f>
        <v/>
      </c>
      <c r="F145" s="30" t="str">
        <f aca="false">IF(R145="","",Reconciliation!F146)</f>
        <v/>
      </c>
      <c r="G145" s="30" t="str">
        <f aca="false">IF(R145="","",Reconciliation!G146)</f>
        <v/>
      </c>
      <c r="H145" s="30" t="str">
        <f aca="false">IF(R145="","",Reconciliation!H146)</f>
        <v/>
      </c>
      <c r="I145" s="30" t="str">
        <f aca="false">IF(R145="","",Reconciliation!I146)</f>
        <v/>
      </c>
      <c r="J145" s="31" t="str">
        <f aca="false">IF(R145="","",Reconciliation!J146)</f>
        <v/>
      </c>
      <c r="K145" s="30" t="str">
        <f aca="false">IF(R145="","",Reconciliation!K146)</f>
        <v/>
      </c>
      <c r="L145" s="30" t="str">
        <f aca="false">IF(R145="","",Reconciliation!L146)</f>
        <v/>
      </c>
      <c r="M145" s="32" t="str">
        <f aca="false">IF(R145="","",Reconciliation!M146)</f>
        <v/>
      </c>
      <c r="N145" s="32" t="str">
        <f aca="false">IF(R145="","",Reconciliation!N146)</f>
        <v/>
      </c>
      <c r="O145" s="32" t="str">
        <f aca="false">IF(R145="","",Reconciliation!O146)</f>
        <v/>
      </c>
      <c r="P145" s="32" t="str">
        <f aca="false">IF(R145="","",Reconciliation!P146)</f>
        <v/>
      </c>
      <c r="Q145" s="32" t="str">
        <f aca="false">IF(R145="","",Reconciliation!Q146)</f>
        <v/>
      </c>
      <c r="R145" s="33" t="str">
        <f aca="false">IF(OR(Reconciliation!R146="✅ MATCH",Reconciliation!R146=""),"",Reconciliation!R146)</f>
        <v/>
      </c>
    </row>
    <row r="146" customFormat="false" ht="15" hidden="false" customHeight="true" outlineLevel="0" collapsed="false">
      <c r="A146" s="29" t="str">
        <f aca="false">IF(R146="","",Reconciliation!A147)</f>
        <v/>
      </c>
      <c r="B146" s="30" t="str">
        <f aca="false">IF(R146="","",Reconciliation!B147)</f>
        <v/>
      </c>
      <c r="C146" s="30" t="str">
        <f aca="false">IF(R146="","",Reconciliation!C147)</f>
        <v/>
      </c>
      <c r="D146" s="30" t="str">
        <f aca="false">IF(R146="","",Reconciliation!D147)</f>
        <v/>
      </c>
      <c r="E146" s="31" t="str">
        <f aca="false">IF(R146="","",Reconciliation!E147)</f>
        <v/>
      </c>
      <c r="F146" s="30" t="str">
        <f aca="false">IF(R146="","",Reconciliation!F147)</f>
        <v/>
      </c>
      <c r="G146" s="30" t="str">
        <f aca="false">IF(R146="","",Reconciliation!G147)</f>
        <v/>
      </c>
      <c r="H146" s="30" t="str">
        <f aca="false">IF(R146="","",Reconciliation!H147)</f>
        <v/>
      </c>
      <c r="I146" s="30" t="str">
        <f aca="false">IF(R146="","",Reconciliation!I147)</f>
        <v/>
      </c>
      <c r="J146" s="31" t="str">
        <f aca="false">IF(R146="","",Reconciliation!J147)</f>
        <v/>
      </c>
      <c r="K146" s="30" t="str">
        <f aca="false">IF(R146="","",Reconciliation!K147)</f>
        <v/>
      </c>
      <c r="L146" s="30" t="str">
        <f aca="false">IF(R146="","",Reconciliation!L147)</f>
        <v/>
      </c>
      <c r="M146" s="32" t="str">
        <f aca="false">IF(R146="","",Reconciliation!M147)</f>
        <v/>
      </c>
      <c r="N146" s="32" t="str">
        <f aca="false">IF(R146="","",Reconciliation!N147)</f>
        <v/>
      </c>
      <c r="O146" s="32" t="str">
        <f aca="false">IF(R146="","",Reconciliation!O147)</f>
        <v/>
      </c>
      <c r="P146" s="32" t="str">
        <f aca="false">IF(R146="","",Reconciliation!P147)</f>
        <v/>
      </c>
      <c r="Q146" s="32" t="str">
        <f aca="false">IF(R146="","",Reconciliation!Q147)</f>
        <v/>
      </c>
      <c r="R146" s="33" t="str">
        <f aca="false">IF(OR(Reconciliation!R147="✅ MATCH",Reconciliation!R147=""),"",Reconciliation!R147)</f>
        <v/>
      </c>
    </row>
    <row r="147" customFormat="false" ht="15" hidden="false" customHeight="true" outlineLevel="0" collapsed="false">
      <c r="A147" s="29" t="str">
        <f aca="false">IF(R147="","",Reconciliation!A148)</f>
        <v/>
      </c>
      <c r="B147" s="30" t="str">
        <f aca="false">IF(R147="","",Reconciliation!B148)</f>
        <v/>
      </c>
      <c r="C147" s="30" t="str">
        <f aca="false">IF(R147="","",Reconciliation!C148)</f>
        <v/>
      </c>
      <c r="D147" s="30" t="str">
        <f aca="false">IF(R147="","",Reconciliation!D148)</f>
        <v/>
      </c>
      <c r="E147" s="31" t="str">
        <f aca="false">IF(R147="","",Reconciliation!E148)</f>
        <v/>
      </c>
      <c r="F147" s="30" t="str">
        <f aca="false">IF(R147="","",Reconciliation!F148)</f>
        <v/>
      </c>
      <c r="G147" s="30" t="str">
        <f aca="false">IF(R147="","",Reconciliation!G148)</f>
        <v/>
      </c>
      <c r="H147" s="30" t="str">
        <f aca="false">IF(R147="","",Reconciliation!H148)</f>
        <v/>
      </c>
      <c r="I147" s="30" t="str">
        <f aca="false">IF(R147="","",Reconciliation!I148)</f>
        <v/>
      </c>
      <c r="J147" s="31" t="str">
        <f aca="false">IF(R147="","",Reconciliation!J148)</f>
        <v/>
      </c>
      <c r="K147" s="30" t="str">
        <f aca="false">IF(R147="","",Reconciliation!K148)</f>
        <v/>
      </c>
      <c r="L147" s="30" t="str">
        <f aca="false">IF(R147="","",Reconciliation!L148)</f>
        <v/>
      </c>
      <c r="M147" s="32" t="str">
        <f aca="false">IF(R147="","",Reconciliation!M148)</f>
        <v/>
      </c>
      <c r="N147" s="32" t="str">
        <f aca="false">IF(R147="","",Reconciliation!N148)</f>
        <v/>
      </c>
      <c r="O147" s="32" t="str">
        <f aca="false">IF(R147="","",Reconciliation!O148)</f>
        <v/>
      </c>
      <c r="P147" s="32" t="str">
        <f aca="false">IF(R147="","",Reconciliation!P148)</f>
        <v/>
      </c>
      <c r="Q147" s="32" t="str">
        <f aca="false">IF(R147="","",Reconciliation!Q148)</f>
        <v/>
      </c>
      <c r="R147" s="33" t="str">
        <f aca="false">IF(OR(Reconciliation!R148="✅ MATCH",Reconciliation!R148=""),"",Reconciliation!R148)</f>
        <v/>
      </c>
    </row>
    <row r="148" customFormat="false" ht="15" hidden="false" customHeight="true" outlineLevel="0" collapsed="false">
      <c r="A148" s="29" t="str">
        <f aca="false">IF(R148="","",Reconciliation!A149)</f>
        <v/>
      </c>
      <c r="B148" s="30" t="str">
        <f aca="false">IF(R148="","",Reconciliation!B149)</f>
        <v/>
      </c>
      <c r="C148" s="30" t="str">
        <f aca="false">IF(R148="","",Reconciliation!C149)</f>
        <v/>
      </c>
      <c r="D148" s="30" t="str">
        <f aca="false">IF(R148="","",Reconciliation!D149)</f>
        <v/>
      </c>
      <c r="E148" s="31" t="str">
        <f aca="false">IF(R148="","",Reconciliation!E149)</f>
        <v/>
      </c>
      <c r="F148" s="30" t="str">
        <f aca="false">IF(R148="","",Reconciliation!F149)</f>
        <v/>
      </c>
      <c r="G148" s="30" t="str">
        <f aca="false">IF(R148="","",Reconciliation!G149)</f>
        <v/>
      </c>
      <c r="H148" s="30" t="str">
        <f aca="false">IF(R148="","",Reconciliation!H149)</f>
        <v/>
      </c>
      <c r="I148" s="30" t="str">
        <f aca="false">IF(R148="","",Reconciliation!I149)</f>
        <v/>
      </c>
      <c r="J148" s="31" t="str">
        <f aca="false">IF(R148="","",Reconciliation!J149)</f>
        <v/>
      </c>
      <c r="K148" s="30" t="str">
        <f aca="false">IF(R148="","",Reconciliation!K149)</f>
        <v/>
      </c>
      <c r="L148" s="30" t="str">
        <f aca="false">IF(R148="","",Reconciliation!L149)</f>
        <v/>
      </c>
      <c r="M148" s="32" t="str">
        <f aca="false">IF(R148="","",Reconciliation!M149)</f>
        <v/>
      </c>
      <c r="N148" s="32" t="str">
        <f aca="false">IF(R148="","",Reconciliation!N149)</f>
        <v/>
      </c>
      <c r="O148" s="32" t="str">
        <f aca="false">IF(R148="","",Reconciliation!O149)</f>
        <v/>
      </c>
      <c r="P148" s="32" t="str">
        <f aca="false">IF(R148="","",Reconciliation!P149)</f>
        <v/>
      </c>
      <c r="Q148" s="32" t="str">
        <f aca="false">IF(R148="","",Reconciliation!Q149)</f>
        <v/>
      </c>
      <c r="R148" s="33" t="str">
        <f aca="false">IF(OR(Reconciliation!R149="✅ MATCH",Reconciliation!R149=""),"",Reconciliation!R149)</f>
        <v/>
      </c>
    </row>
    <row r="149" customFormat="false" ht="15" hidden="false" customHeight="true" outlineLevel="0" collapsed="false">
      <c r="A149" s="29" t="str">
        <f aca="false">IF(R149="","",Reconciliation!A150)</f>
        <v/>
      </c>
      <c r="B149" s="30" t="str">
        <f aca="false">IF(R149="","",Reconciliation!B150)</f>
        <v/>
      </c>
      <c r="C149" s="30" t="str">
        <f aca="false">IF(R149="","",Reconciliation!C150)</f>
        <v/>
      </c>
      <c r="D149" s="30" t="str">
        <f aca="false">IF(R149="","",Reconciliation!D150)</f>
        <v/>
      </c>
      <c r="E149" s="31" t="str">
        <f aca="false">IF(R149="","",Reconciliation!E150)</f>
        <v/>
      </c>
      <c r="F149" s="30" t="str">
        <f aca="false">IF(R149="","",Reconciliation!F150)</f>
        <v/>
      </c>
      <c r="G149" s="30" t="str">
        <f aca="false">IF(R149="","",Reconciliation!G150)</f>
        <v/>
      </c>
      <c r="H149" s="30" t="str">
        <f aca="false">IF(R149="","",Reconciliation!H150)</f>
        <v/>
      </c>
      <c r="I149" s="30" t="str">
        <f aca="false">IF(R149="","",Reconciliation!I150)</f>
        <v/>
      </c>
      <c r="J149" s="31" t="str">
        <f aca="false">IF(R149="","",Reconciliation!J150)</f>
        <v/>
      </c>
      <c r="K149" s="30" t="str">
        <f aca="false">IF(R149="","",Reconciliation!K150)</f>
        <v/>
      </c>
      <c r="L149" s="30" t="str">
        <f aca="false">IF(R149="","",Reconciliation!L150)</f>
        <v/>
      </c>
      <c r="M149" s="32" t="str">
        <f aca="false">IF(R149="","",Reconciliation!M150)</f>
        <v/>
      </c>
      <c r="N149" s="32" t="str">
        <f aca="false">IF(R149="","",Reconciliation!N150)</f>
        <v/>
      </c>
      <c r="O149" s="32" t="str">
        <f aca="false">IF(R149="","",Reconciliation!O150)</f>
        <v/>
      </c>
      <c r="P149" s="32" t="str">
        <f aca="false">IF(R149="","",Reconciliation!P150)</f>
        <v/>
      </c>
      <c r="Q149" s="32" t="str">
        <f aca="false">IF(R149="","",Reconciliation!Q150)</f>
        <v/>
      </c>
      <c r="R149" s="33" t="str">
        <f aca="false">IF(OR(Reconciliation!R150="✅ MATCH",Reconciliation!R150=""),"",Reconciliation!R150)</f>
        <v/>
      </c>
    </row>
    <row r="150" customFormat="false" ht="15" hidden="false" customHeight="true" outlineLevel="0" collapsed="false">
      <c r="A150" s="29" t="str">
        <f aca="false">IF(R150="","",Reconciliation!A151)</f>
        <v/>
      </c>
      <c r="B150" s="30" t="str">
        <f aca="false">IF(R150="","",Reconciliation!B151)</f>
        <v/>
      </c>
      <c r="C150" s="30" t="str">
        <f aca="false">IF(R150="","",Reconciliation!C151)</f>
        <v/>
      </c>
      <c r="D150" s="30" t="str">
        <f aca="false">IF(R150="","",Reconciliation!D151)</f>
        <v/>
      </c>
      <c r="E150" s="31" t="str">
        <f aca="false">IF(R150="","",Reconciliation!E151)</f>
        <v/>
      </c>
      <c r="F150" s="30" t="str">
        <f aca="false">IF(R150="","",Reconciliation!F151)</f>
        <v/>
      </c>
      <c r="G150" s="30" t="str">
        <f aca="false">IF(R150="","",Reconciliation!G151)</f>
        <v/>
      </c>
      <c r="H150" s="30" t="str">
        <f aca="false">IF(R150="","",Reconciliation!H151)</f>
        <v/>
      </c>
      <c r="I150" s="30" t="str">
        <f aca="false">IF(R150="","",Reconciliation!I151)</f>
        <v/>
      </c>
      <c r="J150" s="31" t="str">
        <f aca="false">IF(R150="","",Reconciliation!J151)</f>
        <v/>
      </c>
      <c r="K150" s="30" t="str">
        <f aca="false">IF(R150="","",Reconciliation!K151)</f>
        <v/>
      </c>
      <c r="L150" s="30" t="str">
        <f aca="false">IF(R150="","",Reconciliation!L151)</f>
        <v/>
      </c>
      <c r="M150" s="32" t="str">
        <f aca="false">IF(R150="","",Reconciliation!M151)</f>
        <v/>
      </c>
      <c r="N150" s="32" t="str">
        <f aca="false">IF(R150="","",Reconciliation!N151)</f>
        <v/>
      </c>
      <c r="O150" s="32" t="str">
        <f aca="false">IF(R150="","",Reconciliation!O151)</f>
        <v/>
      </c>
      <c r="P150" s="32" t="str">
        <f aca="false">IF(R150="","",Reconciliation!P151)</f>
        <v/>
      </c>
      <c r="Q150" s="32" t="str">
        <f aca="false">IF(R150="","",Reconciliation!Q151)</f>
        <v/>
      </c>
      <c r="R150" s="33" t="str">
        <f aca="false">IF(OR(Reconciliation!R151="✅ MATCH",Reconciliation!R151=""),"",Reconciliation!R151)</f>
        <v/>
      </c>
    </row>
    <row r="151" customFormat="false" ht="15" hidden="false" customHeight="true" outlineLevel="0" collapsed="false">
      <c r="A151" s="29" t="str">
        <f aca="false">IF(R151="","",Reconciliation!A152)</f>
        <v/>
      </c>
      <c r="B151" s="30" t="str">
        <f aca="false">IF(R151="","",Reconciliation!B152)</f>
        <v/>
      </c>
      <c r="C151" s="30" t="str">
        <f aca="false">IF(R151="","",Reconciliation!C152)</f>
        <v/>
      </c>
      <c r="D151" s="30" t="str">
        <f aca="false">IF(R151="","",Reconciliation!D152)</f>
        <v/>
      </c>
      <c r="E151" s="31" t="str">
        <f aca="false">IF(R151="","",Reconciliation!E152)</f>
        <v/>
      </c>
      <c r="F151" s="30" t="str">
        <f aca="false">IF(R151="","",Reconciliation!F152)</f>
        <v/>
      </c>
      <c r="G151" s="30" t="str">
        <f aca="false">IF(R151="","",Reconciliation!G152)</f>
        <v/>
      </c>
      <c r="H151" s="30" t="str">
        <f aca="false">IF(R151="","",Reconciliation!H152)</f>
        <v/>
      </c>
      <c r="I151" s="30" t="str">
        <f aca="false">IF(R151="","",Reconciliation!I152)</f>
        <v/>
      </c>
      <c r="J151" s="31" t="str">
        <f aca="false">IF(R151="","",Reconciliation!J152)</f>
        <v/>
      </c>
      <c r="K151" s="30" t="str">
        <f aca="false">IF(R151="","",Reconciliation!K152)</f>
        <v/>
      </c>
      <c r="L151" s="30" t="str">
        <f aca="false">IF(R151="","",Reconciliation!L152)</f>
        <v/>
      </c>
      <c r="M151" s="32" t="str">
        <f aca="false">IF(R151="","",Reconciliation!M152)</f>
        <v/>
      </c>
      <c r="N151" s="32" t="str">
        <f aca="false">IF(R151="","",Reconciliation!N152)</f>
        <v/>
      </c>
      <c r="O151" s="32" t="str">
        <f aca="false">IF(R151="","",Reconciliation!O152)</f>
        <v/>
      </c>
      <c r="P151" s="32" t="str">
        <f aca="false">IF(R151="","",Reconciliation!P152)</f>
        <v/>
      </c>
      <c r="Q151" s="32" t="str">
        <f aca="false">IF(R151="","",Reconciliation!Q152)</f>
        <v/>
      </c>
      <c r="R151" s="33" t="str">
        <f aca="false">IF(OR(Reconciliation!R152="✅ MATCH",Reconciliation!R152=""),"",Reconciliation!R152)</f>
        <v/>
      </c>
    </row>
    <row r="152" customFormat="false" ht="15" hidden="false" customHeight="true" outlineLevel="0" collapsed="false">
      <c r="A152" s="29" t="str">
        <f aca="false">IF(R152="","",Reconciliation!A153)</f>
        <v/>
      </c>
      <c r="B152" s="30" t="str">
        <f aca="false">IF(R152="","",Reconciliation!B153)</f>
        <v/>
      </c>
      <c r="C152" s="30" t="str">
        <f aca="false">IF(R152="","",Reconciliation!C153)</f>
        <v/>
      </c>
      <c r="D152" s="30" t="str">
        <f aca="false">IF(R152="","",Reconciliation!D153)</f>
        <v/>
      </c>
      <c r="E152" s="31" t="str">
        <f aca="false">IF(R152="","",Reconciliation!E153)</f>
        <v/>
      </c>
      <c r="F152" s="30" t="str">
        <f aca="false">IF(R152="","",Reconciliation!F153)</f>
        <v/>
      </c>
      <c r="G152" s="30" t="str">
        <f aca="false">IF(R152="","",Reconciliation!G153)</f>
        <v/>
      </c>
      <c r="H152" s="30" t="str">
        <f aca="false">IF(R152="","",Reconciliation!H153)</f>
        <v/>
      </c>
      <c r="I152" s="30" t="str">
        <f aca="false">IF(R152="","",Reconciliation!I153)</f>
        <v/>
      </c>
      <c r="J152" s="31" t="str">
        <f aca="false">IF(R152="","",Reconciliation!J153)</f>
        <v/>
      </c>
      <c r="K152" s="30" t="str">
        <f aca="false">IF(R152="","",Reconciliation!K153)</f>
        <v/>
      </c>
      <c r="L152" s="30" t="str">
        <f aca="false">IF(R152="","",Reconciliation!L153)</f>
        <v/>
      </c>
      <c r="M152" s="32" t="str">
        <f aca="false">IF(R152="","",Reconciliation!M153)</f>
        <v/>
      </c>
      <c r="N152" s="32" t="str">
        <f aca="false">IF(R152="","",Reconciliation!N153)</f>
        <v/>
      </c>
      <c r="O152" s="32" t="str">
        <f aca="false">IF(R152="","",Reconciliation!O153)</f>
        <v/>
      </c>
      <c r="P152" s="32" t="str">
        <f aca="false">IF(R152="","",Reconciliation!P153)</f>
        <v/>
      </c>
      <c r="Q152" s="32" t="str">
        <f aca="false">IF(R152="","",Reconciliation!Q153)</f>
        <v/>
      </c>
      <c r="R152" s="33" t="str">
        <f aca="false">IF(OR(Reconciliation!R153="✅ MATCH",Reconciliation!R153=""),"",Reconciliation!R153)</f>
        <v/>
      </c>
    </row>
    <row r="153" customFormat="false" ht="15" hidden="false" customHeight="true" outlineLevel="0" collapsed="false">
      <c r="A153" s="29" t="str">
        <f aca="false">IF(R153="","",Reconciliation!A154)</f>
        <v/>
      </c>
      <c r="B153" s="30" t="str">
        <f aca="false">IF(R153="","",Reconciliation!B154)</f>
        <v/>
      </c>
      <c r="C153" s="30" t="str">
        <f aca="false">IF(R153="","",Reconciliation!C154)</f>
        <v/>
      </c>
      <c r="D153" s="30" t="str">
        <f aca="false">IF(R153="","",Reconciliation!D154)</f>
        <v/>
      </c>
      <c r="E153" s="31" t="str">
        <f aca="false">IF(R153="","",Reconciliation!E154)</f>
        <v/>
      </c>
      <c r="F153" s="30" t="str">
        <f aca="false">IF(R153="","",Reconciliation!F154)</f>
        <v/>
      </c>
      <c r="G153" s="30" t="str">
        <f aca="false">IF(R153="","",Reconciliation!G154)</f>
        <v/>
      </c>
      <c r="H153" s="30" t="str">
        <f aca="false">IF(R153="","",Reconciliation!H154)</f>
        <v/>
      </c>
      <c r="I153" s="30" t="str">
        <f aca="false">IF(R153="","",Reconciliation!I154)</f>
        <v/>
      </c>
      <c r="J153" s="31" t="str">
        <f aca="false">IF(R153="","",Reconciliation!J154)</f>
        <v/>
      </c>
      <c r="K153" s="30" t="str">
        <f aca="false">IF(R153="","",Reconciliation!K154)</f>
        <v/>
      </c>
      <c r="L153" s="30" t="str">
        <f aca="false">IF(R153="","",Reconciliation!L154)</f>
        <v/>
      </c>
      <c r="M153" s="32" t="str">
        <f aca="false">IF(R153="","",Reconciliation!M154)</f>
        <v/>
      </c>
      <c r="N153" s="32" t="str">
        <f aca="false">IF(R153="","",Reconciliation!N154)</f>
        <v/>
      </c>
      <c r="O153" s="32" t="str">
        <f aca="false">IF(R153="","",Reconciliation!O154)</f>
        <v/>
      </c>
      <c r="P153" s="32" t="str">
        <f aca="false">IF(R153="","",Reconciliation!P154)</f>
        <v/>
      </c>
      <c r="Q153" s="32" t="str">
        <f aca="false">IF(R153="","",Reconciliation!Q154)</f>
        <v/>
      </c>
      <c r="R153" s="33" t="str">
        <f aca="false">IF(OR(Reconciliation!R154="✅ MATCH",Reconciliation!R154=""),"",Reconciliation!R154)</f>
        <v/>
      </c>
    </row>
    <row r="154" customFormat="false" ht="15" hidden="false" customHeight="true" outlineLevel="0" collapsed="false">
      <c r="A154" s="29" t="str">
        <f aca="false">IF(R154="","",Reconciliation!A155)</f>
        <v/>
      </c>
      <c r="B154" s="30" t="str">
        <f aca="false">IF(R154="","",Reconciliation!B155)</f>
        <v/>
      </c>
      <c r="C154" s="30" t="str">
        <f aca="false">IF(R154="","",Reconciliation!C155)</f>
        <v/>
      </c>
      <c r="D154" s="30" t="str">
        <f aca="false">IF(R154="","",Reconciliation!D155)</f>
        <v/>
      </c>
      <c r="E154" s="31" t="str">
        <f aca="false">IF(R154="","",Reconciliation!E155)</f>
        <v/>
      </c>
      <c r="F154" s="30" t="str">
        <f aca="false">IF(R154="","",Reconciliation!F155)</f>
        <v/>
      </c>
      <c r="G154" s="30" t="str">
        <f aca="false">IF(R154="","",Reconciliation!G155)</f>
        <v/>
      </c>
      <c r="H154" s="30" t="str">
        <f aca="false">IF(R154="","",Reconciliation!H155)</f>
        <v/>
      </c>
      <c r="I154" s="30" t="str">
        <f aca="false">IF(R154="","",Reconciliation!I155)</f>
        <v/>
      </c>
      <c r="J154" s="31" t="str">
        <f aca="false">IF(R154="","",Reconciliation!J155)</f>
        <v/>
      </c>
      <c r="K154" s="30" t="str">
        <f aca="false">IF(R154="","",Reconciliation!K155)</f>
        <v/>
      </c>
      <c r="L154" s="30" t="str">
        <f aca="false">IF(R154="","",Reconciliation!L155)</f>
        <v/>
      </c>
      <c r="M154" s="32" t="str">
        <f aca="false">IF(R154="","",Reconciliation!M155)</f>
        <v/>
      </c>
      <c r="N154" s="32" t="str">
        <f aca="false">IF(R154="","",Reconciliation!N155)</f>
        <v/>
      </c>
      <c r="O154" s="32" t="str">
        <f aca="false">IF(R154="","",Reconciliation!O155)</f>
        <v/>
      </c>
      <c r="P154" s="32" t="str">
        <f aca="false">IF(R154="","",Reconciliation!P155)</f>
        <v/>
      </c>
      <c r="Q154" s="32" t="str">
        <f aca="false">IF(R154="","",Reconciliation!Q155)</f>
        <v/>
      </c>
      <c r="R154" s="33" t="str">
        <f aca="false">IF(OR(Reconciliation!R155="✅ MATCH",Reconciliation!R155=""),"",Reconciliation!R155)</f>
        <v/>
      </c>
    </row>
    <row r="155" customFormat="false" ht="15" hidden="false" customHeight="true" outlineLevel="0" collapsed="false">
      <c r="A155" s="29" t="str">
        <f aca="false">IF(R155="","",Reconciliation!A156)</f>
        <v/>
      </c>
      <c r="B155" s="30" t="str">
        <f aca="false">IF(R155="","",Reconciliation!B156)</f>
        <v/>
      </c>
      <c r="C155" s="30" t="str">
        <f aca="false">IF(R155="","",Reconciliation!C156)</f>
        <v/>
      </c>
      <c r="D155" s="30" t="str">
        <f aca="false">IF(R155="","",Reconciliation!D156)</f>
        <v/>
      </c>
      <c r="E155" s="31" t="str">
        <f aca="false">IF(R155="","",Reconciliation!E156)</f>
        <v/>
      </c>
      <c r="F155" s="30" t="str">
        <f aca="false">IF(R155="","",Reconciliation!F156)</f>
        <v/>
      </c>
      <c r="G155" s="30" t="str">
        <f aca="false">IF(R155="","",Reconciliation!G156)</f>
        <v/>
      </c>
      <c r="H155" s="30" t="str">
        <f aca="false">IF(R155="","",Reconciliation!H156)</f>
        <v/>
      </c>
      <c r="I155" s="30" t="str">
        <f aca="false">IF(R155="","",Reconciliation!I156)</f>
        <v/>
      </c>
      <c r="J155" s="31" t="str">
        <f aca="false">IF(R155="","",Reconciliation!J156)</f>
        <v/>
      </c>
      <c r="K155" s="30" t="str">
        <f aca="false">IF(R155="","",Reconciliation!K156)</f>
        <v/>
      </c>
      <c r="L155" s="30" t="str">
        <f aca="false">IF(R155="","",Reconciliation!L156)</f>
        <v/>
      </c>
      <c r="M155" s="32" t="str">
        <f aca="false">IF(R155="","",Reconciliation!M156)</f>
        <v/>
      </c>
      <c r="N155" s="32" t="str">
        <f aca="false">IF(R155="","",Reconciliation!N156)</f>
        <v/>
      </c>
      <c r="O155" s="32" t="str">
        <f aca="false">IF(R155="","",Reconciliation!O156)</f>
        <v/>
      </c>
      <c r="P155" s="32" t="str">
        <f aca="false">IF(R155="","",Reconciliation!P156)</f>
        <v/>
      </c>
      <c r="Q155" s="32" t="str">
        <f aca="false">IF(R155="","",Reconciliation!Q156)</f>
        <v/>
      </c>
      <c r="R155" s="33" t="str">
        <f aca="false">IF(OR(Reconciliation!R156="✅ MATCH",Reconciliation!R156=""),"",Reconciliation!R156)</f>
        <v/>
      </c>
    </row>
    <row r="156" customFormat="false" ht="15" hidden="false" customHeight="true" outlineLevel="0" collapsed="false">
      <c r="A156" s="29" t="str">
        <f aca="false">IF(R156="","",Reconciliation!A157)</f>
        <v/>
      </c>
      <c r="B156" s="30" t="str">
        <f aca="false">IF(R156="","",Reconciliation!B157)</f>
        <v/>
      </c>
      <c r="C156" s="30" t="str">
        <f aca="false">IF(R156="","",Reconciliation!C157)</f>
        <v/>
      </c>
      <c r="D156" s="30" t="str">
        <f aca="false">IF(R156="","",Reconciliation!D157)</f>
        <v/>
      </c>
      <c r="E156" s="31" t="str">
        <f aca="false">IF(R156="","",Reconciliation!E157)</f>
        <v/>
      </c>
      <c r="F156" s="30" t="str">
        <f aca="false">IF(R156="","",Reconciliation!F157)</f>
        <v/>
      </c>
      <c r="G156" s="30" t="str">
        <f aca="false">IF(R156="","",Reconciliation!G157)</f>
        <v/>
      </c>
      <c r="H156" s="30" t="str">
        <f aca="false">IF(R156="","",Reconciliation!H157)</f>
        <v/>
      </c>
      <c r="I156" s="30" t="str">
        <f aca="false">IF(R156="","",Reconciliation!I157)</f>
        <v/>
      </c>
      <c r="J156" s="31" t="str">
        <f aca="false">IF(R156="","",Reconciliation!J157)</f>
        <v/>
      </c>
      <c r="K156" s="30" t="str">
        <f aca="false">IF(R156="","",Reconciliation!K157)</f>
        <v/>
      </c>
      <c r="L156" s="30" t="str">
        <f aca="false">IF(R156="","",Reconciliation!L157)</f>
        <v/>
      </c>
      <c r="M156" s="32" t="str">
        <f aca="false">IF(R156="","",Reconciliation!M157)</f>
        <v/>
      </c>
      <c r="N156" s="32" t="str">
        <f aca="false">IF(R156="","",Reconciliation!N157)</f>
        <v/>
      </c>
      <c r="O156" s="32" t="str">
        <f aca="false">IF(R156="","",Reconciliation!O157)</f>
        <v/>
      </c>
      <c r="P156" s="32" t="str">
        <f aca="false">IF(R156="","",Reconciliation!P157)</f>
        <v/>
      </c>
      <c r="Q156" s="32" t="str">
        <f aca="false">IF(R156="","",Reconciliation!Q157)</f>
        <v/>
      </c>
      <c r="R156" s="33" t="str">
        <f aca="false">IF(OR(Reconciliation!R157="✅ MATCH",Reconciliation!R157=""),"",Reconciliation!R157)</f>
        <v/>
      </c>
    </row>
    <row r="157" customFormat="false" ht="15" hidden="false" customHeight="true" outlineLevel="0" collapsed="false">
      <c r="A157" s="29" t="str">
        <f aca="false">IF(R157="","",Reconciliation!A158)</f>
        <v/>
      </c>
      <c r="B157" s="30" t="str">
        <f aca="false">IF(R157="","",Reconciliation!B158)</f>
        <v/>
      </c>
      <c r="C157" s="30" t="str">
        <f aca="false">IF(R157="","",Reconciliation!C158)</f>
        <v/>
      </c>
      <c r="D157" s="30" t="str">
        <f aca="false">IF(R157="","",Reconciliation!D158)</f>
        <v/>
      </c>
      <c r="E157" s="31" t="str">
        <f aca="false">IF(R157="","",Reconciliation!E158)</f>
        <v/>
      </c>
      <c r="F157" s="30" t="str">
        <f aca="false">IF(R157="","",Reconciliation!F158)</f>
        <v/>
      </c>
      <c r="G157" s="30" t="str">
        <f aca="false">IF(R157="","",Reconciliation!G158)</f>
        <v/>
      </c>
      <c r="H157" s="30" t="str">
        <f aca="false">IF(R157="","",Reconciliation!H158)</f>
        <v/>
      </c>
      <c r="I157" s="30" t="str">
        <f aca="false">IF(R157="","",Reconciliation!I158)</f>
        <v/>
      </c>
      <c r="J157" s="31" t="str">
        <f aca="false">IF(R157="","",Reconciliation!J158)</f>
        <v/>
      </c>
      <c r="K157" s="30" t="str">
        <f aca="false">IF(R157="","",Reconciliation!K158)</f>
        <v/>
      </c>
      <c r="L157" s="30" t="str">
        <f aca="false">IF(R157="","",Reconciliation!L158)</f>
        <v/>
      </c>
      <c r="M157" s="32" t="str">
        <f aca="false">IF(R157="","",Reconciliation!M158)</f>
        <v/>
      </c>
      <c r="N157" s="32" t="str">
        <f aca="false">IF(R157="","",Reconciliation!N158)</f>
        <v/>
      </c>
      <c r="O157" s="32" t="str">
        <f aca="false">IF(R157="","",Reconciliation!O158)</f>
        <v/>
      </c>
      <c r="P157" s="32" t="str">
        <f aca="false">IF(R157="","",Reconciliation!P158)</f>
        <v/>
      </c>
      <c r="Q157" s="32" t="str">
        <f aca="false">IF(R157="","",Reconciliation!Q158)</f>
        <v/>
      </c>
      <c r="R157" s="33" t="str">
        <f aca="false">IF(OR(Reconciliation!R158="✅ MATCH",Reconciliation!R158=""),"",Reconciliation!R158)</f>
        <v/>
      </c>
    </row>
    <row r="158" customFormat="false" ht="15" hidden="false" customHeight="true" outlineLevel="0" collapsed="false">
      <c r="A158" s="29" t="str">
        <f aca="false">IF(R158="","",Reconciliation!A159)</f>
        <v/>
      </c>
      <c r="B158" s="30" t="str">
        <f aca="false">IF(R158="","",Reconciliation!B159)</f>
        <v/>
      </c>
      <c r="C158" s="30" t="str">
        <f aca="false">IF(R158="","",Reconciliation!C159)</f>
        <v/>
      </c>
      <c r="D158" s="30" t="str">
        <f aca="false">IF(R158="","",Reconciliation!D159)</f>
        <v/>
      </c>
      <c r="E158" s="31" t="str">
        <f aca="false">IF(R158="","",Reconciliation!E159)</f>
        <v/>
      </c>
      <c r="F158" s="30" t="str">
        <f aca="false">IF(R158="","",Reconciliation!F159)</f>
        <v/>
      </c>
      <c r="G158" s="30" t="str">
        <f aca="false">IF(R158="","",Reconciliation!G159)</f>
        <v/>
      </c>
      <c r="H158" s="30" t="str">
        <f aca="false">IF(R158="","",Reconciliation!H159)</f>
        <v/>
      </c>
      <c r="I158" s="30" t="str">
        <f aca="false">IF(R158="","",Reconciliation!I159)</f>
        <v/>
      </c>
      <c r="J158" s="31" t="str">
        <f aca="false">IF(R158="","",Reconciliation!J159)</f>
        <v/>
      </c>
      <c r="K158" s="30" t="str">
        <f aca="false">IF(R158="","",Reconciliation!K159)</f>
        <v/>
      </c>
      <c r="L158" s="30" t="str">
        <f aca="false">IF(R158="","",Reconciliation!L159)</f>
        <v/>
      </c>
      <c r="M158" s="32" t="str">
        <f aca="false">IF(R158="","",Reconciliation!M159)</f>
        <v/>
      </c>
      <c r="N158" s="32" t="str">
        <f aca="false">IF(R158="","",Reconciliation!N159)</f>
        <v/>
      </c>
      <c r="O158" s="32" t="str">
        <f aca="false">IF(R158="","",Reconciliation!O159)</f>
        <v/>
      </c>
      <c r="P158" s="32" t="str">
        <f aca="false">IF(R158="","",Reconciliation!P159)</f>
        <v/>
      </c>
      <c r="Q158" s="32" t="str">
        <f aca="false">IF(R158="","",Reconciliation!Q159)</f>
        <v/>
      </c>
      <c r="R158" s="33" t="str">
        <f aca="false">IF(OR(Reconciliation!R159="✅ MATCH",Reconciliation!R159=""),"",Reconciliation!R159)</f>
        <v/>
      </c>
    </row>
    <row r="159" customFormat="false" ht="15" hidden="false" customHeight="true" outlineLevel="0" collapsed="false">
      <c r="A159" s="29" t="str">
        <f aca="false">IF(R159="","",Reconciliation!A160)</f>
        <v/>
      </c>
      <c r="B159" s="30" t="str">
        <f aca="false">IF(R159="","",Reconciliation!B160)</f>
        <v/>
      </c>
      <c r="C159" s="30" t="str">
        <f aca="false">IF(R159="","",Reconciliation!C160)</f>
        <v/>
      </c>
      <c r="D159" s="30" t="str">
        <f aca="false">IF(R159="","",Reconciliation!D160)</f>
        <v/>
      </c>
      <c r="E159" s="31" t="str">
        <f aca="false">IF(R159="","",Reconciliation!E160)</f>
        <v/>
      </c>
      <c r="F159" s="30" t="str">
        <f aca="false">IF(R159="","",Reconciliation!F160)</f>
        <v/>
      </c>
      <c r="G159" s="30" t="str">
        <f aca="false">IF(R159="","",Reconciliation!G160)</f>
        <v/>
      </c>
      <c r="H159" s="30" t="str">
        <f aca="false">IF(R159="","",Reconciliation!H160)</f>
        <v/>
      </c>
      <c r="I159" s="30" t="str">
        <f aca="false">IF(R159="","",Reconciliation!I160)</f>
        <v/>
      </c>
      <c r="J159" s="31" t="str">
        <f aca="false">IF(R159="","",Reconciliation!J160)</f>
        <v/>
      </c>
      <c r="K159" s="30" t="str">
        <f aca="false">IF(R159="","",Reconciliation!K160)</f>
        <v/>
      </c>
      <c r="L159" s="30" t="str">
        <f aca="false">IF(R159="","",Reconciliation!L160)</f>
        <v/>
      </c>
      <c r="M159" s="32" t="str">
        <f aca="false">IF(R159="","",Reconciliation!M160)</f>
        <v/>
      </c>
      <c r="N159" s="32" t="str">
        <f aca="false">IF(R159="","",Reconciliation!N160)</f>
        <v/>
      </c>
      <c r="O159" s="32" t="str">
        <f aca="false">IF(R159="","",Reconciliation!O160)</f>
        <v/>
      </c>
      <c r="P159" s="32" t="str">
        <f aca="false">IF(R159="","",Reconciliation!P160)</f>
        <v/>
      </c>
      <c r="Q159" s="32" t="str">
        <f aca="false">IF(R159="","",Reconciliation!Q160)</f>
        <v/>
      </c>
      <c r="R159" s="33" t="str">
        <f aca="false">IF(OR(Reconciliation!R160="✅ MATCH",Reconciliation!R160=""),"",Reconciliation!R160)</f>
        <v/>
      </c>
    </row>
    <row r="160" customFormat="false" ht="15" hidden="false" customHeight="true" outlineLevel="0" collapsed="false">
      <c r="A160" s="29" t="str">
        <f aca="false">IF(R160="","",Reconciliation!A161)</f>
        <v/>
      </c>
      <c r="B160" s="30" t="str">
        <f aca="false">IF(R160="","",Reconciliation!B161)</f>
        <v/>
      </c>
      <c r="C160" s="30" t="str">
        <f aca="false">IF(R160="","",Reconciliation!C161)</f>
        <v/>
      </c>
      <c r="D160" s="30" t="str">
        <f aca="false">IF(R160="","",Reconciliation!D161)</f>
        <v/>
      </c>
      <c r="E160" s="31" t="str">
        <f aca="false">IF(R160="","",Reconciliation!E161)</f>
        <v/>
      </c>
      <c r="F160" s="30" t="str">
        <f aca="false">IF(R160="","",Reconciliation!F161)</f>
        <v/>
      </c>
      <c r="G160" s="30" t="str">
        <f aca="false">IF(R160="","",Reconciliation!G161)</f>
        <v/>
      </c>
      <c r="H160" s="30" t="str">
        <f aca="false">IF(R160="","",Reconciliation!H161)</f>
        <v/>
      </c>
      <c r="I160" s="30" t="str">
        <f aca="false">IF(R160="","",Reconciliation!I161)</f>
        <v/>
      </c>
      <c r="J160" s="31" t="str">
        <f aca="false">IF(R160="","",Reconciliation!J161)</f>
        <v/>
      </c>
      <c r="K160" s="30" t="str">
        <f aca="false">IF(R160="","",Reconciliation!K161)</f>
        <v/>
      </c>
      <c r="L160" s="30" t="str">
        <f aca="false">IF(R160="","",Reconciliation!L161)</f>
        <v/>
      </c>
      <c r="M160" s="32" t="str">
        <f aca="false">IF(R160="","",Reconciliation!M161)</f>
        <v/>
      </c>
      <c r="N160" s="32" t="str">
        <f aca="false">IF(R160="","",Reconciliation!N161)</f>
        <v/>
      </c>
      <c r="O160" s="32" t="str">
        <f aca="false">IF(R160="","",Reconciliation!O161)</f>
        <v/>
      </c>
      <c r="P160" s="32" t="str">
        <f aca="false">IF(R160="","",Reconciliation!P161)</f>
        <v/>
      </c>
      <c r="Q160" s="32" t="str">
        <f aca="false">IF(R160="","",Reconciliation!Q161)</f>
        <v/>
      </c>
      <c r="R160" s="33" t="str">
        <f aca="false">IF(OR(Reconciliation!R161="✅ MATCH",Reconciliation!R161=""),"",Reconciliation!R161)</f>
        <v/>
      </c>
    </row>
    <row r="161" customFormat="false" ht="15" hidden="false" customHeight="true" outlineLevel="0" collapsed="false">
      <c r="A161" s="29" t="str">
        <f aca="false">IF(R161="","",Reconciliation!A162)</f>
        <v/>
      </c>
      <c r="B161" s="30" t="str">
        <f aca="false">IF(R161="","",Reconciliation!B162)</f>
        <v/>
      </c>
      <c r="C161" s="30" t="str">
        <f aca="false">IF(R161="","",Reconciliation!C162)</f>
        <v/>
      </c>
      <c r="D161" s="30" t="str">
        <f aca="false">IF(R161="","",Reconciliation!D162)</f>
        <v/>
      </c>
      <c r="E161" s="31" t="str">
        <f aca="false">IF(R161="","",Reconciliation!E162)</f>
        <v/>
      </c>
      <c r="F161" s="30" t="str">
        <f aca="false">IF(R161="","",Reconciliation!F162)</f>
        <v/>
      </c>
      <c r="G161" s="30" t="str">
        <f aca="false">IF(R161="","",Reconciliation!G162)</f>
        <v/>
      </c>
      <c r="H161" s="30" t="str">
        <f aca="false">IF(R161="","",Reconciliation!H162)</f>
        <v/>
      </c>
      <c r="I161" s="30" t="str">
        <f aca="false">IF(R161="","",Reconciliation!I162)</f>
        <v/>
      </c>
      <c r="J161" s="31" t="str">
        <f aca="false">IF(R161="","",Reconciliation!J162)</f>
        <v/>
      </c>
      <c r="K161" s="30" t="str">
        <f aca="false">IF(R161="","",Reconciliation!K162)</f>
        <v/>
      </c>
      <c r="L161" s="30" t="str">
        <f aca="false">IF(R161="","",Reconciliation!L162)</f>
        <v/>
      </c>
      <c r="M161" s="32" t="str">
        <f aca="false">IF(R161="","",Reconciliation!M162)</f>
        <v/>
      </c>
      <c r="N161" s="32" t="str">
        <f aca="false">IF(R161="","",Reconciliation!N162)</f>
        <v/>
      </c>
      <c r="O161" s="32" t="str">
        <f aca="false">IF(R161="","",Reconciliation!O162)</f>
        <v/>
      </c>
      <c r="P161" s="32" t="str">
        <f aca="false">IF(R161="","",Reconciliation!P162)</f>
        <v/>
      </c>
      <c r="Q161" s="32" t="str">
        <f aca="false">IF(R161="","",Reconciliation!Q162)</f>
        <v/>
      </c>
      <c r="R161" s="33" t="str">
        <f aca="false">IF(OR(Reconciliation!R162="✅ MATCH",Reconciliation!R162=""),"",Reconciliation!R162)</f>
        <v/>
      </c>
    </row>
    <row r="162" customFormat="false" ht="15" hidden="false" customHeight="true" outlineLevel="0" collapsed="false">
      <c r="A162" s="29" t="str">
        <f aca="false">IF(R162="","",Reconciliation!A163)</f>
        <v/>
      </c>
      <c r="B162" s="30" t="str">
        <f aca="false">IF(R162="","",Reconciliation!B163)</f>
        <v/>
      </c>
      <c r="C162" s="30" t="str">
        <f aca="false">IF(R162="","",Reconciliation!C163)</f>
        <v/>
      </c>
      <c r="D162" s="30" t="str">
        <f aca="false">IF(R162="","",Reconciliation!D163)</f>
        <v/>
      </c>
      <c r="E162" s="31" t="str">
        <f aca="false">IF(R162="","",Reconciliation!E163)</f>
        <v/>
      </c>
      <c r="F162" s="30" t="str">
        <f aca="false">IF(R162="","",Reconciliation!F163)</f>
        <v/>
      </c>
      <c r="G162" s="30" t="str">
        <f aca="false">IF(R162="","",Reconciliation!G163)</f>
        <v/>
      </c>
      <c r="H162" s="30" t="str">
        <f aca="false">IF(R162="","",Reconciliation!H163)</f>
        <v/>
      </c>
      <c r="I162" s="30" t="str">
        <f aca="false">IF(R162="","",Reconciliation!I163)</f>
        <v/>
      </c>
      <c r="J162" s="31" t="str">
        <f aca="false">IF(R162="","",Reconciliation!J163)</f>
        <v/>
      </c>
      <c r="K162" s="30" t="str">
        <f aca="false">IF(R162="","",Reconciliation!K163)</f>
        <v/>
      </c>
      <c r="L162" s="30" t="str">
        <f aca="false">IF(R162="","",Reconciliation!L163)</f>
        <v/>
      </c>
      <c r="M162" s="32" t="str">
        <f aca="false">IF(R162="","",Reconciliation!M163)</f>
        <v/>
      </c>
      <c r="N162" s="32" t="str">
        <f aca="false">IF(R162="","",Reconciliation!N163)</f>
        <v/>
      </c>
      <c r="O162" s="32" t="str">
        <f aca="false">IF(R162="","",Reconciliation!O163)</f>
        <v/>
      </c>
      <c r="P162" s="32" t="str">
        <f aca="false">IF(R162="","",Reconciliation!P163)</f>
        <v/>
      </c>
      <c r="Q162" s="32" t="str">
        <f aca="false">IF(R162="","",Reconciliation!Q163)</f>
        <v/>
      </c>
      <c r="R162" s="33" t="str">
        <f aca="false">IF(OR(Reconciliation!R163="✅ MATCH",Reconciliation!R163=""),"",Reconciliation!R163)</f>
        <v/>
      </c>
    </row>
    <row r="163" customFormat="false" ht="15" hidden="false" customHeight="true" outlineLevel="0" collapsed="false">
      <c r="A163" s="29" t="str">
        <f aca="false">IF(R163="","",Reconciliation!A164)</f>
        <v/>
      </c>
      <c r="B163" s="30" t="str">
        <f aca="false">IF(R163="","",Reconciliation!B164)</f>
        <v/>
      </c>
      <c r="C163" s="30" t="str">
        <f aca="false">IF(R163="","",Reconciliation!C164)</f>
        <v/>
      </c>
      <c r="D163" s="30" t="str">
        <f aca="false">IF(R163="","",Reconciliation!D164)</f>
        <v/>
      </c>
      <c r="E163" s="31" t="str">
        <f aca="false">IF(R163="","",Reconciliation!E164)</f>
        <v/>
      </c>
      <c r="F163" s="30" t="str">
        <f aca="false">IF(R163="","",Reconciliation!F164)</f>
        <v/>
      </c>
      <c r="G163" s="30" t="str">
        <f aca="false">IF(R163="","",Reconciliation!G164)</f>
        <v/>
      </c>
      <c r="H163" s="30" t="str">
        <f aca="false">IF(R163="","",Reconciliation!H164)</f>
        <v/>
      </c>
      <c r="I163" s="30" t="str">
        <f aca="false">IF(R163="","",Reconciliation!I164)</f>
        <v/>
      </c>
      <c r="J163" s="31" t="str">
        <f aca="false">IF(R163="","",Reconciliation!J164)</f>
        <v/>
      </c>
      <c r="K163" s="30" t="str">
        <f aca="false">IF(R163="","",Reconciliation!K164)</f>
        <v/>
      </c>
      <c r="L163" s="30" t="str">
        <f aca="false">IF(R163="","",Reconciliation!L164)</f>
        <v/>
      </c>
      <c r="M163" s="32" t="str">
        <f aca="false">IF(R163="","",Reconciliation!M164)</f>
        <v/>
      </c>
      <c r="N163" s="32" t="str">
        <f aca="false">IF(R163="","",Reconciliation!N164)</f>
        <v/>
      </c>
      <c r="O163" s="32" t="str">
        <f aca="false">IF(R163="","",Reconciliation!O164)</f>
        <v/>
      </c>
      <c r="P163" s="32" t="str">
        <f aca="false">IF(R163="","",Reconciliation!P164)</f>
        <v/>
      </c>
      <c r="Q163" s="32" t="str">
        <f aca="false">IF(R163="","",Reconciliation!Q164)</f>
        <v/>
      </c>
      <c r="R163" s="33" t="str">
        <f aca="false">IF(OR(Reconciliation!R164="✅ MATCH",Reconciliation!R164=""),"",Reconciliation!R164)</f>
        <v/>
      </c>
    </row>
    <row r="164" customFormat="false" ht="15" hidden="false" customHeight="true" outlineLevel="0" collapsed="false">
      <c r="A164" s="29" t="str">
        <f aca="false">IF(R164="","",Reconciliation!A165)</f>
        <v/>
      </c>
      <c r="B164" s="30" t="str">
        <f aca="false">IF(R164="","",Reconciliation!B165)</f>
        <v/>
      </c>
      <c r="C164" s="30" t="str">
        <f aca="false">IF(R164="","",Reconciliation!C165)</f>
        <v/>
      </c>
      <c r="D164" s="30" t="str">
        <f aca="false">IF(R164="","",Reconciliation!D165)</f>
        <v/>
      </c>
      <c r="E164" s="31" t="str">
        <f aca="false">IF(R164="","",Reconciliation!E165)</f>
        <v/>
      </c>
      <c r="F164" s="30" t="str">
        <f aca="false">IF(R164="","",Reconciliation!F165)</f>
        <v/>
      </c>
      <c r="G164" s="30" t="str">
        <f aca="false">IF(R164="","",Reconciliation!G165)</f>
        <v/>
      </c>
      <c r="H164" s="30" t="str">
        <f aca="false">IF(R164="","",Reconciliation!H165)</f>
        <v/>
      </c>
      <c r="I164" s="30" t="str">
        <f aca="false">IF(R164="","",Reconciliation!I165)</f>
        <v/>
      </c>
      <c r="J164" s="31" t="str">
        <f aca="false">IF(R164="","",Reconciliation!J165)</f>
        <v/>
      </c>
      <c r="K164" s="30" t="str">
        <f aca="false">IF(R164="","",Reconciliation!K165)</f>
        <v/>
      </c>
      <c r="L164" s="30" t="str">
        <f aca="false">IF(R164="","",Reconciliation!L165)</f>
        <v/>
      </c>
      <c r="M164" s="32" t="str">
        <f aca="false">IF(R164="","",Reconciliation!M165)</f>
        <v/>
      </c>
      <c r="N164" s="32" t="str">
        <f aca="false">IF(R164="","",Reconciliation!N165)</f>
        <v/>
      </c>
      <c r="O164" s="32" t="str">
        <f aca="false">IF(R164="","",Reconciliation!O165)</f>
        <v/>
      </c>
      <c r="P164" s="32" t="str">
        <f aca="false">IF(R164="","",Reconciliation!P165)</f>
        <v/>
      </c>
      <c r="Q164" s="32" t="str">
        <f aca="false">IF(R164="","",Reconciliation!Q165)</f>
        <v/>
      </c>
      <c r="R164" s="33" t="str">
        <f aca="false">IF(OR(Reconciliation!R165="✅ MATCH",Reconciliation!R165=""),"",Reconciliation!R165)</f>
        <v/>
      </c>
    </row>
    <row r="165" customFormat="false" ht="15" hidden="false" customHeight="true" outlineLevel="0" collapsed="false">
      <c r="A165" s="29" t="str">
        <f aca="false">IF(R165="","",Reconciliation!A166)</f>
        <v/>
      </c>
      <c r="B165" s="30" t="str">
        <f aca="false">IF(R165="","",Reconciliation!B166)</f>
        <v/>
      </c>
      <c r="C165" s="30" t="str">
        <f aca="false">IF(R165="","",Reconciliation!C166)</f>
        <v/>
      </c>
      <c r="D165" s="30" t="str">
        <f aca="false">IF(R165="","",Reconciliation!D166)</f>
        <v/>
      </c>
      <c r="E165" s="31" t="str">
        <f aca="false">IF(R165="","",Reconciliation!E166)</f>
        <v/>
      </c>
      <c r="F165" s="30" t="str">
        <f aca="false">IF(R165="","",Reconciliation!F166)</f>
        <v/>
      </c>
      <c r="G165" s="30" t="str">
        <f aca="false">IF(R165="","",Reconciliation!G166)</f>
        <v/>
      </c>
      <c r="H165" s="30" t="str">
        <f aca="false">IF(R165="","",Reconciliation!H166)</f>
        <v/>
      </c>
      <c r="I165" s="30" t="str">
        <f aca="false">IF(R165="","",Reconciliation!I166)</f>
        <v/>
      </c>
      <c r="J165" s="31" t="str">
        <f aca="false">IF(R165="","",Reconciliation!J166)</f>
        <v/>
      </c>
      <c r="K165" s="30" t="str">
        <f aca="false">IF(R165="","",Reconciliation!K166)</f>
        <v/>
      </c>
      <c r="L165" s="30" t="str">
        <f aca="false">IF(R165="","",Reconciliation!L166)</f>
        <v/>
      </c>
      <c r="M165" s="32" t="str">
        <f aca="false">IF(R165="","",Reconciliation!M166)</f>
        <v/>
      </c>
      <c r="N165" s="32" t="str">
        <f aca="false">IF(R165="","",Reconciliation!N166)</f>
        <v/>
      </c>
      <c r="O165" s="32" t="str">
        <f aca="false">IF(R165="","",Reconciliation!O166)</f>
        <v/>
      </c>
      <c r="P165" s="32" t="str">
        <f aca="false">IF(R165="","",Reconciliation!P166)</f>
        <v/>
      </c>
      <c r="Q165" s="32" t="str">
        <f aca="false">IF(R165="","",Reconciliation!Q166)</f>
        <v/>
      </c>
      <c r="R165" s="33" t="str">
        <f aca="false">IF(OR(Reconciliation!R166="✅ MATCH",Reconciliation!R166=""),"",Reconciliation!R166)</f>
        <v/>
      </c>
    </row>
    <row r="166" customFormat="false" ht="15" hidden="false" customHeight="true" outlineLevel="0" collapsed="false">
      <c r="A166" s="29" t="str">
        <f aca="false">IF(R166="","",Reconciliation!A167)</f>
        <v/>
      </c>
      <c r="B166" s="30" t="str">
        <f aca="false">IF(R166="","",Reconciliation!B167)</f>
        <v/>
      </c>
      <c r="C166" s="30" t="str">
        <f aca="false">IF(R166="","",Reconciliation!C167)</f>
        <v/>
      </c>
      <c r="D166" s="30" t="str">
        <f aca="false">IF(R166="","",Reconciliation!D167)</f>
        <v/>
      </c>
      <c r="E166" s="31" t="str">
        <f aca="false">IF(R166="","",Reconciliation!E167)</f>
        <v/>
      </c>
      <c r="F166" s="30" t="str">
        <f aca="false">IF(R166="","",Reconciliation!F167)</f>
        <v/>
      </c>
      <c r="G166" s="30" t="str">
        <f aca="false">IF(R166="","",Reconciliation!G167)</f>
        <v/>
      </c>
      <c r="H166" s="30" t="str">
        <f aca="false">IF(R166="","",Reconciliation!H167)</f>
        <v/>
      </c>
      <c r="I166" s="30" t="str">
        <f aca="false">IF(R166="","",Reconciliation!I167)</f>
        <v/>
      </c>
      <c r="J166" s="31" t="str">
        <f aca="false">IF(R166="","",Reconciliation!J167)</f>
        <v/>
      </c>
      <c r="K166" s="30" t="str">
        <f aca="false">IF(R166="","",Reconciliation!K167)</f>
        <v/>
      </c>
      <c r="L166" s="30" t="str">
        <f aca="false">IF(R166="","",Reconciliation!L167)</f>
        <v/>
      </c>
      <c r="M166" s="32" t="str">
        <f aca="false">IF(R166="","",Reconciliation!M167)</f>
        <v/>
      </c>
      <c r="N166" s="32" t="str">
        <f aca="false">IF(R166="","",Reconciliation!N167)</f>
        <v/>
      </c>
      <c r="O166" s="32" t="str">
        <f aca="false">IF(R166="","",Reconciliation!O167)</f>
        <v/>
      </c>
      <c r="P166" s="32" t="str">
        <f aca="false">IF(R166="","",Reconciliation!P167)</f>
        <v/>
      </c>
      <c r="Q166" s="32" t="str">
        <f aca="false">IF(R166="","",Reconciliation!Q167)</f>
        <v/>
      </c>
      <c r="R166" s="33" t="str">
        <f aca="false">IF(OR(Reconciliation!R167="✅ MATCH",Reconciliation!R167=""),"",Reconciliation!R167)</f>
        <v/>
      </c>
    </row>
    <row r="167" customFormat="false" ht="15" hidden="false" customHeight="true" outlineLevel="0" collapsed="false">
      <c r="A167" s="29" t="str">
        <f aca="false">IF(R167="","",Reconciliation!A168)</f>
        <v/>
      </c>
      <c r="B167" s="30" t="str">
        <f aca="false">IF(R167="","",Reconciliation!B168)</f>
        <v/>
      </c>
      <c r="C167" s="30" t="str">
        <f aca="false">IF(R167="","",Reconciliation!C168)</f>
        <v/>
      </c>
      <c r="D167" s="30" t="str">
        <f aca="false">IF(R167="","",Reconciliation!D168)</f>
        <v/>
      </c>
      <c r="E167" s="31" t="str">
        <f aca="false">IF(R167="","",Reconciliation!E168)</f>
        <v/>
      </c>
      <c r="F167" s="30" t="str">
        <f aca="false">IF(R167="","",Reconciliation!F168)</f>
        <v/>
      </c>
      <c r="G167" s="30" t="str">
        <f aca="false">IF(R167="","",Reconciliation!G168)</f>
        <v/>
      </c>
      <c r="H167" s="30" t="str">
        <f aca="false">IF(R167="","",Reconciliation!H168)</f>
        <v/>
      </c>
      <c r="I167" s="30" t="str">
        <f aca="false">IF(R167="","",Reconciliation!I168)</f>
        <v/>
      </c>
      <c r="J167" s="31" t="str">
        <f aca="false">IF(R167="","",Reconciliation!J168)</f>
        <v/>
      </c>
      <c r="K167" s="30" t="str">
        <f aca="false">IF(R167="","",Reconciliation!K168)</f>
        <v/>
      </c>
      <c r="L167" s="30" t="str">
        <f aca="false">IF(R167="","",Reconciliation!L168)</f>
        <v/>
      </c>
      <c r="M167" s="32" t="str">
        <f aca="false">IF(R167="","",Reconciliation!M168)</f>
        <v/>
      </c>
      <c r="N167" s="32" t="str">
        <f aca="false">IF(R167="","",Reconciliation!N168)</f>
        <v/>
      </c>
      <c r="O167" s="32" t="str">
        <f aca="false">IF(R167="","",Reconciliation!O168)</f>
        <v/>
      </c>
      <c r="P167" s="32" t="str">
        <f aca="false">IF(R167="","",Reconciliation!P168)</f>
        <v/>
      </c>
      <c r="Q167" s="32" t="str">
        <f aca="false">IF(R167="","",Reconciliation!Q168)</f>
        <v/>
      </c>
      <c r="R167" s="33" t="str">
        <f aca="false">IF(OR(Reconciliation!R168="✅ MATCH",Reconciliation!R168=""),"",Reconciliation!R168)</f>
        <v/>
      </c>
    </row>
    <row r="168" customFormat="false" ht="15" hidden="false" customHeight="true" outlineLevel="0" collapsed="false">
      <c r="A168" s="29" t="str">
        <f aca="false">IF(R168="","",Reconciliation!A169)</f>
        <v/>
      </c>
      <c r="B168" s="30" t="str">
        <f aca="false">IF(R168="","",Reconciliation!B169)</f>
        <v/>
      </c>
      <c r="C168" s="30" t="str">
        <f aca="false">IF(R168="","",Reconciliation!C169)</f>
        <v/>
      </c>
      <c r="D168" s="30" t="str">
        <f aca="false">IF(R168="","",Reconciliation!D169)</f>
        <v/>
      </c>
      <c r="E168" s="31" t="str">
        <f aca="false">IF(R168="","",Reconciliation!E169)</f>
        <v/>
      </c>
      <c r="F168" s="30" t="str">
        <f aca="false">IF(R168="","",Reconciliation!F169)</f>
        <v/>
      </c>
      <c r="G168" s="30" t="str">
        <f aca="false">IF(R168="","",Reconciliation!G169)</f>
        <v/>
      </c>
      <c r="H168" s="30" t="str">
        <f aca="false">IF(R168="","",Reconciliation!H169)</f>
        <v/>
      </c>
      <c r="I168" s="30" t="str">
        <f aca="false">IF(R168="","",Reconciliation!I169)</f>
        <v/>
      </c>
      <c r="J168" s="31" t="str">
        <f aca="false">IF(R168="","",Reconciliation!J169)</f>
        <v/>
      </c>
      <c r="K168" s="30" t="str">
        <f aca="false">IF(R168="","",Reconciliation!K169)</f>
        <v/>
      </c>
      <c r="L168" s="30" t="str">
        <f aca="false">IF(R168="","",Reconciliation!L169)</f>
        <v/>
      </c>
      <c r="M168" s="32" t="str">
        <f aca="false">IF(R168="","",Reconciliation!M169)</f>
        <v/>
      </c>
      <c r="N168" s="32" t="str">
        <f aca="false">IF(R168="","",Reconciliation!N169)</f>
        <v/>
      </c>
      <c r="O168" s="32" t="str">
        <f aca="false">IF(R168="","",Reconciliation!O169)</f>
        <v/>
      </c>
      <c r="P168" s="32" t="str">
        <f aca="false">IF(R168="","",Reconciliation!P169)</f>
        <v/>
      </c>
      <c r="Q168" s="32" t="str">
        <f aca="false">IF(R168="","",Reconciliation!Q169)</f>
        <v/>
      </c>
      <c r="R168" s="33" t="str">
        <f aca="false">IF(OR(Reconciliation!R169="✅ MATCH",Reconciliation!R169=""),"",Reconciliation!R169)</f>
        <v/>
      </c>
    </row>
    <row r="169" customFormat="false" ht="15" hidden="false" customHeight="true" outlineLevel="0" collapsed="false">
      <c r="A169" s="29" t="str">
        <f aca="false">IF(R169="","",Reconciliation!A170)</f>
        <v/>
      </c>
      <c r="B169" s="30" t="str">
        <f aca="false">IF(R169="","",Reconciliation!B170)</f>
        <v/>
      </c>
      <c r="C169" s="30" t="str">
        <f aca="false">IF(R169="","",Reconciliation!C170)</f>
        <v/>
      </c>
      <c r="D169" s="30" t="str">
        <f aca="false">IF(R169="","",Reconciliation!D170)</f>
        <v/>
      </c>
      <c r="E169" s="31" t="str">
        <f aca="false">IF(R169="","",Reconciliation!E170)</f>
        <v/>
      </c>
      <c r="F169" s="30" t="str">
        <f aca="false">IF(R169="","",Reconciliation!F170)</f>
        <v/>
      </c>
      <c r="G169" s="30" t="str">
        <f aca="false">IF(R169="","",Reconciliation!G170)</f>
        <v/>
      </c>
      <c r="H169" s="30" t="str">
        <f aca="false">IF(R169="","",Reconciliation!H170)</f>
        <v/>
      </c>
      <c r="I169" s="30" t="str">
        <f aca="false">IF(R169="","",Reconciliation!I170)</f>
        <v/>
      </c>
      <c r="J169" s="31" t="str">
        <f aca="false">IF(R169="","",Reconciliation!J170)</f>
        <v/>
      </c>
      <c r="K169" s="30" t="str">
        <f aca="false">IF(R169="","",Reconciliation!K170)</f>
        <v/>
      </c>
      <c r="L169" s="30" t="str">
        <f aca="false">IF(R169="","",Reconciliation!L170)</f>
        <v/>
      </c>
      <c r="M169" s="32" t="str">
        <f aca="false">IF(R169="","",Reconciliation!M170)</f>
        <v/>
      </c>
      <c r="N169" s="32" t="str">
        <f aca="false">IF(R169="","",Reconciliation!N170)</f>
        <v/>
      </c>
      <c r="O169" s="32" t="str">
        <f aca="false">IF(R169="","",Reconciliation!O170)</f>
        <v/>
      </c>
      <c r="P169" s="32" t="str">
        <f aca="false">IF(R169="","",Reconciliation!P170)</f>
        <v/>
      </c>
      <c r="Q169" s="32" t="str">
        <f aca="false">IF(R169="","",Reconciliation!Q170)</f>
        <v/>
      </c>
      <c r="R169" s="33" t="str">
        <f aca="false">IF(OR(Reconciliation!R170="✅ MATCH",Reconciliation!R170=""),"",Reconciliation!R170)</f>
        <v/>
      </c>
    </row>
    <row r="170" customFormat="false" ht="15" hidden="false" customHeight="true" outlineLevel="0" collapsed="false">
      <c r="A170" s="29" t="str">
        <f aca="false">IF(R170="","",Reconciliation!A171)</f>
        <v/>
      </c>
      <c r="B170" s="30" t="str">
        <f aca="false">IF(R170="","",Reconciliation!B171)</f>
        <v/>
      </c>
      <c r="C170" s="30" t="str">
        <f aca="false">IF(R170="","",Reconciliation!C171)</f>
        <v/>
      </c>
      <c r="D170" s="30" t="str">
        <f aca="false">IF(R170="","",Reconciliation!D171)</f>
        <v/>
      </c>
      <c r="E170" s="31" t="str">
        <f aca="false">IF(R170="","",Reconciliation!E171)</f>
        <v/>
      </c>
      <c r="F170" s="30" t="str">
        <f aca="false">IF(R170="","",Reconciliation!F171)</f>
        <v/>
      </c>
      <c r="G170" s="30" t="str">
        <f aca="false">IF(R170="","",Reconciliation!G171)</f>
        <v/>
      </c>
      <c r="H170" s="30" t="str">
        <f aca="false">IF(R170="","",Reconciliation!H171)</f>
        <v/>
      </c>
      <c r="I170" s="30" t="str">
        <f aca="false">IF(R170="","",Reconciliation!I171)</f>
        <v/>
      </c>
      <c r="J170" s="31" t="str">
        <f aca="false">IF(R170="","",Reconciliation!J171)</f>
        <v/>
      </c>
      <c r="K170" s="30" t="str">
        <f aca="false">IF(R170="","",Reconciliation!K171)</f>
        <v/>
      </c>
      <c r="L170" s="30" t="str">
        <f aca="false">IF(R170="","",Reconciliation!L171)</f>
        <v/>
      </c>
      <c r="M170" s="32" t="str">
        <f aca="false">IF(R170="","",Reconciliation!M171)</f>
        <v/>
      </c>
      <c r="N170" s="32" t="str">
        <f aca="false">IF(R170="","",Reconciliation!N171)</f>
        <v/>
      </c>
      <c r="O170" s="32" t="str">
        <f aca="false">IF(R170="","",Reconciliation!O171)</f>
        <v/>
      </c>
      <c r="P170" s="32" t="str">
        <f aca="false">IF(R170="","",Reconciliation!P171)</f>
        <v/>
      </c>
      <c r="Q170" s="32" t="str">
        <f aca="false">IF(R170="","",Reconciliation!Q171)</f>
        <v/>
      </c>
      <c r="R170" s="33" t="str">
        <f aca="false">IF(OR(Reconciliation!R171="✅ MATCH",Reconciliation!R171=""),"",Reconciliation!R171)</f>
        <v/>
      </c>
    </row>
    <row r="171" customFormat="false" ht="15" hidden="false" customHeight="true" outlineLevel="0" collapsed="false">
      <c r="A171" s="29" t="str">
        <f aca="false">IF(R171="","",Reconciliation!A172)</f>
        <v/>
      </c>
      <c r="B171" s="30" t="str">
        <f aca="false">IF(R171="","",Reconciliation!B172)</f>
        <v/>
      </c>
      <c r="C171" s="30" t="str">
        <f aca="false">IF(R171="","",Reconciliation!C172)</f>
        <v/>
      </c>
      <c r="D171" s="30" t="str">
        <f aca="false">IF(R171="","",Reconciliation!D172)</f>
        <v/>
      </c>
      <c r="E171" s="31" t="str">
        <f aca="false">IF(R171="","",Reconciliation!E172)</f>
        <v/>
      </c>
      <c r="F171" s="30" t="str">
        <f aca="false">IF(R171="","",Reconciliation!F172)</f>
        <v/>
      </c>
      <c r="G171" s="30" t="str">
        <f aca="false">IF(R171="","",Reconciliation!G172)</f>
        <v/>
      </c>
      <c r="H171" s="30" t="str">
        <f aca="false">IF(R171="","",Reconciliation!H172)</f>
        <v/>
      </c>
      <c r="I171" s="30" t="str">
        <f aca="false">IF(R171="","",Reconciliation!I172)</f>
        <v/>
      </c>
      <c r="J171" s="31" t="str">
        <f aca="false">IF(R171="","",Reconciliation!J172)</f>
        <v/>
      </c>
      <c r="K171" s="30" t="str">
        <f aca="false">IF(R171="","",Reconciliation!K172)</f>
        <v/>
      </c>
      <c r="L171" s="30" t="str">
        <f aca="false">IF(R171="","",Reconciliation!L172)</f>
        <v/>
      </c>
      <c r="M171" s="32" t="str">
        <f aca="false">IF(R171="","",Reconciliation!M172)</f>
        <v/>
      </c>
      <c r="N171" s="32" t="str">
        <f aca="false">IF(R171="","",Reconciliation!N172)</f>
        <v/>
      </c>
      <c r="O171" s="32" t="str">
        <f aca="false">IF(R171="","",Reconciliation!O172)</f>
        <v/>
      </c>
      <c r="P171" s="32" t="str">
        <f aca="false">IF(R171="","",Reconciliation!P172)</f>
        <v/>
      </c>
      <c r="Q171" s="32" t="str">
        <f aca="false">IF(R171="","",Reconciliation!Q172)</f>
        <v/>
      </c>
      <c r="R171" s="33" t="str">
        <f aca="false">IF(OR(Reconciliation!R172="✅ MATCH",Reconciliation!R172=""),"",Reconciliation!R172)</f>
        <v/>
      </c>
    </row>
    <row r="172" customFormat="false" ht="15" hidden="false" customHeight="true" outlineLevel="0" collapsed="false">
      <c r="A172" s="29" t="str">
        <f aca="false">IF(R172="","",Reconciliation!A173)</f>
        <v/>
      </c>
      <c r="B172" s="30" t="str">
        <f aca="false">IF(R172="","",Reconciliation!B173)</f>
        <v/>
      </c>
      <c r="C172" s="30" t="str">
        <f aca="false">IF(R172="","",Reconciliation!C173)</f>
        <v/>
      </c>
      <c r="D172" s="30" t="str">
        <f aca="false">IF(R172="","",Reconciliation!D173)</f>
        <v/>
      </c>
      <c r="E172" s="31" t="str">
        <f aca="false">IF(R172="","",Reconciliation!E173)</f>
        <v/>
      </c>
      <c r="F172" s="30" t="str">
        <f aca="false">IF(R172="","",Reconciliation!F173)</f>
        <v/>
      </c>
      <c r="G172" s="30" t="str">
        <f aca="false">IF(R172="","",Reconciliation!G173)</f>
        <v/>
      </c>
      <c r="H172" s="30" t="str">
        <f aca="false">IF(R172="","",Reconciliation!H173)</f>
        <v/>
      </c>
      <c r="I172" s="30" t="str">
        <f aca="false">IF(R172="","",Reconciliation!I173)</f>
        <v/>
      </c>
      <c r="J172" s="31" t="str">
        <f aca="false">IF(R172="","",Reconciliation!J173)</f>
        <v/>
      </c>
      <c r="K172" s="30" t="str">
        <f aca="false">IF(R172="","",Reconciliation!K173)</f>
        <v/>
      </c>
      <c r="L172" s="30" t="str">
        <f aca="false">IF(R172="","",Reconciliation!L173)</f>
        <v/>
      </c>
      <c r="M172" s="32" t="str">
        <f aca="false">IF(R172="","",Reconciliation!M173)</f>
        <v/>
      </c>
      <c r="N172" s="32" t="str">
        <f aca="false">IF(R172="","",Reconciliation!N173)</f>
        <v/>
      </c>
      <c r="O172" s="32" t="str">
        <f aca="false">IF(R172="","",Reconciliation!O173)</f>
        <v/>
      </c>
      <c r="P172" s="32" t="str">
        <f aca="false">IF(R172="","",Reconciliation!P173)</f>
        <v/>
      </c>
      <c r="Q172" s="32" t="str">
        <f aca="false">IF(R172="","",Reconciliation!Q173)</f>
        <v/>
      </c>
      <c r="R172" s="33" t="str">
        <f aca="false">IF(OR(Reconciliation!R173="✅ MATCH",Reconciliation!R173=""),"",Reconciliation!R173)</f>
        <v/>
      </c>
    </row>
    <row r="173" customFormat="false" ht="15" hidden="false" customHeight="true" outlineLevel="0" collapsed="false">
      <c r="A173" s="29" t="str">
        <f aca="false">IF(R173="","",Reconciliation!A174)</f>
        <v/>
      </c>
      <c r="B173" s="30" t="str">
        <f aca="false">IF(R173="","",Reconciliation!B174)</f>
        <v/>
      </c>
      <c r="C173" s="30" t="str">
        <f aca="false">IF(R173="","",Reconciliation!C174)</f>
        <v/>
      </c>
      <c r="D173" s="30" t="str">
        <f aca="false">IF(R173="","",Reconciliation!D174)</f>
        <v/>
      </c>
      <c r="E173" s="31" t="str">
        <f aca="false">IF(R173="","",Reconciliation!E174)</f>
        <v/>
      </c>
      <c r="F173" s="30" t="str">
        <f aca="false">IF(R173="","",Reconciliation!F174)</f>
        <v/>
      </c>
      <c r="G173" s="30" t="str">
        <f aca="false">IF(R173="","",Reconciliation!G174)</f>
        <v/>
      </c>
      <c r="H173" s="30" t="str">
        <f aca="false">IF(R173="","",Reconciliation!H174)</f>
        <v/>
      </c>
      <c r="I173" s="30" t="str">
        <f aca="false">IF(R173="","",Reconciliation!I174)</f>
        <v/>
      </c>
      <c r="J173" s="31" t="str">
        <f aca="false">IF(R173="","",Reconciliation!J174)</f>
        <v/>
      </c>
      <c r="K173" s="30" t="str">
        <f aca="false">IF(R173="","",Reconciliation!K174)</f>
        <v/>
      </c>
      <c r="L173" s="30" t="str">
        <f aca="false">IF(R173="","",Reconciliation!L174)</f>
        <v/>
      </c>
      <c r="M173" s="32" t="str">
        <f aca="false">IF(R173="","",Reconciliation!M174)</f>
        <v/>
      </c>
      <c r="N173" s="32" t="str">
        <f aca="false">IF(R173="","",Reconciliation!N174)</f>
        <v/>
      </c>
      <c r="O173" s="32" t="str">
        <f aca="false">IF(R173="","",Reconciliation!O174)</f>
        <v/>
      </c>
      <c r="P173" s="32" t="str">
        <f aca="false">IF(R173="","",Reconciliation!P174)</f>
        <v/>
      </c>
      <c r="Q173" s="32" t="str">
        <f aca="false">IF(R173="","",Reconciliation!Q174)</f>
        <v/>
      </c>
      <c r="R173" s="33" t="str">
        <f aca="false">IF(OR(Reconciliation!R174="✅ MATCH",Reconciliation!R174=""),"",Reconciliation!R174)</f>
        <v/>
      </c>
    </row>
    <row r="174" customFormat="false" ht="15" hidden="false" customHeight="true" outlineLevel="0" collapsed="false">
      <c r="A174" s="29" t="str">
        <f aca="false">IF(R174="","",Reconciliation!A175)</f>
        <v/>
      </c>
      <c r="B174" s="30" t="str">
        <f aca="false">IF(R174="","",Reconciliation!B175)</f>
        <v/>
      </c>
      <c r="C174" s="30" t="str">
        <f aca="false">IF(R174="","",Reconciliation!C175)</f>
        <v/>
      </c>
      <c r="D174" s="30" t="str">
        <f aca="false">IF(R174="","",Reconciliation!D175)</f>
        <v/>
      </c>
      <c r="E174" s="31" t="str">
        <f aca="false">IF(R174="","",Reconciliation!E175)</f>
        <v/>
      </c>
      <c r="F174" s="30" t="str">
        <f aca="false">IF(R174="","",Reconciliation!F175)</f>
        <v/>
      </c>
      <c r="G174" s="30" t="str">
        <f aca="false">IF(R174="","",Reconciliation!G175)</f>
        <v/>
      </c>
      <c r="H174" s="30" t="str">
        <f aca="false">IF(R174="","",Reconciliation!H175)</f>
        <v/>
      </c>
      <c r="I174" s="30" t="str">
        <f aca="false">IF(R174="","",Reconciliation!I175)</f>
        <v/>
      </c>
      <c r="J174" s="31" t="str">
        <f aca="false">IF(R174="","",Reconciliation!J175)</f>
        <v/>
      </c>
      <c r="K174" s="30" t="str">
        <f aca="false">IF(R174="","",Reconciliation!K175)</f>
        <v/>
      </c>
      <c r="L174" s="30" t="str">
        <f aca="false">IF(R174="","",Reconciliation!L175)</f>
        <v/>
      </c>
      <c r="M174" s="32" t="str">
        <f aca="false">IF(R174="","",Reconciliation!M175)</f>
        <v/>
      </c>
      <c r="N174" s="32" t="str">
        <f aca="false">IF(R174="","",Reconciliation!N175)</f>
        <v/>
      </c>
      <c r="O174" s="32" t="str">
        <f aca="false">IF(R174="","",Reconciliation!O175)</f>
        <v/>
      </c>
      <c r="P174" s="32" t="str">
        <f aca="false">IF(R174="","",Reconciliation!P175)</f>
        <v/>
      </c>
      <c r="Q174" s="32" t="str">
        <f aca="false">IF(R174="","",Reconciliation!Q175)</f>
        <v/>
      </c>
      <c r="R174" s="33" t="str">
        <f aca="false">IF(OR(Reconciliation!R175="✅ MATCH",Reconciliation!R175=""),"",Reconciliation!R175)</f>
        <v/>
      </c>
    </row>
    <row r="175" customFormat="false" ht="15" hidden="false" customHeight="true" outlineLevel="0" collapsed="false">
      <c r="A175" s="29" t="str">
        <f aca="false">IF(R175="","",Reconciliation!A176)</f>
        <v/>
      </c>
      <c r="B175" s="30" t="str">
        <f aca="false">IF(R175="","",Reconciliation!B176)</f>
        <v/>
      </c>
      <c r="C175" s="30" t="str">
        <f aca="false">IF(R175="","",Reconciliation!C176)</f>
        <v/>
      </c>
      <c r="D175" s="30" t="str">
        <f aca="false">IF(R175="","",Reconciliation!D176)</f>
        <v/>
      </c>
      <c r="E175" s="31" t="str">
        <f aca="false">IF(R175="","",Reconciliation!E176)</f>
        <v/>
      </c>
      <c r="F175" s="30" t="str">
        <f aca="false">IF(R175="","",Reconciliation!F176)</f>
        <v/>
      </c>
      <c r="G175" s="30" t="str">
        <f aca="false">IF(R175="","",Reconciliation!G176)</f>
        <v/>
      </c>
      <c r="H175" s="30" t="str">
        <f aca="false">IF(R175="","",Reconciliation!H176)</f>
        <v/>
      </c>
      <c r="I175" s="30" t="str">
        <f aca="false">IF(R175="","",Reconciliation!I176)</f>
        <v/>
      </c>
      <c r="J175" s="31" t="str">
        <f aca="false">IF(R175="","",Reconciliation!J176)</f>
        <v/>
      </c>
      <c r="K175" s="30" t="str">
        <f aca="false">IF(R175="","",Reconciliation!K176)</f>
        <v/>
      </c>
      <c r="L175" s="30" t="str">
        <f aca="false">IF(R175="","",Reconciliation!L176)</f>
        <v/>
      </c>
      <c r="M175" s="32" t="str">
        <f aca="false">IF(R175="","",Reconciliation!M176)</f>
        <v/>
      </c>
      <c r="N175" s="32" t="str">
        <f aca="false">IF(R175="","",Reconciliation!N176)</f>
        <v/>
      </c>
      <c r="O175" s="32" t="str">
        <f aca="false">IF(R175="","",Reconciliation!O176)</f>
        <v/>
      </c>
      <c r="P175" s="32" t="str">
        <f aca="false">IF(R175="","",Reconciliation!P176)</f>
        <v/>
      </c>
      <c r="Q175" s="32" t="str">
        <f aca="false">IF(R175="","",Reconciliation!Q176)</f>
        <v/>
      </c>
      <c r="R175" s="33" t="str">
        <f aca="false">IF(OR(Reconciliation!R176="✅ MATCH",Reconciliation!R176=""),"",Reconciliation!R176)</f>
        <v/>
      </c>
    </row>
    <row r="176" customFormat="false" ht="15" hidden="false" customHeight="true" outlineLevel="0" collapsed="false">
      <c r="A176" s="29" t="str">
        <f aca="false">IF(R176="","",Reconciliation!A177)</f>
        <v/>
      </c>
      <c r="B176" s="30" t="str">
        <f aca="false">IF(R176="","",Reconciliation!B177)</f>
        <v/>
      </c>
      <c r="C176" s="30" t="str">
        <f aca="false">IF(R176="","",Reconciliation!C177)</f>
        <v/>
      </c>
      <c r="D176" s="30" t="str">
        <f aca="false">IF(R176="","",Reconciliation!D177)</f>
        <v/>
      </c>
      <c r="E176" s="31" t="str">
        <f aca="false">IF(R176="","",Reconciliation!E177)</f>
        <v/>
      </c>
      <c r="F176" s="30" t="str">
        <f aca="false">IF(R176="","",Reconciliation!F177)</f>
        <v/>
      </c>
      <c r="G176" s="30" t="str">
        <f aca="false">IF(R176="","",Reconciliation!G177)</f>
        <v/>
      </c>
      <c r="H176" s="30" t="str">
        <f aca="false">IF(R176="","",Reconciliation!H177)</f>
        <v/>
      </c>
      <c r="I176" s="30" t="str">
        <f aca="false">IF(R176="","",Reconciliation!I177)</f>
        <v/>
      </c>
      <c r="J176" s="31" t="str">
        <f aca="false">IF(R176="","",Reconciliation!J177)</f>
        <v/>
      </c>
      <c r="K176" s="30" t="str">
        <f aca="false">IF(R176="","",Reconciliation!K177)</f>
        <v/>
      </c>
      <c r="L176" s="30" t="str">
        <f aca="false">IF(R176="","",Reconciliation!L177)</f>
        <v/>
      </c>
      <c r="M176" s="32" t="str">
        <f aca="false">IF(R176="","",Reconciliation!M177)</f>
        <v/>
      </c>
      <c r="N176" s="32" t="str">
        <f aca="false">IF(R176="","",Reconciliation!N177)</f>
        <v/>
      </c>
      <c r="O176" s="32" t="str">
        <f aca="false">IF(R176="","",Reconciliation!O177)</f>
        <v/>
      </c>
      <c r="P176" s="32" t="str">
        <f aca="false">IF(R176="","",Reconciliation!P177)</f>
        <v/>
      </c>
      <c r="Q176" s="32" t="str">
        <f aca="false">IF(R176="","",Reconciliation!Q177)</f>
        <v/>
      </c>
      <c r="R176" s="33" t="str">
        <f aca="false">IF(OR(Reconciliation!R177="✅ MATCH",Reconciliation!R177=""),"",Reconciliation!R177)</f>
        <v/>
      </c>
    </row>
    <row r="177" customFormat="false" ht="15" hidden="false" customHeight="true" outlineLevel="0" collapsed="false">
      <c r="A177" s="29" t="str">
        <f aca="false">IF(R177="","",Reconciliation!A178)</f>
        <v/>
      </c>
      <c r="B177" s="30" t="str">
        <f aca="false">IF(R177="","",Reconciliation!B178)</f>
        <v/>
      </c>
      <c r="C177" s="30" t="str">
        <f aca="false">IF(R177="","",Reconciliation!C178)</f>
        <v/>
      </c>
      <c r="D177" s="30" t="str">
        <f aca="false">IF(R177="","",Reconciliation!D178)</f>
        <v/>
      </c>
      <c r="E177" s="31" t="str">
        <f aca="false">IF(R177="","",Reconciliation!E178)</f>
        <v/>
      </c>
      <c r="F177" s="30" t="str">
        <f aca="false">IF(R177="","",Reconciliation!F178)</f>
        <v/>
      </c>
      <c r="G177" s="30" t="str">
        <f aca="false">IF(R177="","",Reconciliation!G178)</f>
        <v/>
      </c>
      <c r="H177" s="30" t="str">
        <f aca="false">IF(R177="","",Reconciliation!H178)</f>
        <v/>
      </c>
      <c r="I177" s="30" t="str">
        <f aca="false">IF(R177="","",Reconciliation!I178)</f>
        <v/>
      </c>
      <c r="J177" s="31" t="str">
        <f aca="false">IF(R177="","",Reconciliation!J178)</f>
        <v/>
      </c>
      <c r="K177" s="30" t="str">
        <f aca="false">IF(R177="","",Reconciliation!K178)</f>
        <v/>
      </c>
      <c r="L177" s="30" t="str">
        <f aca="false">IF(R177="","",Reconciliation!L178)</f>
        <v/>
      </c>
      <c r="M177" s="32" t="str">
        <f aca="false">IF(R177="","",Reconciliation!M178)</f>
        <v/>
      </c>
      <c r="N177" s="32" t="str">
        <f aca="false">IF(R177="","",Reconciliation!N178)</f>
        <v/>
      </c>
      <c r="O177" s="32" t="str">
        <f aca="false">IF(R177="","",Reconciliation!O178)</f>
        <v/>
      </c>
      <c r="P177" s="32" t="str">
        <f aca="false">IF(R177="","",Reconciliation!P178)</f>
        <v/>
      </c>
      <c r="Q177" s="32" t="str">
        <f aca="false">IF(R177="","",Reconciliation!Q178)</f>
        <v/>
      </c>
      <c r="R177" s="33" t="str">
        <f aca="false">IF(OR(Reconciliation!R178="✅ MATCH",Reconciliation!R178=""),"",Reconciliation!R178)</f>
        <v/>
      </c>
    </row>
    <row r="178" customFormat="false" ht="15" hidden="false" customHeight="true" outlineLevel="0" collapsed="false">
      <c r="A178" s="29" t="str">
        <f aca="false">IF(R178="","",Reconciliation!A179)</f>
        <v/>
      </c>
      <c r="B178" s="30" t="str">
        <f aca="false">IF(R178="","",Reconciliation!B179)</f>
        <v/>
      </c>
      <c r="C178" s="30" t="str">
        <f aca="false">IF(R178="","",Reconciliation!C179)</f>
        <v/>
      </c>
      <c r="D178" s="30" t="str">
        <f aca="false">IF(R178="","",Reconciliation!D179)</f>
        <v/>
      </c>
      <c r="E178" s="31" t="str">
        <f aca="false">IF(R178="","",Reconciliation!E179)</f>
        <v/>
      </c>
      <c r="F178" s="30" t="str">
        <f aca="false">IF(R178="","",Reconciliation!F179)</f>
        <v/>
      </c>
      <c r="G178" s="30" t="str">
        <f aca="false">IF(R178="","",Reconciliation!G179)</f>
        <v/>
      </c>
      <c r="H178" s="30" t="str">
        <f aca="false">IF(R178="","",Reconciliation!H179)</f>
        <v/>
      </c>
      <c r="I178" s="30" t="str">
        <f aca="false">IF(R178="","",Reconciliation!I179)</f>
        <v/>
      </c>
      <c r="J178" s="31" t="str">
        <f aca="false">IF(R178="","",Reconciliation!J179)</f>
        <v/>
      </c>
      <c r="K178" s="30" t="str">
        <f aca="false">IF(R178="","",Reconciliation!K179)</f>
        <v/>
      </c>
      <c r="L178" s="30" t="str">
        <f aca="false">IF(R178="","",Reconciliation!L179)</f>
        <v/>
      </c>
      <c r="M178" s="32" t="str">
        <f aca="false">IF(R178="","",Reconciliation!M179)</f>
        <v/>
      </c>
      <c r="N178" s="32" t="str">
        <f aca="false">IF(R178="","",Reconciliation!N179)</f>
        <v/>
      </c>
      <c r="O178" s="32" t="str">
        <f aca="false">IF(R178="","",Reconciliation!O179)</f>
        <v/>
      </c>
      <c r="P178" s="32" t="str">
        <f aca="false">IF(R178="","",Reconciliation!P179)</f>
        <v/>
      </c>
      <c r="Q178" s="32" t="str">
        <f aca="false">IF(R178="","",Reconciliation!Q179)</f>
        <v/>
      </c>
      <c r="R178" s="33" t="str">
        <f aca="false">IF(OR(Reconciliation!R179="✅ MATCH",Reconciliation!R179=""),"",Reconciliation!R179)</f>
        <v/>
      </c>
    </row>
    <row r="179" customFormat="false" ht="15" hidden="false" customHeight="true" outlineLevel="0" collapsed="false">
      <c r="A179" s="29" t="str">
        <f aca="false">IF(R179="","",Reconciliation!A180)</f>
        <v/>
      </c>
      <c r="B179" s="30" t="str">
        <f aca="false">IF(R179="","",Reconciliation!B180)</f>
        <v/>
      </c>
      <c r="C179" s="30" t="str">
        <f aca="false">IF(R179="","",Reconciliation!C180)</f>
        <v/>
      </c>
      <c r="D179" s="30" t="str">
        <f aca="false">IF(R179="","",Reconciliation!D180)</f>
        <v/>
      </c>
      <c r="E179" s="31" t="str">
        <f aca="false">IF(R179="","",Reconciliation!E180)</f>
        <v/>
      </c>
      <c r="F179" s="30" t="str">
        <f aca="false">IF(R179="","",Reconciliation!F180)</f>
        <v/>
      </c>
      <c r="G179" s="30" t="str">
        <f aca="false">IF(R179="","",Reconciliation!G180)</f>
        <v/>
      </c>
      <c r="H179" s="30" t="str">
        <f aca="false">IF(R179="","",Reconciliation!H180)</f>
        <v/>
      </c>
      <c r="I179" s="30" t="str">
        <f aca="false">IF(R179="","",Reconciliation!I180)</f>
        <v/>
      </c>
      <c r="J179" s="31" t="str">
        <f aca="false">IF(R179="","",Reconciliation!J180)</f>
        <v/>
      </c>
      <c r="K179" s="30" t="str">
        <f aca="false">IF(R179="","",Reconciliation!K180)</f>
        <v/>
      </c>
      <c r="L179" s="30" t="str">
        <f aca="false">IF(R179="","",Reconciliation!L180)</f>
        <v/>
      </c>
      <c r="M179" s="32" t="str">
        <f aca="false">IF(R179="","",Reconciliation!M180)</f>
        <v/>
      </c>
      <c r="N179" s="32" t="str">
        <f aca="false">IF(R179="","",Reconciliation!N180)</f>
        <v/>
      </c>
      <c r="O179" s="32" t="str">
        <f aca="false">IF(R179="","",Reconciliation!O180)</f>
        <v/>
      </c>
      <c r="P179" s="32" t="str">
        <f aca="false">IF(R179="","",Reconciliation!P180)</f>
        <v/>
      </c>
      <c r="Q179" s="32" t="str">
        <f aca="false">IF(R179="","",Reconciliation!Q180)</f>
        <v/>
      </c>
      <c r="R179" s="33" t="str">
        <f aca="false">IF(OR(Reconciliation!R180="✅ MATCH",Reconciliation!R180=""),"",Reconciliation!R180)</f>
        <v/>
      </c>
    </row>
    <row r="180" customFormat="false" ht="15" hidden="false" customHeight="true" outlineLevel="0" collapsed="false">
      <c r="A180" s="29" t="str">
        <f aca="false">IF(R180="","",Reconciliation!A181)</f>
        <v/>
      </c>
      <c r="B180" s="30" t="str">
        <f aca="false">IF(R180="","",Reconciliation!B181)</f>
        <v/>
      </c>
      <c r="C180" s="30" t="str">
        <f aca="false">IF(R180="","",Reconciliation!C181)</f>
        <v/>
      </c>
      <c r="D180" s="30" t="str">
        <f aca="false">IF(R180="","",Reconciliation!D181)</f>
        <v/>
      </c>
      <c r="E180" s="31" t="str">
        <f aca="false">IF(R180="","",Reconciliation!E181)</f>
        <v/>
      </c>
      <c r="F180" s="30" t="str">
        <f aca="false">IF(R180="","",Reconciliation!F181)</f>
        <v/>
      </c>
      <c r="G180" s="30" t="str">
        <f aca="false">IF(R180="","",Reconciliation!G181)</f>
        <v/>
      </c>
      <c r="H180" s="30" t="str">
        <f aca="false">IF(R180="","",Reconciliation!H181)</f>
        <v/>
      </c>
      <c r="I180" s="30" t="str">
        <f aca="false">IF(R180="","",Reconciliation!I181)</f>
        <v/>
      </c>
      <c r="J180" s="31" t="str">
        <f aca="false">IF(R180="","",Reconciliation!J181)</f>
        <v/>
      </c>
      <c r="K180" s="30" t="str">
        <f aca="false">IF(R180="","",Reconciliation!K181)</f>
        <v/>
      </c>
      <c r="L180" s="30" t="str">
        <f aca="false">IF(R180="","",Reconciliation!L181)</f>
        <v/>
      </c>
      <c r="M180" s="32" t="str">
        <f aca="false">IF(R180="","",Reconciliation!M181)</f>
        <v/>
      </c>
      <c r="N180" s="32" t="str">
        <f aca="false">IF(R180="","",Reconciliation!N181)</f>
        <v/>
      </c>
      <c r="O180" s="32" t="str">
        <f aca="false">IF(R180="","",Reconciliation!O181)</f>
        <v/>
      </c>
      <c r="P180" s="32" t="str">
        <f aca="false">IF(R180="","",Reconciliation!P181)</f>
        <v/>
      </c>
      <c r="Q180" s="32" t="str">
        <f aca="false">IF(R180="","",Reconciliation!Q181)</f>
        <v/>
      </c>
      <c r="R180" s="33" t="str">
        <f aca="false">IF(OR(Reconciliation!R181="✅ MATCH",Reconciliation!R181=""),"",Reconciliation!R181)</f>
        <v/>
      </c>
    </row>
    <row r="181" customFormat="false" ht="15" hidden="false" customHeight="true" outlineLevel="0" collapsed="false">
      <c r="A181" s="29" t="str">
        <f aca="false">IF(R181="","",Reconciliation!A182)</f>
        <v/>
      </c>
      <c r="B181" s="30" t="str">
        <f aca="false">IF(R181="","",Reconciliation!B182)</f>
        <v/>
      </c>
      <c r="C181" s="30" t="str">
        <f aca="false">IF(R181="","",Reconciliation!C182)</f>
        <v/>
      </c>
      <c r="D181" s="30" t="str">
        <f aca="false">IF(R181="","",Reconciliation!D182)</f>
        <v/>
      </c>
      <c r="E181" s="31" t="str">
        <f aca="false">IF(R181="","",Reconciliation!E182)</f>
        <v/>
      </c>
      <c r="F181" s="30" t="str">
        <f aca="false">IF(R181="","",Reconciliation!F182)</f>
        <v/>
      </c>
      <c r="G181" s="30" t="str">
        <f aca="false">IF(R181="","",Reconciliation!G182)</f>
        <v/>
      </c>
      <c r="H181" s="30" t="str">
        <f aca="false">IF(R181="","",Reconciliation!H182)</f>
        <v/>
      </c>
      <c r="I181" s="30" t="str">
        <f aca="false">IF(R181="","",Reconciliation!I182)</f>
        <v/>
      </c>
      <c r="J181" s="31" t="str">
        <f aca="false">IF(R181="","",Reconciliation!J182)</f>
        <v/>
      </c>
      <c r="K181" s="30" t="str">
        <f aca="false">IF(R181="","",Reconciliation!K182)</f>
        <v/>
      </c>
      <c r="L181" s="30" t="str">
        <f aca="false">IF(R181="","",Reconciliation!L182)</f>
        <v/>
      </c>
      <c r="M181" s="32" t="str">
        <f aca="false">IF(R181="","",Reconciliation!M182)</f>
        <v/>
      </c>
      <c r="N181" s="32" t="str">
        <f aca="false">IF(R181="","",Reconciliation!N182)</f>
        <v/>
      </c>
      <c r="O181" s="32" t="str">
        <f aca="false">IF(R181="","",Reconciliation!O182)</f>
        <v/>
      </c>
      <c r="P181" s="32" t="str">
        <f aca="false">IF(R181="","",Reconciliation!P182)</f>
        <v/>
      </c>
      <c r="Q181" s="32" t="str">
        <f aca="false">IF(R181="","",Reconciliation!Q182)</f>
        <v/>
      </c>
      <c r="R181" s="33" t="str">
        <f aca="false">IF(OR(Reconciliation!R182="✅ MATCH",Reconciliation!R182=""),"",Reconciliation!R182)</f>
        <v/>
      </c>
    </row>
    <row r="182" customFormat="false" ht="15" hidden="false" customHeight="true" outlineLevel="0" collapsed="false">
      <c r="A182" s="29" t="str">
        <f aca="false">IF(R182="","",Reconciliation!A183)</f>
        <v/>
      </c>
      <c r="B182" s="30" t="str">
        <f aca="false">IF(R182="","",Reconciliation!B183)</f>
        <v/>
      </c>
      <c r="C182" s="30" t="str">
        <f aca="false">IF(R182="","",Reconciliation!C183)</f>
        <v/>
      </c>
      <c r="D182" s="30" t="str">
        <f aca="false">IF(R182="","",Reconciliation!D183)</f>
        <v/>
      </c>
      <c r="E182" s="31" t="str">
        <f aca="false">IF(R182="","",Reconciliation!E183)</f>
        <v/>
      </c>
      <c r="F182" s="30" t="str">
        <f aca="false">IF(R182="","",Reconciliation!F183)</f>
        <v/>
      </c>
      <c r="G182" s="30" t="str">
        <f aca="false">IF(R182="","",Reconciliation!G183)</f>
        <v/>
      </c>
      <c r="H182" s="30" t="str">
        <f aca="false">IF(R182="","",Reconciliation!H183)</f>
        <v/>
      </c>
      <c r="I182" s="30" t="str">
        <f aca="false">IF(R182="","",Reconciliation!I183)</f>
        <v/>
      </c>
      <c r="J182" s="31" t="str">
        <f aca="false">IF(R182="","",Reconciliation!J183)</f>
        <v/>
      </c>
      <c r="K182" s="30" t="str">
        <f aca="false">IF(R182="","",Reconciliation!K183)</f>
        <v/>
      </c>
      <c r="L182" s="30" t="str">
        <f aca="false">IF(R182="","",Reconciliation!L183)</f>
        <v/>
      </c>
      <c r="M182" s="32" t="str">
        <f aca="false">IF(R182="","",Reconciliation!M183)</f>
        <v/>
      </c>
      <c r="N182" s="32" t="str">
        <f aca="false">IF(R182="","",Reconciliation!N183)</f>
        <v/>
      </c>
      <c r="O182" s="32" t="str">
        <f aca="false">IF(R182="","",Reconciliation!O183)</f>
        <v/>
      </c>
      <c r="P182" s="32" t="str">
        <f aca="false">IF(R182="","",Reconciliation!P183)</f>
        <v/>
      </c>
      <c r="Q182" s="32" t="str">
        <f aca="false">IF(R182="","",Reconciliation!Q183)</f>
        <v/>
      </c>
      <c r="R182" s="33" t="str">
        <f aca="false">IF(OR(Reconciliation!R183="✅ MATCH",Reconciliation!R183=""),"",Reconciliation!R183)</f>
        <v/>
      </c>
    </row>
    <row r="183" customFormat="false" ht="15" hidden="false" customHeight="true" outlineLevel="0" collapsed="false">
      <c r="A183" s="29" t="str">
        <f aca="false">IF(R183="","",Reconciliation!A184)</f>
        <v/>
      </c>
      <c r="B183" s="30" t="str">
        <f aca="false">IF(R183="","",Reconciliation!B184)</f>
        <v/>
      </c>
      <c r="C183" s="30" t="str">
        <f aca="false">IF(R183="","",Reconciliation!C184)</f>
        <v/>
      </c>
      <c r="D183" s="30" t="str">
        <f aca="false">IF(R183="","",Reconciliation!D184)</f>
        <v/>
      </c>
      <c r="E183" s="31" t="str">
        <f aca="false">IF(R183="","",Reconciliation!E184)</f>
        <v/>
      </c>
      <c r="F183" s="30" t="str">
        <f aca="false">IF(R183="","",Reconciliation!F184)</f>
        <v/>
      </c>
      <c r="G183" s="30" t="str">
        <f aca="false">IF(R183="","",Reconciliation!G184)</f>
        <v/>
      </c>
      <c r="H183" s="30" t="str">
        <f aca="false">IF(R183="","",Reconciliation!H184)</f>
        <v/>
      </c>
      <c r="I183" s="30" t="str">
        <f aca="false">IF(R183="","",Reconciliation!I184)</f>
        <v/>
      </c>
      <c r="J183" s="31" t="str">
        <f aca="false">IF(R183="","",Reconciliation!J184)</f>
        <v/>
      </c>
      <c r="K183" s="30" t="str">
        <f aca="false">IF(R183="","",Reconciliation!K184)</f>
        <v/>
      </c>
      <c r="L183" s="30" t="str">
        <f aca="false">IF(R183="","",Reconciliation!L184)</f>
        <v/>
      </c>
      <c r="M183" s="32" t="str">
        <f aca="false">IF(R183="","",Reconciliation!M184)</f>
        <v/>
      </c>
      <c r="N183" s="32" t="str">
        <f aca="false">IF(R183="","",Reconciliation!N184)</f>
        <v/>
      </c>
      <c r="O183" s="32" t="str">
        <f aca="false">IF(R183="","",Reconciliation!O184)</f>
        <v/>
      </c>
      <c r="P183" s="32" t="str">
        <f aca="false">IF(R183="","",Reconciliation!P184)</f>
        <v/>
      </c>
      <c r="Q183" s="32" t="str">
        <f aca="false">IF(R183="","",Reconciliation!Q184)</f>
        <v/>
      </c>
      <c r="R183" s="33" t="str">
        <f aca="false">IF(OR(Reconciliation!R184="✅ MATCH",Reconciliation!R184=""),"",Reconciliation!R184)</f>
        <v/>
      </c>
    </row>
    <row r="184" customFormat="false" ht="15" hidden="false" customHeight="true" outlineLevel="0" collapsed="false">
      <c r="A184" s="29" t="str">
        <f aca="false">IF(R184="","",Reconciliation!A185)</f>
        <v/>
      </c>
      <c r="B184" s="30" t="str">
        <f aca="false">IF(R184="","",Reconciliation!B185)</f>
        <v/>
      </c>
      <c r="C184" s="30" t="str">
        <f aca="false">IF(R184="","",Reconciliation!C185)</f>
        <v/>
      </c>
      <c r="D184" s="30" t="str">
        <f aca="false">IF(R184="","",Reconciliation!D185)</f>
        <v/>
      </c>
      <c r="E184" s="31" t="str">
        <f aca="false">IF(R184="","",Reconciliation!E185)</f>
        <v/>
      </c>
      <c r="F184" s="30" t="str">
        <f aca="false">IF(R184="","",Reconciliation!F185)</f>
        <v/>
      </c>
      <c r="G184" s="30" t="str">
        <f aca="false">IF(R184="","",Reconciliation!G185)</f>
        <v/>
      </c>
      <c r="H184" s="30" t="str">
        <f aca="false">IF(R184="","",Reconciliation!H185)</f>
        <v/>
      </c>
      <c r="I184" s="30" t="str">
        <f aca="false">IF(R184="","",Reconciliation!I185)</f>
        <v/>
      </c>
      <c r="J184" s="31" t="str">
        <f aca="false">IF(R184="","",Reconciliation!J185)</f>
        <v/>
      </c>
      <c r="K184" s="30" t="str">
        <f aca="false">IF(R184="","",Reconciliation!K185)</f>
        <v/>
      </c>
      <c r="L184" s="30" t="str">
        <f aca="false">IF(R184="","",Reconciliation!L185)</f>
        <v/>
      </c>
      <c r="M184" s="32" t="str">
        <f aca="false">IF(R184="","",Reconciliation!M185)</f>
        <v/>
      </c>
      <c r="N184" s="32" t="str">
        <f aca="false">IF(R184="","",Reconciliation!N185)</f>
        <v/>
      </c>
      <c r="O184" s="32" t="str">
        <f aca="false">IF(R184="","",Reconciliation!O185)</f>
        <v/>
      </c>
      <c r="P184" s="32" t="str">
        <f aca="false">IF(R184="","",Reconciliation!P185)</f>
        <v/>
      </c>
      <c r="Q184" s="32" t="str">
        <f aca="false">IF(R184="","",Reconciliation!Q185)</f>
        <v/>
      </c>
      <c r="R184" s="33" t="str">
        <f aca="false">IF(OR(Reconciliation!R185="✅ MATCH",Reconciliation!R185=""),"",Reconciliation!R185)</f>
        <v/>
      </c>
    </row>
    <row r="185" customFormat="false" ht="15" hidden="false" customHeight="true" outlineLevel="0" collapsed="false">
      <c r="A185" s="29" t="str">
        <f aca="false">IF(R185="","",Reconciliation!A186)</f>
        <v/>
      </c>
      <c r="B185" s="30" t="str">
        <f aca="false">IF(R185="","",Reconciliation!B186)</f>
        <v/>
      </c>
      <c r="C185" s="30" t="str">
        <f aca="false">IF(R185="","",Reconciliation!C186)</f>
        <v/>
      </c>
      <c r="D185" s="30" t="str">
        <f aca="false">IF(R185="","",Reconciliation!D186)</f>
        <v/>
      </c>
      <c r="E185" s="31" t="str">
        <f aca="false">IF(R185="","",Reconciliation!E186)</f>
        <v/>
      </c>
      <c r="F185" s="30" t="str">
        <f aca="false">IF(R185="","",Reconciliation!F186)</f>
        <v/>
      </c>
      <c r="G185" s="30" t="str">
        <f aca="false">IF(R185="","",Reconciliation!G186)</f>
        <v/>
      </c>
      <c r="H185" s="30" t="str">
        <f aca="false">IF(R185="","",Reconciliation!H186)</f>
        <v/>
      </c>
      <c r="I185" s="30" t="str">
        <f aca="false">IF(R185="","",Reconciliation!I186)</f>
        <v/>
      </c>
      <c r="J185" s="31" t="str">
        <f aca="false">IF(R185="","",Reconciliation!J186)</f>
        <v/>
      </c>
      <c r="K185" s="30" t="str">
        <f aca="false">IF(R185="","",Reconciliation!K186)</f>
        <v/>
      </c>
      <c r="L185" s="30" t="str">
        <f aca="false">IF(R185="","",Reconciliation!L186)</f>
        <v/>
      </c>
      <c r="M185" s="32" t="str">
        <f aca="false">IF(R185="","",Reconciliation!M186)</f>
        <v/>
      </c>
      <c r="N185" s="32" t="str">
        <f aca="false">IF(R185="","",Reconciliation!N186)</f>
        <v/>
      </c>
      <c r="O185" s="32" t="str">
        <f aca="false">IF(R185="","",Reconciliation!O186)</f>
        <v/>
      </c>
      <c r="P185" s="32" t="str">
        <f aca="false">IF(R185="","",Reconciliation!P186)</f>
        <v/>
      </c>
      <c r="Q185" s="32" t="str">
        <f aca="false">IF(R185="","",Reconciliation!Q186)</f>
        <v/>
      </c>
      <c r="R185" s="33" t="str">
        <f aca="false">IF(OR(Reconciliation!R186="✅ MATCH",Reconciliation!R186=""),"",Reconciliation!R186)</f>
        <v/>
      </c>
    </row>
    <row r="186" customFormat="false" ht="15" hidden="false" customHeight="true" outlineLevel="0" collapsed="false">
      <c r="A186" s="29" t="str">
        <f aca="false">IF(R186="","",Reconciliation!A187)</f>
        <v/>
      </c>
      <c r="B186" s="30" t="str">
        <f aca="false">IF(R186="","",Reconciliation!B187)</f>
        <v/>
      </c>
      <c r="C186" s="30" t="str">
        <f aca="false">IF(R186="","",Reconciliation!C187)</f>
        <v/>
      </c>
      <c r="D186" s="30" t="str">
        <f aca="false">IF(R186="","",Reconciliation!D187)</f>
        <v/>
      </c>
      <c r="E186" s="31" t="str">
        <f aca="false">IF(R186="","",Reconciliation!E187)</f>
        <v/>
      </c>
      <c r="F186" s="30" t="str">
        <f aca="false">IF(R186="","",Reconciliation!F187)</f>
        <v/>
      </c>
      <c r="G186" s="30" t="str">
        <f aca="false">IF(R186="","",Reconciliation!G187)</f>
        <v/>
      </c>
      <c r="H186" s="30" t="str">
        <f aca="false">IF(R186="","",Reconciliation!H187)</f>
        <v/>
      </c>
      <c r="I186" s="30" t="str">
        <f aca="false">IF(R186="","",Reconciliation!I187)</f>
        <v/>
      </c>
      <c r="J186" s="31" t="str">
        <f aca="false">IF(R186="","",Reconciliation!J187)</f>
        <v/>
      </c>
      <c r="K186" s="30" t="str">
        <f aca="false">IF(R186="","",Reconciliation!K187)</f>
        <v/>
      </c>
      <c r="L186" s="30" t="str">
        <f aca="false">IF(R186="","",Reconciliation!L187)</f>
        <v/>
      </c>
      <c r="M186" s="32" t="str">
        <f aca="false">IF(R186="","",Reconciliation!M187)</f>
        <v/>
      </c>
      <c r="N186" s="32" t="str">
        <f aca="false">IF(R186="","",Reconciliation!N187)</f>
        <v/>
      </c>
      <c r="O186" s="32" t="str">
        <f aca="false">IF(R186="","",Reconciliation!O187)</f>
        <v/>
      </c>
      <c r="P186" s="32" t="str">
        <f aca="false">IF(R186="","",Reconciliation!P187)</f>
        <v/>
      </c>
      <c r="Q186" s="32" t="str">
        <f aca="false">IF(R186="","",Reconciliation!Q187)</f>
        <v/>
      </c>
      <c r="R186" s="33" t="str">
        <f aca="false">IF(OR(Reconciliation!R187="✅ MATCH",Reconciliation!R187=""),"",Reconciliation!R187)</f>
        <v/>
      </c>
    </row>
    <row r="187" customFormat="false" ht="15" hidden="false" customHeight="true" outlineLevel="0" collapsed="false">
      <c r="A187" s="29" t="str">
        <f aca="false">IF(R187="","",Reconciliation!A188)</f>
        <v/>
      </c>
      <c r="B187" s="30" t="str">
        <f aca="false">IF(R187="","",Reconciliation!B188)</f>
        <v/>
      </c>
      <c r="C187" s="30" t="str">
        <f aca="false">IF(R187="","",Reconciliation!C188)</f>
        <v/>
      </c>
      <c r="D187" s="30" t="str">
        <f aca="false">IF(R187="","",Reconciliation!D188)</f>
        <v/>
      </c>
      <c r="E187" s="31" t="str">
        <f aca="false">IF(R187="","",Reconciliation!E188)</f>
        <v/>
      </c>
      <c r="F187" s="30" t="str">
        <f aca="false">IF(R187="","",Reconciliation!F188)</f>
        <v/>
      </c>
      <c r="G187" s="30" t="str">
        <f aca="false">IF(R187="","",Reconciliation!G188)</f>
        <v/>
      </c>
      <c r="H187" s="30" t="str">
        <f aca="false">IF(R187="","",Reconciliation!H188)</f>
        <v/>
      </c>
      <c r="I187" s="30" t="str">
        <f aca="false">IF(R187="","",Reconciliation!I188)</f>
        <v/>
      </c>
      <c r="J187" s="31" t="str">
        <f aca="false">IF(R187="","",Reconciliation!J188)</f>
        <v/>
      </c>
      <c r="K187" s="30" t="str">
        <f aca="false">IF(R187="","",Reconciliation!K188)</f>
        <v/>
      </c>
      <c r="L187" s="30" t="str">
        <f aca="false">IF(R187="","",Reconciliation!L188)</f>
        <v/>
      </c>
      <c r="M187" s="32" t="str">
        <f aca="false">IF(R187="","",Reconciliation!M188)</f>
        <v/>
      </c>
      <c r="N187" s="32" t="str">
        <f aca="false">IF(R187="","",Reconciliation!N188)</f>
        <v/>
      </c>
      <c r="O187" s="32" t="str">
        <f aca="false">IF(R187="","",Reconciliation!O188)</f>
        <v/>
      </c>
      <c r="P187" s="32" t="str">
        <f aca="false">IF(R187="","",Reconciliation!P188)</f>
        <v/>
      </c>
      <c r="Q187" s="32" t="str">
        <f aca="false">IF(R187="","",Reconciliation!Q188)</f>
        <v/>
      </c>
      <c r="R187" s="33" t="str">
        <f aca="false">IF(OR(Reconciliation!R188="✅ MATCH",Reconciliation!R188=""),"",Reconciliation!R188)</f>
        <v/>
      </c>
    </row>
    <row r="188" customFormat="false" ht="15" hidden="false" customHeight="true" outlineLevel="0" collapsed="false">
      <c r="A188" s="29" t="str">
        <f aca="false">IF(R188="","",Reconciliation!A189)</f>
        <v/>
      </c>
      <c r="B188" s="30" t="str">
        <f aca="false">IF(R188="","",Reconciliation!B189)</f>
        <v/>
      </c>
      <c r="C188" s="30" t="str">
        <f aca="false">IF(R188="","",Reconciliation!C189)</f>
        <v/>
      </c>
      <c r="D188" s="30" t="str">
        <f aca="false">IF(R188="","",Reconciliation!D189)</f>
        <v/>
      </c>
      <c r="E188" s="31" t="str">
        <f aca="false">IF(R188="","",Reconciliation!E189)</f>
        <v/>
      </c>
      <c r="F188" s="30" t="str">
        <f aca="false">IF(R188="","",Reconciliation!F189)</f>
        <v/>
      </c>
      <c r="G188" s="30" t="str">
        <f aca="false">IF(R188="","",Reconciliation!G189)</f>
        <v/>
      </c>
      <c r="H188" s="30" t="str">
        <f aca="false">IF(R188="","",Reconciliation!H189)</f>
        <v/>
      </c>
      <c r="I188" s="30" t="str">
        <f aca="false">IF(R188="","",Reconciliation!I189)</f>
        <v/>
      </c>
      <c r="J188" s="31" t="str">
        <f aca="false">IF(R188="","",Reconciliation!J189)</f>
        <v/>
      </c>
      <c r="K188" s="30" t="str">
        <f aca="false">IF(R188="","",Reconciliation!K189)</f>
        <v/>
      </c>
      <c r="L188" s="30" t="str">
        <f aca="false">IF(R188="","",Reconciliation!L189)</f>
        <v/>
      </c>
      <c r="M188" s="32" t="str">
        <f aca="false">IF(R188="","",Reconciliation!M189)</f>
        <v/>
      </c>
      <c r="N188" s="32" t="str">
        <f aca="false">IF(R188="","",Reconciliation!N189)</f>
        <v/>
      </c>
      <c r="O188" s="32" t="str">
        <f aca="false">IF(R188="","",Reconciliation!O189)</f>
        <v/>
      </c>
      <c r="P188" s="32" t="str">
        <f aca="false">IF(R188="","",Reconciliation!P189)</f>
        <v/>
      </c>
      <c r="Q188" s="32" t="str">
        <f aca="false">IF(R188="","",Reconciliation!Q189)</f>
        <v/>
      </c>
      <c r="R188" s="33" t="str">
        <f aca="false">IF(OR(Reconciliation!R189="✅ MATCH",Reconciliation!R189=""),"",Reconciliation!R189)</f>
        <v/>
      </c>
    </row>
    <row r="189" customFormat="false" ht="15" hidden="false" customHeight="true" outlineLevel="0" collapsed="false">
      <c r="A189" s="29" t="str">
        <f aca="false">IF(R189="","",Reconciliation!A190)</f>
        <v/>
      </c>
      <c r="B189" s="30" t="str">
        <f aca="false">IF(R189="","",Reconciliation!B190)</f>
        <v/>
      </c>
      <c r="C189" s="30" t="str">
        <f aca="false">IF(R189="","",Reconciliation!C190)</f>
        <v/>
      </c>
      <c r="D189" s="30" t="str">
        <f aca="false">IF(R189="","",Reconciliation!D190)</f>
        <v/>
      </c>
      <c r="E189" s="31" t="str">
        <f aca="false">IF(R189="","",Reconciliation!E190)</f>
        <v/>
      </c>
      <c r="F189" s="30" t="str">
        <f aca="false">IF(R189="","",Reconciliation!F190)</f>
        <v/>
      </c>
      <c r="G189" s="30" t="str">
        <f aca="false">IF(R189="","",Reconciliation!G190)</f>
        <v/>
      </c>
      <c r="H189" s="30" t="str">
        <f aca="false">IF(R189="","",Reconciliation!H190)</f>
        <v/>
      </c>
      <c r="I189" s="30" t="str">
        <f aca="false">IF(R189="","",Reconciliation!I190)</f>
        <v/>
      </c>
      <c r="J189" s="31" t="str">
        <f aca="false">IF(R189="","",Reconciliation!J190)</f>
        <v/>
      </c>
      <c r="K189" s="30" t="str">
        <f aca="false">IF(R189="","",Reconciliation!K190)</f>
        <v/>
      </c>
      <c r="L189" s="30" t="str">
        <f aca="false">IF(R189="","",Reconciliation!L190)</f>
        <v/>
      </c>
      <c r="M189" s="32" t="str">
        <f aca="false">IF(R189="","",Reconciliation!M190)</f>
        <v/>
      </c>
      <c r="N189" s="32" t="str">
        <f aca="false">IF(R189="","",Reconciliation!N190)</f>
        <v/>
      </c>
      <c r="O189" s="32" t="str">
        <f aca="false">IF(R189="","",Reconciliation!O190)</f>
        <v/>
      </c>
      <c r="P189" s="32" t="str">
        <f aca="false">IF(R189="","",Reconciliation!P190)</f>
        <v/>
      </c>
      <c r="Q189" s="32" t="str">
        <f aca="false">IF(R189="","",Reconciliation!Q190)</f>
        <v/>
      </c>
      <c r="R189" s="33" t="str">
        <f aca="false">IF(OR(Reconciliation!R190="✅ MATCH",Reconciliation!R190=""),"",Reconciliation!R190)</f>
        <v/>
      </c>
    </row>
    <row r="190" customFormat="false" ht="15" hidden="false" customHeight="true" outlineLevel="0" collapsed="false">
      <c r="A190" s="29" t="str">
        <f aca="false">IF(R190="","",Reconciliation!A191)</f>
        <v/>
      </c>
      <c r="B190" s="30" t="str">
        <f aca="false">IF(R190="","",Reconciliation!B191)</f>
        <v/>
      </c>
      <c r="C190" s="30" t="str">
        <f aca="false">IF(R190="","",Reconciliation!C191)</f>
        <v/>
      </c>
      <c r="D190" s="30" t="str">
        <f aca="false">IF(R190="","",Reconciliation!D191)</f>
        <v/>
      </c>
      <c r="E190" s="31" t="str">
        <f aca="false">IF(R190="","",Reconciliation!E191)</f>
        <v/>
      </c>
      <c r="F190" s="30" t="str">
        <f aca="false">IF(R190="","",Reconciliation!F191)</f>
        <v/>
      </c>
      <c r="G190" s="30" t="str">
        <f aca="false">IF(R190="","",Reconciliation!G191)</f>
        <v/>
      </c>
      <c r="H190" s="30" t="str">
        <f aca="false">IF(R190="","",Reconciliation!H191)</f>
        <v/>
      </c>
      <c r="I190" s="30" t="str">
        <f aca="false">IF(R190="","",Reconciliation!I191)</f>
        <v/>
      </c>
      <c r="J190" s="31" t="str">
        <f aca="false">IF(R190="","",Reconciliation!J191)</f>
        <v/>
      </c>
      <c r="K190" s="30" t="str">
        <f aca="false">IF(R190="","",Reconciliation!K191)</f>
        <v/>
      </c>
      <c r="L190" s="30" t="str">
        <f aca="false">IF(R190="","",Reconciliation!L191)</f>
        <v/>
      </c>
      <c r="M190" s="32" t="str">
        <f aca="false">IF(R190="","",Reconciliation!M191)</f>
        <v/>
      </c>
      <c r="N190" s="32" t="str">
        <f aca="false">IF(R190="","",Reconciliation!N191)</f>
        <v/>
      </c>
      <c r="O190" s="32" t="str">
        <f aca="false">IF(R190="","",Reconciliation!O191)</f>
        <v/>
      </c>
      <c r="P190" s="32" t="str">
        <f aca="false">IF(R190="","",Reconciliation!P191)</f>
        <v/>
      </c>
      <c r="Q190" s="32" t="str">
        <f aca="false">IF(R190="","",Reconciliation!Q191)</f>
        <v/>
      </c>
      <c r="R190" s="33" t="str">
        <f aca="false">IF(OR(Reconciliation!R191="✅ MATCH",Reconciliation!R191=""),"",Reconciliation!R191)</f>
        <v/>
      </c>
    </row>
    <row r="191" customFormat="false" ht="15" hidden="false" customHeight="true" outlineLevel="0" collapsed="false">
      <c r="A191" s="29" t="str">
        <f aca="false">IF(R191="","",Reconciliation!A192)</f>
        <v/>
      </c>
      <c r="B191" s="30" t="str">
        <f aca="false">IF(R191="","",Reconciliation!B192)</f>
        <v/>
      </c>
      <c r="C191" s="30" t="str">
        <f aca="false">IF(R191="","",Reconciliation!C192)</f>
        <v/>
      </c>
      <c r="D191" s="30" t="str">
        <f aca="false">IF(R191="","",Reconciliation!D192)</f>
        <v/>
      </c>
      <c r="E191" s="31" t="str">
        <f aca="false">IF(R191="","",Reconciliation!E192)</f>
        <v/>
      </c>
      <c r="F191" s="30" t="str">
        <f aca="false">IF(R191="","",Reconciliation!F192)</f>
        <v/>
      </c>
      <c r="G191" s="30" t="str">
        <f aca="false">IF(R191="","",Reconciliation!G192)</f>
        <v/>
      </c>
      <c r="H191" s="30" t="str">
        <f aca="false">IF(R191="","",Reconciliation!H192)</f>
        <v/>
      </c>
      <c r="I191" s="30" t="str">
        <f aca="false">IF(R191="","",Reconciliation!I192)</f>
        <v/>
      </c>
      <c r="J191" s="31" t="str">
        <f aca="false">IF(R191="","",Reconciliation!J192)</f>
        <v/>
      </c>
      <c r="K191" s="30" t="str">
        <f aca="false">IF(R191="","",Reconciliation!K192)</f>
        <v/>
      </c>
      <c r="L191" s="30" t="str">
        <f aca="false">IF(R191="","",Reconciliation!L192)</f>
        <v/>
      </c>
      <c r="M191" s="32" t="str">
        <f aca="false">IF(R191="","",Reconciliation!M192)</f>
        <v/>
      </c>
      <c r="N191" s="32" t="str">
        <f aca="false">IF(R191="","",Reconciliation!N192)</f>
        <v/>
      </c>
      <c r="O191" s="32" t="str">
        <f aca="false">IF(R191="","",Reconciliation!O192)</f>
        <v/>
      </c>
      <c r="P191" s="32" t="str">
        <f aca="false">IF(R191="","",Reconciliation!P192)</f>
        <v/>
      </c>
      <c r="Q191" s="32" t="str">
        <f aca="false">IF(R191="","",Reconciliation!Q192)</f>
        <v/>
      </c>
      <c r="R191" s="33" t="str">
        <f aca="false">IF(OR(Reconciliation!R192="✅ MATCH",Reconciliation!R192=""),"",Reconciliation!R192)</f>
        <v/>
      </c>
    </row>
    <row r="192" customFormat="false" ht="15" hidden="false" customHeight="true" outlineLevel="0" collapsed="false">
      <c r="A192" s="29" t="str">
        <f aca="false">IF(R192="","",Reconciliation!A193)</f>
        <v/>
      </c>
      <c r="B192" s="30" t="str">
        <f aca="false">IF(R192="","",Reconciliation!B193)</f>
        <v/>
      </c>
      <c r="C192" s="30" t="str">
        <f aca="false">IF(R192="","",Reconciliation!C193)</f>
        <v/>
      </c>
      <c r="D192" s="30" t="str">
        <f aca="false">IF(R192="","",Reconciliation!D193)</f>
        <v/>
      </c>
      <c r="E192" s="31" t="str">
        <f aca="false">IF(R192="","",Reconciliation!E193)</f>
        <v/>
      </c>
      <c r="F192" s="30" t="str">
        <f aca="false">IF(R192="","",Reconciliation!F193)</f>
        <v/>
      </c>
      <c r="G192" s="30" t="str">
        <f aca="false">IF(R192="","",Reconciliation!G193)</f>
        <v/>
      </c>
      <c r="H192" s="30" t="str">
        <f aca="false">IF(R192="","",Reconciliation!H193)</f>
        <v/>
      </c>
      <c r="I192" s="30" t="str">
        <f aca="false">IF(R192="","",Reconciliation!I193)</f>
        <v/>
      </c>
      <c r="J192" s="31" t="str">
        <f aca="false">IF(R192="","",Reconciliation!J193)</f>
        <v/>
      </c>
      <c r="K192" s="30" t="str">
        <f aca="false">IF(R192="","",Reconciliation!K193)</f>
        <v/>
      </c>
      <c r="L192" s="30" t="str">
        <f aca="false">IF(R192="","",Reconciliation!L193)</f>
        <v/>
      </c>
      <c r="M192" s="32" t="str">
        <f aca="false">IF(R192="","",Reconciliation!M193)</f>
        <v/>
      </c>
      <c r="N192" s="32" t="str">
        <f aca="false">IF(R192="","",Reconciliation!N193)</f>
        <v/>
      </c>
      <c r="O192" s="32" t="str">
        <f aca="false">IF(R192="","",Reconciliation!O193)</f>
        <v/>
      </c>
      <c r="P192" s="32" t="str">
        <f aca="false">IF(R192="","",Reconciliation!P193)</f>
        <v/>
      </c>
      <c r="Q192" s="32" t="str">
        <f aca="false">IF(R192="","",Reconciliation!Q193)</f>
        <v/>
      </c>
      <c r="R192" s="33" t="str">
        <f aca="false">IF(OR(Reconciliation!R193="✅ MATCH",Reconciliation!R193=""),"",Reconciliation!R193)</f>
        <v/>
      </c>
    </row>
    <row r="193" customFormat="false" ht="15" hidden="false" customHeight="true" outlineLevel="0" collapsed="false">
      <c r="A193" s="29" t="str">
        <f aca="false">IF(R193="","",Reconciliation!A194)</f>
        <v/>
      </c>
      <c r="B193" s="30" t="str">
        <f aca="false">IF(R193="","",Reconciliation!B194)</f>
        <v/>
      </c>
      <c r="C193" s="30" t="str">
        <f aca="false">IF(R193="","",Reconciliation!C194)</f>
        <v/>
      </c>
      <c r="D193" s="30" t="str">
        <f aca="false">IF(R193="","",Reconciliation!D194)</f>
        <v/>
      </c>
      <c r="E193" s="31" t="str">
        <f aca="false">IF(R193="","",Reconciliation!E194)</f>
        <v/>
      </c>
      <c r="F193" s="30" t="str">
        <f aca="false">IF(R193="","",Reconciliation!F194)</f>
        <v/>
      </c>
      <c r="G193" s="30" t="str">
        <f aca="false">IF(R193="","",Reconciliation!G194)</f>
        <v/>
      </c>
      <c r="H193" s="30" t="str">
        <f aca="false">IF(R193="","",Reconciliation!H194)</f>
        <v/>
      </c>
      <c r="I193" s="30" t="str">
        <f aca="false">IF(R193="","",Reconciliation!I194)</f>
        <v/>
      </c>
      <c r="J193" s="31" t="str">
        <f aca="false">IF(R193="","",Reconciliation!J194)</f>
        <v/>
      </c>
      <c r="K193" s="30" t="str">
        <f aca="false">IF(R193="","",Reconciliation!K194)</f>
        <v/>
      </c>
      <c r="L193" s="30" t="str">
        <f aca="false">IF(R193="","",Reconciliation!L194)</f>
        <v/>
      </c>
      <c r="M193" s="32" t="str">
        <f aca="false">IF(R193="","",Reconciliation!M194)</f>
        <v/>
      </c>
      <c r="N193" s="32" t="str">
        <f aca="false">IF(R193="","",Reconciliation!N194)</f>
        <v/>
      </c>
      <c r="O193" s="32" t="str">
        <f aca="false">IF(R193="","",Reconciliation!O194)</f>
        <v/>
      </c>
      <c r="P193" s="32" t="str">
        <f aca="false">IF(R193="","",Reconciliation!P194)</f>
        <v/>
      </c>
      <c r="Q193" s="32" t="str">
        <f aca="false">IF(R193="","",Reconciliation!Q194)</f>
        <v/>
      </c>
      <c r="R193" s="33" t="str">
        <f aca="false">IF(OR(Reconciliation!R194="✅ MATCH",Reconciliation!R194=""),"",Reconciliation!R194)</f>
        <v/>
      </c>
    </row>
    <row r="194" customFormat="false" ht="15" hidden="false" customHeight="true" outlineLevel="0" collapsed="false">
      <c r="A194" s="29" t="str">
        <f aca="false">IF(R194="","",Reconciliation!A195)</f>
        <v/>
      </c>
      <c r="B194" s="30" t="str">
        <f aca="false">IF(R194="","",Reconciliation!B195)</f>
        <v/>
      </c>
      <c r="C194" s="30" t="str">
        <f aca="false">IF(R194="","",Reconciliation!C195)</f>
        <v/>
      </c>
      <c r="D194" s="30" t="str">
        <f aca="false">IF(R194="","",Reconciliation!D195)</f>
        <v/>
      </c>
      <c r="E194" s="31" t="str">
        <f aca="false">IF(R194="","",Reconciliation!E195)</f>
        <v/>
      </c>
      <c r="F194" s="30" t="str">
        <f aca="false">IF(R194="","",Reconciliation!F195)</f>
        <v/>
      </c>
      <c r="G194" s="30" t="str">
        <f aca="false">IF(R194="","",Reconciliation!G195)</f>
        <v/>
      </c>
      <c r="H194" s="30" t="str">
        <f aca="false">IF(R194="","",Reconciliation!H195)</f>
        <v/>
      </c>
      <c r="I194" s="30" t="str">
        <f aca="false">IF(R194="","",Reconciliation!I195)</f>
        <v/>
      </c>
      <c r="J194" s="31" t="str">
        <f aca="false">IF(R194="","",Reconciliation!J195)</f>
        <v/>
      </c>
      <c r="K194" s="30" t="str">
        <f aca="false">IF(R194="","",Reconciliation!K195)</f>
        <v/>
      </c>
      <c r="L194" s="30" t="str">
        <f aca="false">IF(R194="","",Reconciliation!L195)</f>
        <v/>
      </c>
      <c r="M194" s="32" t="str">
        <f aca="false">IF(R194="","",Reconciliation!M195)</f>
        <v/>
      </c>
      <c r="N194" s="32" t="str">
        <f aca="false">IF(R194="","",Reconciliation!N195)</f>
        <v/>
      </c>
      <c r="O194" s="32" t="str">
        <f aca="false">IF(R194="","",Reconciliation!O195)</f>
        <v/>
      </c>
      <c r="P194" s="32" t="str">
        <f aca="false">IF(R194="","",Reconciliation!P195)</f>
        <v/>
      </c>
      <c r="Q194" s="32" t="str">
        <f aca="false">IF(R194="","",Reconciliation!Q195)</f>
        <v/>
      </c>
      <c r="R194" s="33" t="str">
        <f aca="false">IF(OR(Reconciliation!R195="✅ MATCH",Reconciliation!R195=""),"",Reconciliation!R195)</f>
        <v/>
      </c>
    </row>
    <row r="195" customFormat="false" ht="15" hidden="false" customHeight="true" outlineLevel="0" collapsed="false">
      <c r="A195" s="29" t="str">
        <f aca="false">IF(R195="","",Reconciliation!A196)</f>
        <v/>
      </c>
      <c r="B195" s="30" t="str">
        <f aca="false">IF(R195="","",Reconciliation!B196)</f>
        <v/>
      </c>
      <c r="C195" s="30" t="str">
        <f aca="false">IF(R195="","",Reconciliation!C196)</f>
        <v/>
      </c>
      <c r="D195" s="30" t="str">
        <f aca="false">IF(R195="","",Reconciliation!D196)</f>
        <v/>
      </c>
      <c r="E195" s="31" t="str">
        <f aca="false">IF(R195="","",Reconciliation!E196)</f>
        <v/>
      </c>
      <c r="F195" s="30" t="str">
        <f aca="false">IF(R195="","",Reconciliation!F196)</f>
        <v/>
      </c>
      <c r="G195" s="30" t="str">
        <f aca="false">IF(R195="","",Reconciliation!G196)</f>
        <v/>
      </c>
      <c r="H195" s="30" t="str">
        <f aca="false">IF(R195="","",Reconciliation!H196)</f>
        <v/>
      </c>
      <c r="I195" s="30" t="str">
        <f aca="false">IF(R195="","",Reconciliation!I196)</f>
        <v/>
      </c>
      <c r="J195" s="31" t="str">
        <f aca="false">IF(R195="","",Reconciliation!J196)</f>
        <v/>
      </c>
      <c r="K195" s="30" t="str">
        <f aca="false">IF(R195="","",Reconciliation!K196)</f>
        <v/>
      </c>
      <c r="L195" s="30" t="str">
        <f aca="false">IF(R195="","",Reconciliation!L196)</f>
        <v/>
      </c>
      <c r="M195" s="32" t="str">
        <f aca="false">IF(R195="","",Reconciliation!M196)</f>
        <v/>
      </c>
      <c r="N195" s="32" t="str">
        <f aca="false">IF(R195="","",Reconciliation!N196)</f>
        <v/>
      </c>
      <c r="O195" s="32" t="str">
        <f aca="false">IF(R195="","",Reconciliation!O196)</f>
        <v/>
      </c>
      <c r="P195" s="32" t="str">
        <f aca="false">IF(R195="","",Reconciliation!P196)</f>
        <v/>
      </c>
      <c r="Q195" s="32" t="str">
        <f aca="false">IF(R195="","",Reconciliation!Q196)</f>
        <v/>
      </c>
      <c r="R195" s="33" t="str">
        <f aca="false">IF(OR(Reconciliation!R196="✅ MATCH",Reconciliation!R196=""),"",Reconciliation!R196)</f>
        <v/>
      </c>
    </row>
    <row r="196" customFormat="false" ht="15" hidden="false" customHeight="true" outlineLevel="0" collapsed="false">
      <c r="A196" s="29" t="str">
        <f aca="false">IF(R196="","",Reconciliation!A197)</f>
        <v/>
      </c>
      <c r="B196" s="30" t="str">
        <f aca="false">IF(R196="","",Reconciliation!B197)</f>
        <v/>
      </c>
      <c r="C196" s="30" t="str">
        <f aca="false">IF(R196="","",Reconciliation!C197)</f>
        <v/>
      </c>
      <c r="D196" s="30" t="str">
        <f aca="false">IF(R196="","",Reconciliation!D197)</f>
        <v/>
      </c>
      <c r="E196" s="31" t="str">
        <f aca="false">IF(R196="","",Reconciliation!E197)</f>
        <v/>
      </c>
      <c r="F196" s="30" t="str">
        <f aca="false">IF(R196="","",Reconciliation!F197)</f>
        <v/>
      </c>
      <c r="G196" s="30" t="str">
        <f aca="false">IF(R196="","",Reconciliation!G197)</f>
        <v/>
      </c>
      <c r="H196" s="30" t="str">
        <f aca="false">IF(R196="","",Reconciliation!H197)</f>
        <v/>
      </c>
      <c r="I196" s="30" t="str">
        <f aca="false">IF(R196="","",Reconciliation!I197)</f>
        <v/>
      </c>
      <c r="J196" s="31" t="str">
        <f aca="false">IF(R196="","",Reconciliation!J197)</f>
        <v/>
      </c>
      <c r="K196" s="30" t="str">
        <f aca="false">IF(R196="","",Reconciliation!K197)</f>
        <v/>
      </c>
      <c r="L196" s="30" t="str">
        <f aca="false">IF(R196="","",Reconciliation!L197)</f>
        <v/>
      </c>
      <c r="M196" s="32" t="str">
        <f aca="false">IF(R196="","",Reconciliation!M197)</f>
        <v/>
      </c>
      <c r="N196" s="32" t="str">
        <f aca="false">IF(R196="","",Reconciliation!N197)</f>
        <v/>
      </c>
      <c r="O196" s="32" t="str">
        <f aca="false">IF(R196="","",Reconciliation!O197)</f>
        <v/>
      </c>
      <c r="P196" s="32" t="str">
        <f aca="false">IF(R196="","",Reconciliation!P197)</f>
        <v/>
      </c>
      <c r="Q196" s="32" t="str">
        <f aca="false">IF(R196="","",Reconciliation!Q197)</f>
        <v/>
      </c>
      <c r="R196" s="33" t="str">
        <f aca="false">IF(OR(Reconciliation!R197="✅ MATCH",Reconciliation!R197=""),"",Reconciliation!R197)</f>
        <v/>
      </c>
    </row>
    <row r="197" customFormat="false" ht="15" hidden="false" customHeight="true" outlineLevel="0" collapsed="false">
      <c r="A197" s="29" t="str">
        <f aca="false">IF(R197="","",Reconciliation!A198)</f>
        <v/>
      </c>
      <c r="B197" s="30" t="str">
        <f aca="false">IF(R197="","",Reconciliation!B198)</f>
        <v/>
      </c>
      <c r="C197" s="30" t="str">
        <f aca="false">IF(R197="","",Reconciliation!C198)</f>
        <v/>
      </c>
      <c r="D197" s="30" t="str">
        <f aca="false">IF(R197="","",Reconciliation!D198)</f>
        <v/>
      </c>
      <c r="E197" s="31" t="str">
        <f aca="false">IF(R197="","",Reconciliation!E198)</f>
        <v/>
      </c>
      <c r="F197" s="30" t="str">
        <f aca="false">IF(R197="","",Reconciliation!F198)</f>
        <v/>
      </c>
      <c r="G197" s="30" t="str">
        <f aca="false">IF(R197="","",Reconciliation!G198)</f>
        <v/>
      </c>
      <c r="H197" s="30" t="str">
        <f aca="false">IF(R197="","",Reconciliation!H198)</f>
        <v/>
      </c>
      <c r="I197" s="30" t="str">
        <f aca="false">IF(R197="","",Reconciliation!I198)</f>
        <v/>
      </c>
      <c r="J197" s="31" t="str">
        <f aca="false">IF(R197="","",Reconciliation!J198)</f>
        <v/>
      </c>
      <c r="K197" s="30" t="str">
        <f aca="false">IF(R197="","",Reconciliation!K198)</f>
        <v/>
      </c>
      <c r="L197" s="30" t="str">
        <f aca="false">IF(R197="","",Reconciliation!L198)</f>
        <v/>
      </c>
      <c r="M197" s="32" t="str">
        <f aca="false">IF(R197="","",Reconciliation!M198)</f>
        <v/>
      </c>
      <c r="N197" s="32" t="str">
        <f aca="false">IF(R197="","",Reconciliation!N198)</f>
        <v/>
      </c>
      <c r="O197" s="32" t="str">
        <f aca="false">IF(R197="","",Reconciliation!O198)</f>
        <v/>
      </c>
      <c r="P197" s="32" t="str">
        <f aca="false">IF(R197="","",Reconciliation!P198)</f>
        <v/>
      </c>
      <c r="Q197" s="32" t="str">
        <f aca="false">IF(R197="","",Reconciliation!Q198)</f>
        <v/>
      </c>
      <c r="R197" s="33" t="str">
        <f aca="false">IF(OR(Reconciliation!R198="✅ MATCH",Reconciliation!R198=""),"",Reconciliation!R198)</f>
        <v/>
      </c>
    </row>
    <row r="198" customFormat="false" ht="15" hidden="false" customHeight="true" outlineLevel="0" collapsed="false">
      <c r="A198" s="29" t="str">
        <f aca="false">IF(R198="","",Reconciliation!A199)</f>
        <v/>
      </c>
      <c r="B198" s="30" t="str">
        <f aca="false">IF(R198="","",Reconciliation!B199)</f>
        <v/>
      </c>
      <c r="C198" s="30" t="str">
        <f aca="false">IF(R198="","",Reconciliation!C199)</f>
        <v/>
      </c>
      <c r="D198" s="30" t="str">
        <f aca="false">IF(R198="","",Reconciliation!D199)</f>
        <v/>
      </c>
      <c r="E198" s="31" t="str">
        <f aca="false">IF(R198="","",Reconciliation!E199)</f>
        <v/>
      </c>
      <c r="F198" s="30" t="str">
        <f aca="false">IF(R198="","",Reconciliation!F199)</f>
        <v/>
      </c>
      <c r="G198" s="30" t="str">
        <f aca="false">IF(R198="","",Reconciliation!G199)</f>
        <v/>
      </c>
      <c r="H198" s="30" t="str">
        <f aca="false">IF(R198="","",Reconciliation!H199)</f>
        <v/>
      </c>
      <c r="I198" s="30" t="str">
        <f aca="false">IF(R198="","",Reconciliation!I199)</f>
        <v/>
      </c>
      <c r="J198" s="31" t="str">
        <f aca="false">IF(R198="","",Reconciliation!J199)</f>
        <v/>
      </c>
      <c r="K198" s="30" t="str">
        <f aca="false">IF(R198="","",Reconciliation!K199)</f>
        <v/>
      </c>
      <c r="L198" s="30" t="str">
        <f aca="false">IF(R198="","",Reconciliation!L199)</f>
        <v/>
      </c>
      <c r="M198" s="32" t="str">
        <f aca="false">IF(R198="","",Reconciliation!M199)</f>
        <v/>
      </c>
      <c r="N198" s="32" t="str">
        <f aca="false">IF(R198="","",Reconciliation!N199)</f>
        <v/>
      </c>
      <c r="O198" s="32" t="str">
        <f aca="false">IF(R198="","",Reconciliation!O199)</f>
        <v/>
      </c>
      <c r="P198" s="32" t="str">
        <f aca="false">IF(R198="","",Reconciliation!P199)</f>
        <v/>
      </c>
      <c r="Q198" s="32" t="str">
        <f aca="false">IF(R198="","",Reconciliation!Q199)</f>
        <v/>
      </c>
      <c r="R198" s="33" t="str">
        <f aca="false">IF(OR(Reconciliation!R199="✅ MATCH",Reconciliation!R199=""),"",Reconciliation!R199)</f>
        <v/>
      </c>
    </row>
    <row r="199" customFormat="false" ht="15" hidden="false" customHeight="true" outlineLevel="0" collapsed="false">
      <c r="A199" s="29" t="str">
        <f aca="false">IF(R199="","",Reconciliation!A200)</f>
        <v/>
      </c>
      <c r="B199" s="30" t="str">
        <f aca="false">IF(R199="","",Reconciliation!B200)</f>
        <v/>
      </c>
      <c r="C199" s="30" t="str">
        <f aca="false">IF(R199="","",Reconciliation!C200)</f>
        <v/>
      </c>
      <c r="D199" s="30" t="str">
        <f aca="false">IF(R199="","",Reconciliation!D200)</f>
        <v/>
      </c>
      <c r="E199" s="31" t="str">
        <f aca="false">IF(R199="","",Reconciliation!E200)</f>
        <v/>
      </c>
      <c r="F199" s="30" t="str">
        <f aca="false">IF(R199="","",Reconciliation!F200)</f>
        <v/>
      </c>
      <c r="G199" s="30" t="str">
        <f aca="false">IF(R199="","",Reconciliation!G200)</f>
        <v/>
      </c>
      <c r="H199" s="30" t="str">
        <f aca="false">IF(R199="","",Reconciliation!H200)</f>
        <v/>
      </c>
      <c r="I199" s="30" t="str">
        <f aca="false">IF(R199="","",Reconciliation!I200)</f>
        <v/>
      </c>
      <c r="J199" s="31" t="str">
        <f aca="false">IF(R199="","",Reconciliation!J200)</f>
        <v/>
      </c>
      <c r="K199" s="30" t="str">
        <f aca="false">IF(R199="","",Reconciliation!K200)</f>
        <v/>
      </c>
      <c r="L199" s="30" t="str">
        <f aca="false">IF(R199="","",Reconciliation!L200)</f>
        <v/>
      </c>
      <c r="M199" s="32" t="str">
        <f aca="false">IF(R199="","",Reconciliation!M200)</f>
        <v/>
      </c>
      <c r="N199" s="32" t="str">
        <f aca="false">IF(R199="","",Reconciliation!N200)</f>
        <v/>
      </c>
      <c r="O199" s="32" t="str">
        <f aca="false">IF(R199="","",Reconciliation!O200)</f>
        <v/>
      </c>
      <c r="P199" s="32" t="str">
        <f aca="false">IF(R199="","",Reconciliation!P200)</f>
        <v/>
      </c>
      <c r="Q199" s="32" t="str">
        <f aca="false">IF(R199="","",Reconciliation!Q200)</f>
        <v/>
      </c>
      <c r="R199" s="33" t="str">
        <f aca="false">IF(OR(Reconciliation!R200="✅ MATCH",Reconciliation!R200=""),"",Reconciliation!R200)</f>
        <v/>
      </c>
    </row>
    <row r="200" customFormat="false" ht="15" hidden="false" customHeight="true" outlineLevel="0" collapsed="false">
      <c r="A200" s="29" t="str">
        <f aca="false">IF(R200="","",Reconciliation!A201)</f>
        <v/>
      </c>
      <c r="B200" s="30" t="str">
        <f aca="false">IF(R200="","",Reconciliation!B201)</f>
        <v/>
      </c>
      <c r="C200" s="30" t="str">
        <f aca="false">IF(R200="","",Reconciliation!C201)</f>
        <v/>
      </c>
      <c r="D200" s="30" t="str">
        <f aca="false">IF(R200="","",Reconciliation!D201)</f>
        <v/>
      </c>
      <c r="E200" s="31" t="str">
        <f aca="false">IF(R200="","",Reconciliation!E201)</f>
        <v/>
      </c>
      <c r="F200" s="30" t="str">
        <f aca="false">IF(R200="","",Reconciliation!F201)</f>
        <v/>
      </c>
      <c r="G200" s="30" t="str">
        <f aca="false">IF(R200="","",Reconciliation!G201)</f>
        <v/>
      </c>
      <c r="H200" s="30" t="str">
        <f aca="false">IF(R200="","",Reconciliation!H201)</f>
        <v/>
      </c>
      <c r="I200" s="30" t="str">
        <f aca="false">IF(R200="","",Reconciliation!I201)</f>
        <v/>
      </c>
      <c r="J200" s="31" t="str">
        <f aca="false">IF(R200="","",Reconciliation!J201)</f>
        <v/>
      </c>
      <c r="K200" s="30" t="str">
        <f aca="false">IF(R200="","",Reconciliation!K201)</f>
        <v/>
      </c>
      <c r="L200" s="30" t="str">
        <f aca="false">IF(R200="","",Reconciliation!L201)</f>
        <v/>
      </c>
      <c r="M200" s="32" t="str">
        <f aca="false">IF(R200="","",Reconciliation!M201)</f>
        <v/>
      </c>
      <c r="N200" s="32" t="str">
        <f aca="false">IF(R200="","",Reconciliation!N201)</f>
        <v/>
      </c>
      <c r="O200" s="32" t="str">
        <f aca="false">IF(R200="","",Reconciliation!O201)</f>
        <v/>
      </c>
      <c r="P200" s="32" t="str">
        <f aca="false">IF(R200="","",Reconciliation!P201)</f>
        <v/>
      </c>
      <c r="Q200" s="32" t="str">
        <f aca="false">IF(R200="","",Reconciliation!Q201)</f>
        <v/>
      </c>
      <c r="R200" s="33" t="str">
        <f aca="false">IF(OR(Reconciliation!R201="✅ MATCH",Reconciliation!R201=""),"",Reconciliation!R201)</f>
        <v/>
      </c>
    </row>
    <row r="201" customFormat="false" ht="15" hidden="false" customHeight="true" outlineLevel="0" collapsed="false">
      <c r="A201" s="29" t="str">
        <f aca="false">IF(R201="","",Reconciliation!A202)</f>
        <v/>
      </c>
      <c r="B201" s="30" t="str">
        <f aca="false">IF(R201="","",Reconciliation!B202)</f>
        <v/>
      </c>
      <c r="C201" s="30" t="str">
        <f aca="false">IF(R201="","",Reconciliation!C202)</f>
        <v/>
      </c>
      <c r="D201" s="30" t="str">
        <f aca="false">IF(R201="","",Reconciliation!D202)</f>
        <v/>
      </c>
      <c r="E201" s="31" t="str">
        <f aca="false">IF(R201="","",Reconciliation!E202)</f>
        <v/>
      </c>
      <c r="F201" s="30" t="str">
        <f aca="false">IF(R201="","",Reconciliation!F202)</f>
        <v/>
      </c>
      <c r="G201" s="30" t="str">
        <f aca="false">IF(R201="","",Reconciliation!G202)</f>
        <v/>
      </c>
      <c r="H201" s="30" t="str">
        <f aca="false">IF(R201="","",Reconciliation!H202)</f>
        <v/>
      </c>
      <c r="I201" s="30" t="str">
        <f aca="false">IF(R201="","",Reconciliation!I202)</f>
        <v/>
      </c>
      <c r="J201" s="31" t="str">
        <f aca="false">IF(R201="","",Reconciliation!J202)</f>
        <v/>
      </c>
      <c r="K201" s="30" t="str">
        <f aca="false">IF(R201="","",Reconciliation!K202)</f>
        <v/>
      </c>
      <c r="L201" s="30" t="str">
        <f aca="false">IF(R201="","",Reconciliation!L202)</f>
        <v/>
      </c>
      <c r="M201" s="32" t="str">
        <f aca="false">IF(R201="","",Reconciliation!M202)</f>
        <v/>
      </c>
      <c r="N201" s="32" t="str">
        <f aca="false">IF(R201="","",Reconciliation!N202)</f>
        <v/>
      </c>
      <c r="O201" s="32" t="str">
        <f aca="false">IF(R201="","",Reconciliation!O202)</f>
        <v/>
      </c>
      <c r="P201" s="32" t="str">
        <f aca="false">IF(R201="","",Reconciliation!P202)</f>
        <v/>
      </c>
      <c r="Q201" s="32" t="str">
        <f aca="false">IF(R201="","",Reconciliation!Q202)</f>
        <v/>
      </c>
      <c r="R201" s="33" t="str">
        <f aca="false">IF(OR(Reconciliation!R202="✅ MATCH",Reconciliation!R202=""),"",Reconciliation!R202)</f>
        <v/>
      </c>
    </row>
    <row r="202" customFormat="false" ht="15" hidden="false" customHeight="true" outlineLevel="0" collapsed="false">
      <c r="A202" s="29" t="str">
        <f aca="false">IF(R202="","",Reconciliation!A203)</f>
        <v/>
      </c>
      <c r="B202" s="30" t="str">
        <f aca="false">IF(R202="","",Reconciliation!B203)</f>
        <v/>
      </c>
      <c r="C202" s="30" t="str">
        <f aca="false">IF(R202="","",Reconciliation!C203)</f>
        <v/>
      </c>
      <c r="D202" s="30" t="str">
        <f aca="false">IF(R202="","",Reconciliation!D203)</f>
        <v/>
      </c>
      <c r="E202" s="31" t="str">
        <f aca="false">IF(R202="","",Reconciliation!E203)</f>
        <v/>
      </c>
      <c r="F202" s="30" t="str">
        <f aca="false">IF(R202="","",Reconciliation!F203)</f>
        <v/>
      </c>
      <c r="G202" s="30" t="str">
        <f aca="false">IF(R202="","",Reconciliation!G203)</f>
        <v/>
      </c>
      <c r="H202" s="30" t="str">
        <f aca="false">IF(R202="","",Reconciliation!H203)</f>
        <v/>
      </c>
      <c r="I202" s="30" t="str">
        <f aca="false">IF(R202="","",Reconciliation!I203)</f>
        <v/>
      </c>
      <c r="J202" s="31" t="str">
        <f aca="false">IF(R202="","",Reconciliation!J203)</f>
        <v/>
      </c>
      <c r="K202" s="30" t="str">
        <f aca="false">IF(R202="","",Reconciliation!K203)</f>
        <v/>
      </c>
      <c r="L202" s="30" t="str">
        <f aca="false">IF(R202="","",Reconciliation!L203)</f>
        <v/>
      </c>
      <c r="M202" s="32" t="str">
        <f aca="false">IF(R202="","",Reconciliation!M203)</f>
        <v/>
      </c>
      <c r="N202" s="32" t="str">
        <f aca="false">IF(R202="","",Reconciliation!N203)</f>
        <v/>
      </c>
      <c r="O202" s="32" t="str">
        <f aca="false">IF(R202="","",Reconciliation!O203)</f>
        <v/>
      </c>
      <c r="P202" s="32" t="str">
        <f aca="false">IF(R202="","",Reconciliation!P203)</f>
        <v/>
      </c>
      <c r="Q202" s="32" t="str">
        <f aca="false">IF(R202="","",Reconciliation!Q203)</f>
        <v/>
      </c>
      <c r="R202" s="33" t="str">
        <f aca="false">IF(OR(Reconciliation!R203="✅ MATCH",Reconciliation!R203=""),"",Reconciliation!R203)</f>
        <v/>
      </c>
    </row>
    <row r="203" customFormat="false" ht="15" hidden="false" customHeight="true" outlineLevel="0" collapsed="false">
      <c r="A203" s="29" t="str">
        <f aca="false">IF(R203="","",Reconciliation!A204)</f>
        <v/>
      </c>
      <c r="B203" s="30" t="str">
        <f aca="false">IF(R203="","",Reconciliation!B204)</f>
        <v/>
      </c>
      <c r="C203" s="30" t="str">
        <f aca="false">IF(R203="","",Reconciliation!C204)</f>
        <v/>
      </c>
      <c r="D203" s="30" t="str">
        <f aca="false">IF(R203="","",Reconciliation!D204)</f>
        <v/>
      </c>
      <c r="E203" s="31" t="str">
        <f aca="false">IF(R203="","",Reconciliation!E204)</f>
        <v/>
      </c>
      <c r="F203" s="30" t="str">
        <f aca="false">IF(R203="","",Reconciliation!F204)</f>
        <v/>
      </c>
      <c r="G203" s="30" t="str">
        <f aca="false">IF(R203="","",Reconciliation!G204)</f>
        <v/>
      </c>
      <c r="H203" s="30" t="str">
        <f aca="false">IF(R203="","",Reconciliation!H204)</f>
        <v/>
      </c>
      <c r="I203" s="30" t="str">
        <f aca="false">IF(R203="","",Reconciliation!I204)</f>
        <v/>
      </c>
      <c r="J203" s="31" t="str">
        <f aca="false">IF(R203="","",Reconciliation!J204)</f>
        <v/>
      </c>
      <c r="K203" s="30" t="str">
        <f aca="false">IF(R203="","",Reconciliation!K204)</f>
        <v/>
      </c>
      <c r="L203" s="30" t="str">
        <f aca="false">IF(R203="","",Reconciliation!L204)</f>
        <v/>
      </c>
      <c r="M203" s="32" t="str">
        <f aca="false">IF(R203="","",Reconciliation!M204)</f>
        <v/>
      </c>
      <c r="N203" s="32" t="str">
        <f aca="false">IF(R203="","",Reconciliation!N204)</f>
        <v/>
      </c>
      <c r="O203" s="32" t="str">
        <f aca="false">IF(R203="","",Reconciliation!O204)</f>
        <v/>
      </c>
      <c r="P203" s="32" t="str">
        <f aca="false">IF(R203="","",Reconciliation!P204)</f>
        <v/>
      </c>
      <c r="Q203" s="32" t="str">
        <f aca="false">IF(R203="","",Reconciliation!Q204)</f>
        <v/>
      </c>
      <c r="R203" s="33" t="str">
        <f aca="false">IF(OR(Reconciliation!R204="✅ MATCH",Reconciliation!R204=""),"",Reconciliation!R204)</f>
        <v/>
      </c>
    </row>
    <row r="204" customFormat="false" ht="15" hidden="false" customHeight="true" outlineLevel="0" collapsed="false">
      <c r="A204" s="29" t="str">
        <f aca="false">IF(R204="","",Reconciliation!A205)</f>
        <v/>
      </c>
      <c r="B204" s="30" t="str">
        <f aca="false">IF(R204="","",Reconciliation!B205)</f>
        <v/>
      </c>
      <c r="C204" s="30" t="str">
        <f aca="false">IF(R204="","",Reconciliation!C205)</f>
        <v/>
      </c>
      <c r="D204" s="30" t="str">
        <f aca="false">IF(R204="","",Reconciliation!D205)</f>
        <v/>
      </c>
      <c r="E204" s="31" t="str">
        <f aca="false">IF(R204="","",Reconciliation!E205)</f>
        <v/>
      </c>
      <c r="F204" s="30" t="str">
        <f aca="false">IF(R204="","",Reconciliation!F205)</f>
        <v/>
      </c>
      <c r="G204" s="30" t="str">
        <f aca="false">IF(R204="","",Reconciliation!G205)</f>
        <v/>
      </c>
      <c r="H204" s="30" t="str">
        <f aca="false">IF(R204="","",Reconciliation!H205)</f>
        <v/>
      </c>
      <c r="I204" s="30" t="str">
        <f aca="false">IF(R204="","",Reconciliation!I205)</f>
        <v/>
      </c>
      <c r="J204" s="31" t="str">
        <f aca="false">IF(R204="","",Reconciliation!J205)</f>
        <v/>
      </c>
      <c r="K204" s="30" t="str">
        <f aca="false">IF(R204="","",Reconciliation!K205)</f>
        <v/>
      </c>
      <c r="L204" s="30" t="str">
        <f aca="false">IF(R204="","",Reconciliation!L205)</f>
        <v/>
      </c>
      <c r="M204" s="32" t="str">
        <f aca="false">IF(R204="","",Reconciliation!M205)</f>
        <v/>
      </c>
      <c r="N204" s="32" t="str">
        <f aca="false">IF(R204="","",Reconciliation!N205)</f>
        <v/>
      </c>
      <c r="O204" s="32" t="str">
        <f aca="false">IF(R204="","",Reconciliation!O205)</f>
        <v/>
      </c>
      <c r="P204" s="32" t="str">
        <f aca="false">IF(R204="","",Reconciliation!P205)</f>
        <v/>
      </c>
      <c r="Q204" s="32" t="str">
        <f aca="false">IF(R204="","",Reconciliation!Q205)</f>
        <v/>
      </c>
      <c r="R204" s="33" t="str">
        <f aca="false">IF(OR(Reconciliation!R205="✅ MATCH",Reconciliation!R205=""),"",Reconciliation!R205)</f>
        <v/>
      </c>
    </row>
    <row r="205" customFormat="false" ht="15" hidden="false" customHeight="true" outlineLevel="0" collapsed="false">
      <c r="A205" s="29" t="str">
        <f aca="false">IF(R205="","",Reconciliation!A206)</f>
        <v/>
      </c>
      <c r="B205" s="30" t="str">
        <f aca="false">IF(R205="","",Reconciliation!B206)</f>
        <v/>
      </c>
      <c r="C205" s="30" t="str">
        <f aca="false">IF(R205="","",Reconciliation!C206)</f>
        <v/>
      </c>
      <c r="D205" s="30" t="str">
        <f aca="false">IF(R205="","",Reconciliation!D206)</f>
        <v/>
      </c>
      <c r="E205" s="31" t="str">
        <f aca="false">IF(R205="","",Reconciliation!E206)</f>
        <v/>
      </c>
      <c r="F205" s="30" t="str">
        <f aca="false">IF(R205="","",Reconciliation!F206)</f>
        <v/>
      </c>
      <c r="G205" s="30" t="str">
        <f aca="false">IF(R205="","",Reconciliation!G206)</f>
        <v/>
      </c>
      <c r="H205" s="30" t="str">
        <f aca="false">IF(R205="","",Reconciliation!H206)</f>
        <v/>
      </c>
      <c r="I205" s="30" t="str">
        <f aca="false">IF(R205="","",Reconciliation!I206)</f>
        <v/>
      </c>
      <c r="J205" s="31" t="str">
        <f aca="false">IF(R205="","",Reconciliation!J206)</f>
        <v/>
      </c>
      <c r="K205" s="30" t="str">
        <f aca="false">IF(R205="","",Reconciliation!K206)</f>
        <v/>
      </c>
      <c r="L205" s="30" t="str">
        <f aca="false">IF(R205="","",Reconciliation!L206)</f>
        <v/>
      </c>
      <c r="M205" s="32" t="str">
        <f aca="false">IF(R205="","",Reconciliation!M206)</f>
        <v/>
      </c>
      <c r="N205" s="32" t="str">
        <f aca="false">IF(R205="","",Reconciliation!N206)</f>
        <v/>
      </c>
      <c r="O205" s="32" t="str">
        <f aca="false">IF(R205="","",Reconciliation!O206)</f>
        <v/>
      </c>
      <c r="P205" s="32" t="str">
        <f aca="false">IF(R205="","",Reconciliation!P206)</f>
        <v/>
      </c>
      <c r="Q205" s="32" t="str">
        <f aca="false">IF(R205="","",Reconciliation!Q206)</f>
        <v/>
      </c>
      <c r="R205" s="33" t="str">
        <f aca="false">IF(OR(Reconciliation!R206="✅ MATCH",Reconciliation!R206=""),"",Reconciliation!R206)</f>
        <v/>
      </c>
    </row>
    <row r="206" customFormat="false" ht="15" hidden="false" customHeight="true" outlineLevel="0" collapsed="false">
      <c r="A206" s="29" t="str">
        <f aca="false">IF(R206="","",Reconciliation!A207)</f>
        <v/>
      </c>
      <c r="B206" s="30" t="str">
        <f aca="false">IF(R206="","",Reconciliation!B207)</f>
        <v/>
      </c>
      <c r="C206" s="30" t="str">
        <f aca="false">IF(R206="","",Reconciliation!C207)</f>
        <v/>
      </c>
      <c r="D206" s="30" t="str">
        <f aca="false">IF(R206="","",Reconciliation!D207)</f>
        <v/>
      </c>
      <c r="E206" s="31" t="str">
        <f aca="false">IF(R206="","",Reconciliation!E207)</f>
        <v/>
      </c>
      <c r="F206" s="30" t="str">
        <f aca="false">IF(R206="","",Reconciliation!F207)</f>
        <v/>
      </c>
      <c r="G206" s="30" t="str">
        <f aca="false">IF(R206="","",Reconciliation!G207)</f>
        <v/>
      </c>
      <c r="H206" s="30" t="str">
        <f aca="false">IF(R206="","",Reconciliation!H207)</f>
        <v/>
      </c>
      <c r="I206" s="30" t="str">
        <f aca="false">IF(R206="","",Reconciliation!I207)</f>
        <v/>
      </c>
      <c r="J206" s="31" t="str">
        <f aca="false">IF(R206="","",Reconciliation!J207)</f>
        <v/>
      </c>
      <c r="K206" s="30" t="str">
        <f aca="false">IF(R206="","",Reconciliation!K207)</f>
        <v/>
      </c>
      <c r="L206" s="30" t="str">
        <f aca="false">IF(R206="","",Reconciliation!L207)</f>
        <v/>
      </c>
      <c r="M206" s="32" t="str">
        <f aca="false">IF(R206="","",Reconciliation!M207)</f>
        <v/>
      </c>
      <c r="N206" s="32" t="str">
        <f aca="false">IF(R206="","",Reconciliation!N207)</f>
        <v/>
      </c>
      <c r="O206" s="32" t="str">
        <f aca="false">IF(R206="","",Reconciliation!O207)</f>
        <v/>
      </c>
      <c r="P206" s="32" t="str">
        <f aca="false">IF(R206="","",Reconciliation!P207)</f>
        <v/>
      </c>
      <c r="Q206" s="32" t="str">
        <f aca="false">IF(R206="","",Reconciliation!Q207)</f>
        <v/>
      </c>
      <c r="R206" s="33" t="str">
        <f aca="false">IF(OR(Reconciliation!R207="✅ MATCH",Reconciliation!R207=""),"",Reconciliation!R207)</f>
        <v/>
      </c>
    </row>
    <row r="207" customFormat="false" ht="15" hidden="false" customHeight="true" outlineLevel="0" collapsed="false">
      <c r="A207" s="29" t="str">
        <f aca="false">IF(R207="","",Reconciliation!A208)</f>
        <v/>
      </c>
      <c r="B207" s="30" t="str">
        <f aca="false">IF(R207="","",Reconciliation!B208)</f>
        <v/>
      </c>
      <c r="C207" s="30" t="str">
        <f aca="false">IF(R207="","",Reconciliation!C208)</f>
        <v/>
      </c>
      <c r="D207" s="30" t="str">
        <f aca="false">IF(R207="","",Reconciliation!D208)</f>
        <v/>
      </c>
      <c r="E207" s="31" t="str">
        <f aca="false">IF(R207="","",Reconciliation!E208)</f>
        <v/>
      </c>
      <c r="F207" s="30" t="str">
        <f aca="false">IF(R207="","",Reconciliation!F208)</f>
        <v/>
      </c>
      <c r="G207" s="30" t="str">
        <f aca="false">IF(R207="","",Reconciliation!G208)</f>
        <v/>
      </c>
      <c r="H207" s="30" t="str">
        <f aca="false">IF(R207="","",Reconciliation!H208)</f>
        <v/>
      </c>
      <c r="I207" s="30" t="str">
        <f aca="false">IF(R207="","",Reconciliation!I208)</f>
        <v/>
      </c>
      <c r="J207" s="31" t="str">
        <f aca="false">IF(R207="","",Reconciliation!J208)</f>
        <v/>
      </c>
      <c r="K207" s="30" t="str">
        <f aca="false">IF(R207="","",Reconciliation!K208)</f>
        <v/>
      </c>
      <c r="L207" s="30" t="str">
        <f aca="false">IF(R207="","",Reconciliation!L208)</f>
        <v/>
      </c>
      <c r="M207" s="32" t="str">
        <f aca="false">IF(R207="","",Reconciliation!M208)</f>
        <v/>
      </c>
      <c r="N207" s="32" t="str">
        <f aca="false">IF(R207="","",Reconciliation!N208)</f>
        <v/>
      </c>
      <c r="O207" s="32" t="str">
        <f aca="false">IF(R207="","",Reconciliation!O208)</f>
        <v/>
      </c>
      <c r="P207" s="32" t="str">
        <f aca="false">IF(R207="","",Reconciliation!P208)</f>
        <v/>
      </c>
      <c r="Q207" s="32" t="str">
        <f aca="false">IF(R207="","",Reconciliation!Q208)</f>
        <v/>
      </c>
      <c r="R207" s="33" t="str">
        <f aca="false">IF(OR(Reconciliation!R208="✅ MATCH",Reconciliation!R208=""),"",Reconciliation!R208)</f>
        <v/>
      </c>
    </row>
    <row r="208" customFormat="false" ht="15" hidden="false" customHeight="true" outlineLevel="0" collapsed="false">
      <c r="A208" s="29" t="str">
        <f aca="false">IF(R208="","",Reconciliation!A209)</f>
        <v/>
      </c>
      <c r="B208" s="30" t="str">
        <f aca="false">IF(R208="","",Reconciliation!B209)</f>
        <v/>
      </c>
      <c r="C208" s="30" t="str">
        <f aca="false">IF(R208="","",Reconciliation!C209)</f>
        <v/>
      </c>
      <c r="D208" s="30" t="str">
        <f aca="false">IF(R208="","",Reconciliation!D209)</f>
        <v/>
      </c>
      <c r="E208" s="31" t="str">
        <f aca="false">IF(R208="","",Reconciliation!E209)</f>
        <v/>
      </c>
      <c r="F208" s="30" t="str">
        <f aca="false">IF(R208="","",Reconciliation!F209)</f>
        <v/>
      </c>
      <c r="G208" s="30" t="str">
        <f aca="false">IF(R208="","",Reconciliation!G209)</f>
        <v/>
      </c>
      <c r="H208" s="30" t="str">
        <f aca="false">IF(R208="","",Reconciliation!H209)</f>
        <v/>
      </c>
      <c r="I208" s="30" t="str">
        <f aca="false">IF(R208="","",Reconciliation!I209)</f>
        <v/>
      </c>
      <c r="J208" s="31" t="str">
        <f aca="false">IF(R208="","",Reconciliation!J209)</f>
        <v/>
      </c>
      <c r="K208" s="30" t="str">
        <f aca="false">IF(R208="","",Reconciliation!K209)</f>
        <v/>
      </c>
      <c r="L208" s="30" t="str">
        <f aca="false">IF(R208="","",Reconciliation!L209)</f>
        <v/>
      </c>
      <c r="M208" s="32" t="str">
        <f aca="false">IF(R208="","",Reconciliation!M209)</f>
        <v/>
      </c>
      <c r="N208" s="32" t="str">
        <f aca="false">IF(R208="","",Reconciliation!N209)</f>
        <v/>
      </c>
      <c r="O208" s="32" t="str">
        <f aca="false">IF(R208="","",Reconciliation!O209)</f>
        <v/>
      </c>
      <c r="P208" s="32" t="str">
        <f aca="false">IF(R208="","",Reconciliation!P209)</f>
        <v/>
      </c>
      <c r="Q208" s="32" t="str">
        <f aca="false">IF(R208="","",Reconciliation!Q209)</f>
        <v/>
      </c>
      <c r="R208" s="33" t="str">
        <f aca="false">IF(OR(Reconciliation!R209="✅ MATCH",Reconciliation!R209=""),"",Reconciliation!R209)</f>
        <v/>
      </c>
    </row>
    <row r="209" customFormat="false" ht="15" hidden="false" customHeight="true" outlineLevel="0" collapsed="false">
      <c r="A209" s="29" t="str">
        <f aca="false">IF(R209="","",Reconciliation!A210)</f>
        <v/>
      </c>
      <c r="B209" s="30" t="str">
        <f aca="false">IF(R209="","",Reconciliation!B210)</f>
        <v/>
      </c>
      <c r="C209" s="30" t="str">
        <f aca="false">IF(R209="","",Reconciliation!C210)</f>
        <v/>
      </c>
      <c r="D209" s="30" t="str">
        <f aca="false">IF(R209="","",Reconciliation!D210)</f>
        <v/>
      </c>
      <c r="E209" s="31" t="str">
        <f aca="false">IF(R209="","",Reconciliation!E210)</f>
        <v/>
      </c>
      <c r="F209" s="30" t="str">
        <f aca="false">IF(R209="","",Reconciliation!F210)</f>
        <v/>
      </c>
      <c r="G209" s="30" t="str">
        <f aca="false">IF(R209="","",Reconciliation!G210)</f>
        <v/>
      </c>
      <c r="H209" s="30" t="str">
        <f aca="false">IF(R209="","",Reconciliation!H210)</f>
        <v/>
      </c>
      <c r="I209" s="30" t="str">
        <f aca="false">IF(R209="","",Reconciliation!I210)</f>
        <v/>
      </c>
      <c r="J209" s="31" t="str">
        <f aca="false">IF(R209="","",Reconciliation!J210)</f>
        <v/>
      </c>
      <c r="K209" s="30" t="str">
        <f aca="false">IF(R209="","",Reconciliation!K210)</f>
        <v/>
      </c>
      <c r="L209" s="30" t="str">
        <f aca="false">IF(R209="","",Reconciliation!L210)</f>
        <v/>
      </c>
      <c r="M209" s="32" t="str">
        <f aca="false">IF(R209="","",Reconciliation!M210)</f>
        <v/>
      </c>
      <c r="N209" s="32" t="str">
        <f aca="false">IF(R209="","",Reconciliation!N210)</f>
        <v/>
      </c>
      <c r="O209" s="32" t="str">
        <f aca="false">IF(R209="","",Reconciliation!O210)</f>
        <v/>
      </c>
      <c r="P209" s="32" t="str">
        <f aca="false">IF(R209="","",Reconciliation!P210)</f>
        <v/>
      </c>
      <c r="Q209" s="32" t="str">
        <f aca="false">IF(R209="","",Reconciliation!Q210)</f>
        <v/>
      </c>
      <c r="R209" s="33" t="str">
        <f aca="false">IF(OR(Reconciliation!R210="✅ MATCH",Reconciliation!R210=""),"",Reconciliation!R210)</f>
        <v/>
      </c>
    </row>
    <row r="210" customFormat="false" ht="15" hidden="false" customHeight="true" outlineLevel="0" collapsed="false">
      <c r="A210" s="29" t="str">
        <f aca="false">IF(R210="","",Reconciliation!A211)</f>
        <v/>
      </c>
      <c r="B210" s="30" t="str">
        <f aca="false">IF(R210="","",Reconciliation!B211)</f>
        <v/>
      </c>
      <c r="C210" s="30" t="str">
        <f aca="false">IF(R210="","",Reconciliation!C211)</f>
        <v/>
      </c>
      <c r="D210" s="30" t="str">
        <f aca="false">IF(R210="","",Reconciliation!D211)</f>
        <v/>
      </c>
      <c r="E210" s="31" t="str">
        <f aca="false">IF(R210="","",Reconciliation!E211)</f>
        <v/>
      </c>
      <c r="F210" s="30" t="str">
        <f aca="false">IF(R210="","",Reconciliation!F211)</f>
        <v/>
      </c>
      <c r="G210" s="30" t="str">
        <f aca="false">IF(R210="","",Reconciliation!G211)</f>
        <v/>
      </c>
      <c r="H210" s="30" t="str">
        <f aca="false">IF(R210="","",Reconciliation!H211)</f>
        <v/>
      </c>
      <c r="I210" s="30" t="str">
        <f aca="false">IF(R210="","",Reconciliation!I211)</f>
        <v/>
      </c>
      <c r="J210" s="31" t="str">
        <f aca="false">IF(R210="","",Reconciliation!J211)</f>
        <v/>
      </c>
      <c r="K210" s="30" t="str">
        <f aca="false">IF(R210="","",Reconciliation!K211)</f>
        <v/>
      </c>
      <c r="L210" s="30" t="str">
        <f aca="false">IF(R210="","",Reconciliation!L211)</f>
        <v/>
      </c>
      <c r="M210" s="32" t="str">
        <f aca="false">IF(R210="","",Reconciliation!M211)</f>
        <v/>
      </c>
      <c r="N210" s="32" t="str">
        <f aca="false">IF(R210="","",Reconciliation!N211)</f>
        <v/>
      </c>
      <c r="O210" s="32" t="str">
        <f aca="false">IF(R210="","",Reconciliation!O211)</f>
        <v/>
      </c>
      <c r="P210" s="32" t="str">
        <f aca="false">IF(R210="","",Reconciliation!P211)</f>
        <v/>
      </c>
      <c r="Q210" s="32" t="str">
        <f aca="false">IF(R210="","",Reconciliation!Q211)</f>
        <v/>
      </c>
      <c r="R210" s="33" t="str">
        <f aca="false">IF(OR(Reconciliation!R211="✅ MATCH",Reconciliation!R211=""),"",Reconciliation!R211)</f>
        <v/>
      </c>
    </row>
    <row r="211" customFormat="false" ht="15" hidden="false" customHeight="true" outlineLevel="0" collapsed="false">
      <c r="A211" s="29" t="str">
        <f aca="false">IF(R211="","",Reconciliation!A212)</f>
        <v/>
      </c>
      <c r="B211" s="30" t="str">
        <f aca="false">IF(R211="","",Reconciliation!B212)</f>
        <v/>
      </c>
      <c r="C211" s="30" t="str">
        <f aca="false">IF(R211="","",Reconciliation!C212)</f>
        <v/>
      </c>
      <c r="D211" s="30" t="str">
        <f aca="false">IF(R211="","",Reconciliation!D212)</f>
        <v/>
      </c>
      <c r="E211" s="31" t="str">
        <f aca="false">IF(R211="","",Reconciliation!E212)</f>
        <v/>
      </c>
      <c r="F211" s="30" t="str">
        <f aca="false">IF(R211="","",Reconciliation!F212)</f>
        <v/>
      </c>
      <c r="G211" s="30" t="str">
        <f aca="false">IF(R211="","",Reconciliation!G212)</f>
        <v/>
      </c>
      <c r="H211" s="30" t="str">
        <f aca="false">IF(R211="","",Reconciliation!H212)</f>
        <v/>
      </c>
      <c r="I211" s="30" t="str">
        <f aca="false">IF(R211="","",Reconciliation!I212)</f>
        <v/>
      </c>
      <c r="J211" s="31" t="str">
        <f aca="false">IF(R211="","",Reconciliation!J212)</f>
        <v/>
      </c>
      <c r="K211" s="30" t="str">
        <f aca="false">IF(R211="","",Reconciliation!K212)</f>
        <v/>
      </c>
      <c r="L211" s="30" t="str">
        <f aca="false">IF(R211="","",Reconciliation!L212)</f>
        <v/>
      </c>
      <c r="M211" s="32" t="str">
        <f aca="false">IF(R211="","",Reconciliation!M212)</f>
        <v/>
      </c>
      <c r="N211" s="32" t="str">
        <f aca="false">IF(R211="","",Reconciliation!N212)</f>
        <v/>
      </c>
      <c r="O211" s="32" t="str">
        <f aca="false">IF(R211="","",Reconciliation!O212)</f>
        <v/>
      </c>
      <c r="P211" s="32" t="str">
        <f aca="false">IF(R211="","",Reconciliation!P212)</f>
        <v/>
      </c>
      <c r="Q211" s="32" t="str">
        <f aca="false">IF(R211="","",Reconciliation!Q212)</f>
        <v/>
      </c>
      <c r="R211" s="33" t="str">
        <f aca="false">IF(OR(Reconciliation!R212="✅ MATCH",Reconciliation!R212=""),"",Reconciliation!R212)</f>
        <v/>
      </c>
    </row>
    <row r="212" customFormat="false" ht="15" hidden="false" customHeight="true" outlineLevel="0" collapsed="false">
      <c r="A212" s="29" t="str">
        <f aca="false">IF(R212="","",Reconciliation!A213)</f>
        <v/>
      </c>
      <c r="B212" s="30" t="str">
        <f aca="false">IF(R212="","",Reconciliation!B213)</f>
        <v/>
      </c>
      <c r="C212" s="30" t="str">
        <f aca="false">IF(R212="","",Reconciliation!C213)</f>
        <v/>
      </c>
      <c r="D212" s="30" t="str">
        <f aca="false">IF(R212="","",Reconciliation!D213)</f>
        <v/>
      </c>
      <c r="E212" s="31" t="str">
        <f aca="false">IF(R212="","",Reconciliation!E213)</f>
        <v/>
      </c>
      <c r="F212" s="30" t="str">
        <f aca="false">IF(R212="","",Reconciliation!F213)</f>
        <v/>
      </c>
      <c r="G212" s="30" t="str">
        <f aca="false">IF(R212="","",Reconciliation!G213)</f>
        <v/>
      </c>
      <c r="H212" s="30" t="str">
        <f aca="false">IF(R212="","",Reconciliation!H213)</f>
        <v/>
      </c>
      <c r="I212" s="30" t="str">
        <f aca="false">IF(R212="","",Reconciliation!I213)</f>
        <v/>
      </c>
      <c r="J212" s="31" t="str">
        <f aca="false">IF(R212="","",Reconciliation!J213)</f>
        <v/>
      </c>
      <c r="K212" s="30" t="str">
        <f aca="false">IF(R212="","",Reconciliation!K213)</f>
        <v/>
      </c>
      <c r="L212" s="30" t="str">
        <f aca="false">IF(R212="","",Reconciliation!L213)</f>
        <v/>
      </c>
      <c r="M212" s="32" t="str">
        <f aca="false">IF(R212="","",Reconciliation!M213)</f>
        <v/>
      </c>
      <c r="N212" s="32" t="str">
        <f aca="false">IF(R212="","",Reconciliation!N213)</f>
        <v/>
      </c>
      <c r="O212" s="32" t="str">
        <f aca="false">IF(R212="","",Reconciliation!O213)</f>
        <v/>
      </c>
      <c r="P212" s="32" t="str">
        <f aca="false">IF(R212="","",Reconciliation!P213)</f>
        <v/>
      </c>
      <c r="Q212" s="32" t="str">
        <f aca="false">IF(R212="","",Reconciliation!Q213)</f>
        <v/>
      </c>
      <c r="R212" s="33" t="str">
        <f aca="false">IF(OR(Reconciliation!R213="✅ MATCH",Reconciliation!R213=""),"",Reconciliation!R213)</f>
        <v/>
      </c>
    </row>
    <row r="213" customFormat="false" ht="15" hidden="false" customHeight="true" outlineLevel="0" collapsed="false">
      <c r="A213" s="29" t="str">
        <f aca="false">IF(R213="","",Reconciliation!A214)</f>
        <v/>
      </c>
      <c r="B213" s="30" t="str">
        <f aca="false">IF(R213="","",Reconciliation!B214)</f>
        <v/>
      </c>
      <c r="C213" s="30" t="str">
        <f aca="false">IF(R213="","",Reconciliation!C214)</f>
        <v/>
      </c>
      <c r="D213" s="30" t="str">
        <f aca="false">IF(R213="","",Reconciliation!D214)</f>
        <v/>
      </c>
      <c r="E213" s="31" t="str">
        <f aca="false">IF(R213="","",Reconciliation!E214)</f>
        <v/>
      </c>
      <c r="F213" s="30" t="str">
        <f aca="false">IF(R213="","",Reconciliation!F214)</f>
        <v/>
      </c>
      <c r="G213" s="30" t="str">
        <f aca="false">IF(R213="","",Reconciliation!G214)</f>
        <v/>
      </c>
      <c r="H213" s="30" t="str">
        <f aca="false">IF(R213="","",Reconciliation!H214)</f>
        <v/>
      </c>
      <c r="I213" s="30" t="str">
        <f aca="false">IF(R213="","",Reconciliation!I214)</f>
        <v/>
      </c>
      <c r="J213" s="31" t="str">
        <f aca="false">IF(R213="","",Reconciliation!J214)</f>
        <v/>
      </c>
      <c r="K213" s="30" t="str">
        <f aca="false">IF(R213="","",Reconciliation!K214)</f>
        <v/>
      </c>
      <c r="L213" s="30" t="str">
        <f aca="false">IF(R213="","",Reconciliation!L214)</f>
        <v/>
      </c>
      <c r="M213" s="32" t="str">
        <f aca="false">IF(R213="","",Reconciliation!M214)</f>
        <v/>
      </c>
      <c r="N213" s="32" t="str">
        <f aca="false">IF(R213="","",Reconciliation!N214)</f>
        <v/>
      </c>
      <c r="O213" s="32" t="str">
        <f aca="false">IF(R213="","",Reconciliation!O214)</f>
        <v/>
      </c>
      <c r="P213" s="32" t="str">
        <f aca="false">IF(R213="","",Reconciliation!P214)</f>
        <v/>
      </c>
      <c r="Q213" s="32" t="str">
        <f aca="false">IF(R213="","",Reconciliation!Q214)</f>
        <v/>
      </c>
      <c r="R213" s="33" t="str">
        <f aca="false">IF(OR(Reconciliation!R214="✅ MATCH",Reconciliation!R214=""),"",Reconciliation!R214)</f>
        <v/>
      </c>
    </row>
    <row r="214" customFormat="false" ht="15" hidden="false" customHeight="true" outlineLevel="0" collapsed="false">
      <c r="A214" s="29" t="str">
        <f aca="false">IF(R214="","",Reconciliation!A215)</f>
        <v/>
      </c>
      <c r="B214" s="30" t="str">
        <f aca="false">IF(R214="","",Reconciliation!B215)</f>
        <v/>
      </c>
      <c r="C214" s="30" t="str">
        <f aca="false">IF(R214="","",Reconciliation!C215)</f>
        <v/>
      </c>
      <c r="D214" s="30" t="str">
        <f aca="false">IF(R214="","",Reconciliation!D215)</f>
        <v/>
      </c>
      <c r="E214" s="31" t="str">
        <f aca="false">IF(R214="","",Reconciliation!E215)</f>
        <v/>
      </c>
      <c r="F214" s="30" t="str">
        <f aca="false">IF(R214="","",Reconciliation!F215)</f>
        <v/>
      </c>
      <c r="G214" s="30" t="str">
        <f aca="false">IF(R214="","",Reconciliation!G215)</f>
        <v/>
      </c>
      <c r="H214" s="30" t="str">
        <f aca="false">IF(R214="","",Reconciliation!H215)</f>
        <v/>
      </c>
      <c r="I214" s="30" t="str">
        <f aca="false">IF(R214="","",Reconciliation!I215)</f>
        <v/>
      </c>
      <c r="J214" s="31" t="str">
        <f aca="false">IF(R214="","",Reconciliation!J215)</f>
        <v/>
      </c>
      <c r="K214" s="30" t="str">
        <f aca="false">IF(R214="","",Reconciliation!K215)</f>
        <v/>
      </c>
      <c r="L214" s="30" t="str">
        <f aca="false">IF(R214="","",Reconciliation!L215)</f>
        <v/>
      </c>
      <c r="M214" s="32" t="str">
        <f aca="false">IF(R214="","",Reconciliation!M215)</f>
        <v/>
      </c>
      <c r="N214" s="32" t="str">
        <f aca="false">IF(R214="","",Reconciliation!N215)</f>
        <v/>
      </c>
      <c r="O214" s="32" t="str">
        <f aca="false">IF(R214="","",Reconciliation!O215)</f>
        <v/>
      </c>
      <c r="P214" s="32" t="str">
        <f aca="false">IF(R214="","",Reconciliation!P215)</f>
        <v/>
      </c>
      <c r="Q214" s="32" t="str">
        <f aca="false">IF(R214="","",Reconciliation!Q215)</f>
        <v/>
      </c>
      <c r="R214" s="33" t="str">
        <f aca="false">IF(OR(Reconciliation!R215="✅ MATCH",Reconciliation!R215=""),"",Reconciliation!R215)</f>
        <v/>
      </c>
    </row>
    <row r="215" customFormat="false" ht="15" hidden="false" customHeight="true" outlineLevel="0" collapsed="false">
      <c r="A215" s="29" t="str">
        <f aca="false">IF(R215="","",Reconciliation!A216)</f>
        <v/>
      </c>
      <c r="B215" s="30" t="str">
        <f aca="false">IF(R215="","",Reconciliation!B216)</f>
        <v/>
      </c>
      <c r="C215" s="30" t="str">
        <f aca="false">IF(R215="","",Reconciliation!C216)</f>
        <v/>
      </c>
      <c r="D215" s="30" t="str">
        <f aca="false">IF(R215="","",Reconciliation!D216)</f>
        <v/>
      </c>
      <c r="E215" s="31" t="str">
        <f aca="false">IF(R215="","",Reconciliation!E216)</f>
        <v/>
      </c>
      <c r="F215" s="30" t="str">
        <f aca="false">IF(R215="","",Reconciliation!F216)</f>
        <v/>
      </c>
      <c r="G215" s="30" t="str">
        <f aca="false">IF(R215="","",Reconciliation!G216)</f>
        <v/>
      </c>
      <c r="H215" s="30" t="str">
        <f aca="false">IF(R215="","",Reconciliation!H216)</f>
        <v/>
      </c>
      <c r="I215" s="30" t="str">
        <f aca="false">IF(R215="","",Reconciliation!I216)</f>
        <v/>
      </c>
      <c r="J215" s="31" t="str">
        <f aca="false">IF(R215="","",Reconciliation!J216)</f>
        <v/>
      </c>
      <c r="K215" s="30" t="str">
        <f aca="false">IF(R215="","",Reconciliation!K216)</f>
        <v/>
      </c>
      <c r="L215" s="30" t="str">
        <f aca="false">IF(R215="","",Reconciliation!L216)</f>
        <v/>
      </c>
      <c r="M215" s="32" t="str">
        <f aca="false">IF(R215="","",Reconciliation!M216)</f>
        <v/>
      </c>
      <c r="N215" s="32" t="str">
        <f aca="false">IF(R215="","",Reconciliation!N216)</f>
        <v/>
      </c>
      <c r="O215" s="32" t="str">
        <f aca="false">IF(R215="","",Reconciliation!O216)</f>
        <v/>
      </c>
      <c r="P215" s="32" t="str">
        <f aca="false">IF(R215="","",Reconciliation!P216)</f>
        <v/>
      </c>
      <c r="Q215" s="32" t="str">
        <f aca="false">IF(R215="","",Reconciliation!Q216)</f>
        <v/>
      </c>
      <c r="R215" s="33" t="str">
        <f aca="false">IF(OR(Reconciliation!R216="✅ MATCH",Reconciliation!R216=""),"",Reconciliation!R216)</f>
        <v/>
      </c>
    </row>
    <row r="216" customFormat="false" ht="15" hidden="false" customHeight="true" outlineLevel="0" collapsed="false">
      <c r="A216" s="29" t="str">
        <f aca="false">IF(R216="","",Reconciliation!A217)</f>
        <v/>
      </c>
      <c r="B216" s="30" t="str">
        <f aca="false">IF(R216="","",Reconciliation!B217)</f>
        <v/>
      </c>
      <c r="C216" s="30" t="str">
        <f aca="false">IF(R216="","",Reconciliation!C217)</f>
        <v/>
      </c>
      <c r="D216" s="30" t="str">
        <f aca="false">IF(R216="","",Reconciliation!D217)</f>
        <v/>
      </c>
      <c r="E216" s="31" t="str">
        <f aca="false">IF(R216="","",Reconciliation!E217)</f>
        <v/>
      </c>
      <c r="F216" s="30" t="str">
        <f aca="false">IF(R216="","",Reconciliation!F217)</f>
        <v/>
      </c>
      <c r="G216" s="30" t="str">
        <f aca="false">IF(R216="","",Reconciliation!G217)</f>
        <v/>
      </c>
      <c r="H216" s="30" t="str">
        <f aca="false">IF(R216="","",Reconciliation!H217)</f>
        <v/>
      </c>
      <c r="I216" s="30" t="str">
        <f aca="false">IF(R216="","",Reconciliation!I217)</f>
        <v/>
      </c>
      <c r="J216" s="31" t="str">
        <f aca="false">IF(R216="","",Reconciliation!J217)</f>
        <v/>
      </c>
      <c r="K216" s="30" t="str">
        <f aca="false">IF(R216="","",Reconciliation!K217)</f>
        <v/>
      </c>
      <c r="L216" s="30" t="str">
        <f aca="false">IF(R216="","",Reconciliation!L217)</f>
        <v/>
      </c>
      <c r="M216" s="32" t="str">
        <f aca="false">IF(R216="","",Reconciliation!M217)</f>
        <v/>
      </c>
      <c r="N216" s="32" t="str">
        <f aca="false">IF(R216="","",Reconciliation!N217)</f>
        <v/>
      </c>
      <c r="O216" s="32" t="str">
        <f aca="false">IF(R216="","",Reconciliation!O217)</f>
        <v/>
      </c>
      <c r="P216" s="32" t="str">
        <f aca="false">IF(R216="","",Reconciliation!P217)</f>
        <v/>
      </c>
      <c r="Q216" s="32" t="str">
        <f aca="false">IF(R216="","",Reconciliation!Q217)</f>
        <v/>
      </c>
      <c r="R216" s="33" t="str">
        <f aca="false">IF(OR(Reconciliation!R217="✅ MATCH",Reconciliation!R217=""),"",Reconciliation!R217)</f>
        <v/>
      </c>
    </row>
    <row r="217" customFormat="false" ht="15" hidden="false" customHeight="true" outlineLevel="0" collapsed="false">
      <c r="A217" s="29" t="str">
        <f aca="false">IF(R217="","",Reconciliation!A218)</f>
        <v/>
      </c>
      <c r="B217" s="30" t="str">
        <f aca="false">IF(R217="","",Reconciliation!B218)</f>
        <v/>
      </c>
      <c r="C217" s="30" t="str">
        <f aca="false">IF(R217="","",Reconciliation!C218)</f>
        <v/>
      </c>
      <c r="D217" s="30" t="str">
        <f aca="false">IF(R217="","",Reconciliation!D218)</f>
        <v/>
      </c>
      <c r="E217" s="31" t="str">
        <f aca="false">IF(R217="","",Reconciliation!E218)</f>
        <v/>
      </c>
      <c r="F217" s="30" t="str">
        <f aca="false">IF(R217="","",Reconciliation!F218)</f>
        <v/>
      </c>
      <c r="G217" s="30" t="str">
        <f aca="false">IF(R217="","",Reconciliation!G218)</f>
        <v/>
      </c>
      <c r="H217" s="30" t="str">
        <f aca="false">IF(R217="","",Reconciliation!H218)</f>
        <v/>
      </c>
      <c r="I217" s="30" t="str">
        <f aca="false">IF(R217="","",Reconciliation!I218)</f>
        <v/>
      </c>
      <c r="J217" s="31" t="str">
        <f aca="false">IF(R217="","",Reconciliation!J218)</f>
        <v/>
      </c>
      <c r="K217" s="30" t="str">
        <f aca="false">IF(R217="","",Reconciliation!K218)</f>
        <v/>
      </c>
      <c r="L217" s="30" t="str">
        <f aca="false">IF(R217="","",Reconciliation!L218)</f>
        <v/>
      </c>
      <c r="M217" s="32" t="str">
        <f aca="false">IF(R217="","",Reconciliation!M218)</f>
        <v/>
      </c>
      <c r="N217" s="32" t="str">
        <f aca="false">IF(R217="","",Reconciliation!N218)</f>
        <v/>
      </c>
      <c r="O217" s="32" t="str">
        <f aca="false">IF(R217="","",Reconciliation!O218)</f>
        <v/>
      </c>
      <c r="P217" s="32" t="str">
        <f aca="false">IF(R217="","",Reconciliation!P218)</f>
        <v/>
      </c>
      <c r="Q217" s="32" t="str">
        <f aca="false">IF(R217="","",Reconciliation!Q218)</f>
        <v/>
      </c>
      <c r="R217" s="33" t="str">
        <f aca="false">IF(OR(Reconciliation!R218="✅ MATCH",Reconciliation!R218=""),"",Reconciliation!R218)</f>
        <v/>
      </c>
    </row>
    <row r="218" customFormat="false" ht="15" hidden="false" customHeight="true" outlineLevel="0" collapsed="false">
      <c r="A218" s="29" t="str">
        <f aca="false">IF(R218="","",Reconciliation!A219)</f>
        <v/>
      </c>
      <c r="B218" s="30" t="str">
        <f aca="false">IF(R218="","",Reconciliation!B219)</f>
        <v/>
      </c>
      <c r="C218" s="30" t="str">
        <f aca="false">IF(R218="","",Reconciliation!C219)</f>
        <v/>
      </c>
      <c r="D218" s="30" t="str">
        <f aca="false">IF(R218="","",Reconciliation!D219)</f>
        <v/>
      </c>
      <c r="E218" s="31" t="str">
        <f aca="false">IF(R218="","",Reconciliation!E219)</f>
        <v/>
      </c>
      <c r="F218" s="30" t="str">
        <f aca="false">IF(R218="","",Reconciliation!F219)</f>
        <v/>
      </c>
      <c r="G218" s="30" t="str">
        <f aca="false">IF(R218="","",Reconciliation!G219)</f>
        <v/>
      </c>
      <c r="H218" s="30" t="str">
        <f aca="false">IF(R218="","",Reconciliation!H219)</f>
        <v/>
      </c>
      <c r="I218" s="30" t="str">
        <f aca="false">IF(R218="","",Reconciliation!I219)</f>
        <v/>
      </c>
      <c r="J218" s="31" t="str">
        <f aca="false">IF(R218="","",Reconciliation!J219)</f>
        <v/>
      </c>
      <c r="K218" s="30" t="str">
        <f aca="false">IF(R218="","",Reconciliation!K219)</f>
        <v/>
      </c>
      <c r="L218" s="30" t="str">
        <f aca="false">IF(R218="","",Reconciliation!L219)</f>
        <v/>
      </c>
      <c r="M218" s="32" t="str">
        <f aca="false">IF(R218="","",Reconciliation!M219)</f>
        <v/>
      </c>
      <c r="N218" s="32" t="str">
        <f aca="false">IF(R218="","",Reconciliation!N219)</f>
        <v/>
      </c>
      <c r="O218" s="32" t="str">
        <f aca="false">IF(R218="","",Reconciliation!O219)</f>
        <v/>
      </c>
      <c r="P218" s="32" t="str">
        <f aca="false">IF(R218="","",Reconciliation!P219)</f>
        <v/>
      </c>
      <c r="Q218" s="32" t="str">
        <f aca="false">IF(R218="","",Reconciliation!Q219)</f>
        <v/>
      </c>
      <c r="R218" s="33" t="str">
        <f aca="false">IF(OR(Reconciliation!R219="✅ MATCH",Reconciliation!R219=""),"",Reconciliation!R219)</f>
        <v/>
      </c>
    </row>
    <row r="219" customFormat="false" ht="15" hidden="false" customHeight="true" outlineLevel="0" collapsed="false">
      <c r="A219" s="29" t="str">
        <f aca="false">IF(R219="","",Reconciliation!A220)</f>
        <v/>
      </c>
      <c r="B219" s="30" t="str">
        <f aca="false">IF(R219="","",Reconciliation!B220)</f>
        <v/>
      </c>
      <c r="C219" s="30" t="str">
        <f aca="false">IF(R219="","",Reconciliation!C220)</f>
        <v/>
      </c>
      <c r="D219" s="30" t="str">
        <f aca="false">IF(R219="","",Reconciliation!D220)</f>
        <v/>
      </c>
      <c r="E219" s="31" t="str">
        <f aca="false">IF(R219="","",Reconciliation!E220)</f>
        <v/>
      </c>
      <c r="F219" s="30" t="str">
        <f aca="false">IF(R219="","",Reconciliation!F220)</f>
        <v/>
      </c>
      <c r="G219" s="30" t="str">
        <f aca="false">IF(R219="","",Reconciliation!G220)</f>
        <v/>
      </c>
      <c r="H219" s="30" t="str">
        <f aca="false">IF(R219="","",Reconciliation!H220)</f>
        <v/>
      </c>
      <c r="I219" s="30" t="str">
        <f aca="false">IF(R219="","",Reconciliation!I220)</f>
        <v/>
      </c>
      <c r="J219" s="31" t="str">
        <f aca="false">IF(R219="","",Reconciliation!J220)</f>
        <v/>
      </c>
      <c r="K219" s="30" t="str">
        <f aca="false">IF(R219="","",Reconciliation!K220)</f>
        <v/>
      </c>
      <c r="L219" s="30" t="str">
        <f aca="false">IF(R219="","",Reconciliation!L220)</f>
        <v/>
      </c>
      <c r="M219" s="32" t="str">
        <f aca="false">IF(R219="","",Reconciliation!M220)</f>
        <v/>
      </c>
      <c r="N219" s="32" t="str">
        <f aca="false">IF(R219="","",Reconciliation!N220)</f>
        <v/>
      </c>
      <c r="O219" s="32" t="str">
        <f aca="false">IF(R219="","",Reconciliation!O220)</f>
        <v/>
      </c>
      <c r="P219" s="32" t="str">
        <f aca="false">IF(R219="","",Reconciliation!P220)</f>
        <v/>
      </c>
      <c r="Q219" s="32" t="str">
        <f aca="false">IF(R219="","",Reconciliation!Q220)</f>
        <v/>
      </c>
      <c r="R219" s="33" t="str">
        <f aca="false">IF(OR(Reconciliation!R220="✅ MATCH",Reconciliation!R220=""),"",Reconciliation!R220)</f>
        <v/>
      </c>
    </row>
    <row r="220" customFormat="false" ht="15" hidden="false" customHeight="true" outlineLevel="0" collapsed="false">
      <c r="A220" s="29" t="str">
        <f aca="false">IF(R220="","",Reconciliation!A221)</f>
        <v/>
      </c>
      <c r="B220" s="30" t="str">
        <f aca="false">IF(R220="","",Reconciliation!B221)</f>
        <v/>
      </c>
      <c r="C220" s="30" t="str">
        <f aca="false">IF(R220="","",Reconciliation!C221)</f>
        <v/>
      </c>
      <c r="D220" s="30" t="str">
        <f aca="false">IF(R220="","",Reconciliation!D221)</f>
        <v/>
      </c>
      <c r="E220" s="31" t="str">
        <f aca="false">IF(R220="","",Reconciliation!E221)</f>
        <v/>
      </c>
      <c r="F220" s="30" t="str">
        <f aca="false">IF(R220="","",Reconciliation!F221)</f>
        <v/>
      </c>
      <c r="G220" s="30" t="str">
        <f aca="false">IF(R220="","",Reconciliation!G221)</f>
        <v/>
      </c>
      <c r="H220" s="30" t="str">
        <f aca="false">IF(R220="","",Reconciliation!H221)</f>
        <v/>
      </c>
      <c r="I220" s="30" t="str">
        <f aca="false">IF(R220="","",Reconciliation!I221)</f>
        <v/>
      </c>
      <c r="J220" s="31" t="str">
        <f aca="false">IF(R220="","",Reconciliation!J221)</f>
        <v/>
      </c>
      <c r="K220" s="30" t="str">
        <f aca="false">IF(R220="","",Reconciliation!K221)</f>
        <v/>
      </c>
      <c r="L220" s="30" t="str">
        <f aca="false">IF(R220="","",Reconciliation!L221)</f>
        <v/>
      </c>
      <c r="M220" s="32" t="str">
        <f aca="false">IF(R220="","",Reconciliation!M221)</f>
        <v/>
      </c>
      <c r="N220" s="32" t="str">
        <f aca="false">IF(R220="","",Reconciliation!N221)</f>
        <v/>
      </c>
      <c r="O220" s="32" t="str">
        <f aca="false">IF(R220="","",Reconciliation!O221)</f>
        <v/>
      </c>
      <c r="P220" s="32" t="str">
        <f aca="false">IF(R220="","",Reconciliation!P221)</f>
        <v/>
      </c>
      <c r="Q220" s="32" t="str">
        <f aca="false">IF(R220="","",Reconciliation!Q221)</f>
        <v/>
      </c>
      <c r="R220" s="33" t="str">
        <f aca="false">IF(OR(Reconciliation!R221="✅ MATCH",Reconciliation!R221=""),"",Reconciliation!R221)</f>
        <v/>
      </c>
    </row>
    <row r="221" customFormat="false" ht="15" hidden="false" customHeight="true" outlineLevel="0" collapsed="false">
      <c r="A221" s="29" t="str">
        <f aca="false">IF(R221="","",Reconciliation!A222)</f>
        <v/>
      </c>
      <c r="B221" s="30" t="str">
        <f aca="false">IF(R221="","",Reconciliation!B222)</f>
        <v/>
      </c>
      <c r="C221" s="30" t="str">
        <f aca="false">IF(R221="","",Reconciliation!C222)</f>
        <v/>
      </c>
      <c r="D221" s="30" t="str">
        <f aca="false">IF(R221="","",Reconciliation!D222)</f>
        <v/>
      </c>
      <c r="E221" s="31" t="str">
        <f aca="false">IF(R221="","",Reconciliation!E222)</f>
        <v/>
      </c>
      <c r="F221" s="30" t="str">
        <f aca="false">IF(R221="","",Reconciliation!F222)</f>
        <v/>
      </c>
      <c r="G221" s="30" t="str">
        <f aca="false">IF(R221="","",Reconciliation!G222)</f>
        <v/>
      </c>
      <c r="H221" s="30" t="str">
        <f aca="false">IF(R221="","",Reconciliation!H222)</f>
        <v/>
      </c>
      <c r="I221" s="30" t="str">
        <f aca="false">IF(R221="","",Reconciliation!I222)</f>
        <v/>
      </c>
      <c r="J221" s="31" t="str">
        <f aca="false">IF(R221="","",Reconciliation!J222)</f>
        <v/>
      </c>
      <c r="K221" s="30" t="str">
        <f aca="false">IF(R221="","",Reconciliation!K222)</f>
        <v/>
      </c>
      <c r="L221" s="30" t="str">
        <f aca="false">IF(R221="","",Reconciliation!L222)</f>
        <v/>
      </c>
      <c r="M221" s="32" t="str">
        <f aca="false">IF(R221="","",Reconciliation!M222)</f>
        <v/>
      </c>
      <c r="N221" s="32" t="str">
        <f aca="false">IF(R221="","",Reconciliation!N222)</f>
        <v/>
      </c>
      <c r="O221" s="32" t="str">
        <f aca="false">IF(R221="","",Reconciliation!O222)</f>
        <v/>
      </c>
      <c r="P221" s="32" t="str">
        <f aca="false">IF(R221="","",Reconciliation!P222)</f>
        <v/>
      </c>
      <c r="Q221" s="32" t="str">
        <f aca="false">IF(R221="","",Reconciliation!Q222)</f>
        <v/>
      </c>
      <c r="R221" s="33" t="str">
        <f aca="false">IF(OR(Reconciliation!R222="✅ MATCH",Reconciliation!R222=""),"",Reconciliation!R222)</f>
        <v/>
      </c>
    </row>
    <row r="222" customFormat="false" ht="15" hidden="false" customHeight="true" outlineLevel="0" collapsed="false">
      <c r="A222" s="29" t="str">
        <f aca="false">IF(R222="","",Reconciliation!A223)</f>
        <v/>
      </c>
      <c r="B222" s="30" t="str">
        <f aca="false">IF(R222="","",Reconciliation!B223)</f>
        <v/>
      </c>
      <c r="C222" s="30" t="str">
        <f aca="false">IF(R222="","",Reconciliation!C223)</f>
        <v/>
      </c>
      <c r="D222" s="30" t="str">
        <f aca="false">IF(R222="","",Reconciliation!D223)</f>
        <v/>
      </c>
      <c r="E222" s="31" t="str">
        <f aca="false">IF(R222="","",Reconciliation!E223)</f>
        <v/>
      </c>
      <c r="F222" s="30" t="str">
        <f aca="false">IF(R222="","",Reconciliation!F223)</f>
        <v/>
      </c>
      <c r="G222" s="30" t="str">
        <f aca="false">IF(R222="","",Reconciliation!G223)</f>
        <v/>
      </c>
      <c r="H222" s="30" t="str">
        <f aca="false">IF(R222="","",Reconciliation!H223)</f>
        <v/>
      </c>
      <c r="I222" s="30" t="str">
        <f aca="false">IF(R222="","",Reconciliation!I223)</f>
        <v/>
      </c>
      <c r="J222" s="31" t="str">
        <f aca="false">IF(R222="","",Reconciliation!J223)</f>
        <v/>
      </c>
      <c r="K222" s="30" t="str">
        <f aca="false">IF(R222="","",Reconciliation!K223)</f>
        <v/>
      </c>
      <c r="L222" s="30" t="str">
        <f aca="false">IF(R222="","",Reconciliation!L223)</f>
        <v/>
      </c>
      <c r="M222" s="32" t="str">
        <f aca="false">IF(R222="","",Reconciliation!M223)</f>
        <v/>
      </c>
      <c r="N222" s="32" t="str">
        <f aca="false">IF(R222="","",Reconciliation!N223)</f>
        <v/>
      </c>
      <c r="O222" s="32" t="str">
        <f aca="false">IF(R222="","",Reconciliation!O223)</f>
        <v/>
      </c>
      <c r="P222" s="32" t="str">
        <f aca="false">IF(R222="","",Reconciliation!P223)</f>
        <v/>
      </c>
      <c r="Q222" s="32" t="str">
        <f aca="false">IF(R222="","",Reconciliation!Q223)</f>
        <v/>
      </c>
      <c r="R222" s="33" t="str">
        <f aca="false">IF(OR(Reconciliation!R223="✅ MATCH",Reconciliation!R223=""),"",Reconciliation!R223)</f>
        <v/>
      </c>
    </row>
    <row r="223" customFormat="false" ht="15" hidden="false" customHeight="true" outlineLevel="0" collapsed="false">
      <c r="A223" s="29" t="str">
        <f aca="false">IF(R223="","",Reconciliation!A224)</f>
        <v/>
      </c>
      <c r="B223" s="30" t="str">
        <f aca="false">IF(R223="","",Reconciliation!B224)</f>
        <v/>
      </c>
      <c r="C223" s="30" t="str">
        <f aca="false">IF(R223="","",Reconciliation!C224)</f>
        <v/>
      </c>
      <c r="D223" s="30" t="str">
        <f aca="false">IF(R223="","",Reconciliation!D224)</f>
        <v/>
      </c>
      <c r="E223" s="31" t="str">
        <f aca="false">IF(R223="","",Reconciliation!E224)</f>
        <v/>
      </c>
      <c r="F223" s="30" t="str">
        <f aca="false">IF(R223="","",Reconciliation!F224)</f>
        <v/>
      </c>
      <c r="G223" s="30" t="str">
        <f aca="false">IF(R223="","",Reconciliation!G224)</f>
        <v/>
      </c>
      <c r="H223" s="30" t="str">
        <f aca="false">IF(R223="","",Reconciliation!H224)</f>
        <v/>
      </c>
      <c r="I223" s="30" t="str">
        <f aca="false">IF(R223="","",Reconciliation!I224)</f>
        <v/>
      </c>
      <c r="J223" s="31" t="str">
        <f aca="false">IF(R223="","",Reconciliation!J224)</f>
        <v/>
      </c>
      <c r="K223" s="30" t="str">
        <f aca="false">IF(R223="","",Reconciliation!K224)</f>
        <v/>
      </c>
      <c r="L223" s="30" t="str">
        <f aca="false">IF(R223="","",Reconciliation!L224)</f>
        <v/>
      </c>
      <c r="M223" s="32" t="str">
        <f aca="false">IF(R223="","",Reconciliation!M224)</f>
        <v/>
      </c>
      <c r="N223" s="32" t="str">
        <f aca="false">IF(R223="","",Reconciliation!N224)</f>
        <v/>
      </c>
      <c r="O223" s="32" t="str">
        <f aca="false">IF(R223="","",Reconciliation!O224)</f>
        <v/>
      </c>
      <c r="P223" s="32" t="str">
        <f aca="false">IF(R223="","",Reconciliation!P224)</f>
        <v/>
      </c>
      <c r="Q223" s="32" t="str">
        <f aca="false">IF(R223="","",Reconciliation!Q224)</f>
        <v/>
      </c>
      <c r="R223" s="33" t="str">
        <f aca="false">IF(OR(Reconciliation!R224="✅ MATCH",Reconciliation!R224=""),"",Reconciliation!R224)</f>
        <v/>
      </c>
    </row>
    <row r="224" customFormat="false" ht="15" hidden="false" customHeight="true" outlineLevel="0" collapsed="false">
      <c r="A224" s="29" t="str">
        <f aca="false">IF(R224="","",Reconciliation!A225)</f>
        <v/>
      </c>
      <c r="B224" s="30" t="str">
        <f aca="false">IF(R224="","",Reconciliation!B225)</f>
        <v/>
      </c>
      <c r="C224" s="30" t="str">
        <f aca="false">IF(R224="","",Reconciliation!C225)</f>
        <v/>
      </c>
      <c r="D224" s="30" t="str">
        <f aca="false">IF(R224="","",Reconciliation!D225)</f>
        <v/>
      </c>
      <c r="E224" s="31" t="str">
        <f aca="false">IF(R224="","",Reconciliation!E225)</f>
        <v/>
      </c>
      <c r="F224" s="30" t="str">
        <f aca="false">IF(R224="","",Reconciliation!F225)</f>
        <v/>
      </c>
      <c r="G224" s="30" t="str">
        <f aca="false">IF(R224="","",Reconciliation!G225)</f>
        <v/>
      </c>
      <c r="H224" s="30" t="str">
        <f aca="false">IF(R224="","",Reconciliation!H225)</f>
        <v/>
      </c>
      <c r="I224" s="30" t="str">
        <f aca="false">IF(R224="","",Reconciliation!I225)</f>
        <v/>
      </c>
      <c r="J224" s="31" t="str">
        <f aca="false">IF(R224="","",Reconciliation!J225)</f>
        <v/>
      </c>
      <c r="K224" s="30" t="str">
        <f aca="false">IF(R224="","",Reconciliation!K225)</f>
        <v/>
      </c>
      <c r="L224" s="30" t="str">
        <f aca="false">IF(R224="","",Reconciliation!L225)</f>
        <v/>
      </c>
      <c r="M224" s="32" t="str">
        <f aca="false">IF(R224="","",Reconciliation!M225)</f>
        <v/>
      </c>
      <c r="N224" s="32" t="str">
        <f aca="false">IF(R224="","",Reconciliation!N225)</f>
        <v/>
      </c>
      <c r="O224" s="32" t="str">
        <f aca="false">IF(R224="","",Reconciliation!O225)</f>
        <v/>
      </c>
      <c r="P224" s="32" t="str">
        <f aca="false">IF(R224="","",Reconciliation!P225)</f>
        <v/>
      </c>
      <c r="Q224" s="32" t="str">
        <f aca="false">IF(R224="","",Reconciliation!Q225)</f>
        <v/>
      </c>
      <c r="R224" s="33" t="str">
        <f aca="false">IF(OR(Reconciliation!R225="✅ MATCH",Reconciliation!R225=""),"",Reconciliation!R225)</f>
        <v/>
      </c>
    </row>
    <row r="225" customFormat="false" ht="15" hidden="false" customHeight="true" outlineLevel="0" collapsed="false">
      <c r="A225" s="29" t="str">
        <f aca="false">IF(R225="","",Reconciliation!A226)</f>
        <v/>
      </c>
      <c r="B225" s="30" t="str">
        <f aca="false">IF(R225="","",Reconciliation!B226)</f>
        <v/>
      </c>
      <c r="C225" s="30" t="str">
        <f aca="false">IF(R225="","",Reconciliation!C226)</f>
        <v/>
      </c>
      <c r="D225" s="30" t="str">
        <f aca="false">IF(R225="","",Reconciliation!D226)</f>
        <v/>
      </c>
      <c r="E225" s="31" t="str">
        <f aca="false">IF(R225="","",Reconciliation!E226)</f>
        <v/>
      </c>
      <c r="F225" s="30" t="str">
        <f aca="false">IF(R225="","",Reconciliation!F226)</f>
        <v/>
      </c>
      <c r="G225" s="30" t="str">
        <f aca="false">IF(R225="","",Reconciliation!G226)</f>
        <v/>
      </c>
      <c r="H225" s="30" t="str">
        <f aca="false">IF(R225="","",Reconciliation!H226)</f>
        <v/>
      </c>
      <c r="I225" s="30" t="str">
        <f aca="false">IF(R225="","",Reconciliation!I226)</f>
        <v/>
      </c>
      <c r="J225" s="31" t="str">
        <f aca="false">IF(R225="","",Reconciliation!J226)</f>
        <v/>
      </c>
      <c r="K225" s="30" t="str">
        <f aca="false">IF(R225="","",Reconciliation!K226)</f>
        <v/>
      </c>
      <c r="L225" s="30" t="str">
        <f aca="false">IF(R225="","",Reconciliation!L226)</f>
        <v/>
      </c>
      <c r="M225" s="32" t="str">
        <f aca="false">IF(R225="","",Reconciliation!M226)</f>
        <v/>
      </c>
      <c r="N225" s="32" t="str">
        <f aca="false">IF(R225="","",Reconciliation!N226)</f>
        <v/>
      </c>
      <c r="O225" s="32" t="str">
        <f aca="false">IF(R225="","",Reconciliation!O226)</f>
        <v/>
      </c>
      <c r="P225" s="32" t="str">
        <f aca="false">IF(R225="","",Reconciliation!P226)</f>
        <v/>
      </c>
      <c r="Q225" s="32" t="str">
        <f aca="false">IF(R225="","",Reconciliation!Q226)</f>
        <v/>
      </c>
      <c r="R225" s="33" t="str">
        <f aca="false">IF(OR(Reconciliation!R226="✅ MATCH",Reconciliation!R226=""),"",Reconciliation!R226)</f>
        <v/>
      </c>
    </row>
    <row r="226" customFormat="false" ht="15" hidden="false" customHeight="true" outlineLevel="0" collapsed="false">
      <c r="A226" s="29" t="str">
        <f aca="false">IF(R226="","",Reconciliation!A227)</f>
        <v/>
      </c>
      <c r="B226" s="30" t="str">
        <f aca="false">IF(R226="","",Reconciliation!B227)</f>
        <v/>
      </c>
      <c r="C226" s="30" t="str">
        <f aca="false">IF(R226="","",Reconciliation!C227)</f>
        <v/>
      </c>
      <c r="D226" s="30" t="str">
        <f aca="false">IF(R226="","",Reconciliation!D227)</f>
        <v/>
      </c>
      <c r="E226" s="31" t="str">
        <f aca="false">IF(R226="","",Reconciliation!E227)</f>
        <v/>
      </c>
      <c r="F226" s="30" t="str">
        <f aca="false">IF(R226="","",Reconciliation!F227)</f>
        <v/>
      </c>
      <c r="G226" s="30" t="str">
        <f aca="false">IF(R226="","",Reconciliation!G227)</f>
        <v/>
      </c>
      <c r="H226" s="30" t="str">
        <f aca="false">IF(R226="","",Reconciliation!H227)</f>
        <v/>
      </c>
      <c r="I226" s="30" t="str">
        <f aca="false">IF(R226="","",Reconciliation!I227)</f>
        <v/>
      </c>
      <c r="J226" s="31" t="str">
        <f aca="false">IF(R226="","",Reconciliation!J227)</f>
        <v/>
      </c>
      <c r="K226" s="30" t="str">
        <f aca="false">IF(R226="","",Reconciliation!K227)</f>
        <v/>
      </c>
      <c r="L226" s="30" t="str">
        <f aca="false">IF(R226="","",Reconciliation!L227)</f>
        <v/>
      </c>
      <c r="M226" s="32" t="str">
        <f aca="false">IF(R226="","",Reconciliation!M227)</f>
        <v/>
      </c>
      <c r="N226" s="32" t="str">
        <f aca="false">IF(R226="","",Reconciliation!N227)</f>
        <v/>
      </c>
      <c r="O226" s="32" t="str">
        <f aca="false">IF(R226="","",Reconciliation!O227)</f>
        <v/>
      </c>
      <c r="P226" s="32" t="str">
        <f aca="false">IF(R226="","",Reconciliation!P227)</f>
        <v/>
      </c>
      <c r="Q226" s="32" t="str">
        <f aca="false">IF(R226="","",Reconciliation!Q227)</f>
        <v/>
      </c>
      <c r="R226" s="33" t="str">
        <f aca="false">IF(OR(Reconciliation!R227="✅ MATCH",Reconciliation!R227=""),"",Reconciliation!R227)</f>
        <v/>
      </c>
    </row>
    <row r="227" customFormat="false" ht="15" hidden="false" customHeight="true" outlineLevel="0" collapsed="false">
      <c r="A227" s="29" t="str">
        <f aca="false">IF(R227="","",Reconciliation!A228)</f>
        <v/>
      </c>
      <c r="B227" s="30" t="str">
        <f aca="false">IF(R227="","",Reconciliation!B228)</f>
        <v/>
      </c>
      <c r="C227" s="30" t="str">
        <f aca="false">IF(R227="","",Reconciliation!C228)</f>
        <v/>
      </c>
      <c r="D227" s="30" t="str">
        <f aca="false">IF(R227="","",Reconciliation!D228)</f>
        <v/>
      </c>
      <c r="E227" s="31" t="str">
        <f aca="false">IF(R227="","",Reconciliation!E228)</f>
        <v/>
      </c>
      <c r="F227" s="30" t="str">
        <f aca="false">IF(R227="","",Reconciliation!F228)</f>
        <v/>
      </c>
      <c r="G227" s="30" t="str">
        <f aca="false">IF(R227="","",Reconciliation!G228)</f>
        <v/>
      </c>
      <c r="H227" s="30" t="str">
        <f aca="false">IF(R227="","",Reconciliation!H228)</f>
        <v/>
      </c>
      <c r="I227" s="30" t="str">
        <f aca="false">IF(R227="","",Reconciliation!I228)</f>
        <v/>
      </c>
      <c r="J227" s="31" t="str">
        <f aca="false">IF(R227="","",Reconciliation!J228)</f>
        <v/>
      </c>
      <c r="K227" s="30" t="str">
        <f aca="false">IF(R227="","",Reconciliation!K228)</f>
        <v/>
      </c>
      <c r="L227" s="30" t="str">
        <f aca="false">IF(R227="","",Reconciliation!L228)</f>
        <v/>
      </c>
      <c r="M227" s="32" t="str">
        <f aca="false">IF(R227="","",Reconciliation!M228)</f>
        <v/>
      </c>
      <c r="N227" s="32" t="str">
        <f aca="false">IF(R227="","",Reconciliation!N228)</f>
        <v/>
      </c>
      <c r="O227" s="32" t="str">
        <f aca="false">IF(R227="","",Reconciliation!O228)</f>
        <v/>
      </c>
      <c r="P227" s="32" t="str">
        <f aca="false">IF(R227="","",Reconciliation!P228)</f>
        <v/>
      </c>
      <c r="Q227" s="32" t="str">
        <f aca="false">IF(R227="","",Reconciliation!Q228)</f>
        <v/>
      </c>
      <c r="R227" s="33" t="str">
        <f aca="false">IF(OR(Reconciliation!R228="✅ MATCH",Reconciliation!R228=""),"",Reconciliation!R228)</f>
        <v/>
      </c>
    </row>
    <row r="228" customFormat="false" ht="15" hidden="false" customHeight="true" outlineLevel="0" collapsed="false">
      <c r="A228" s="29" t="str">
        <f aca="false">IF(R228="","",Reconciliation!A229)</f>
        <v/>
      </c>
      <c r="B228" s="30" t="str">
        <f aca="false">IF(R228="","",Reconciliation!B229)</f>
        <v/>
      </c>
      <c r="C228" s="30" t="str">
        <f aca="false">IF(R228="","",Reconciliation!C229)</f>
        <v/>
      </c>
      <c r="D228" s="30" t="str">
        <f aca="false">IF(R228="","",Reconciliation!D229)</f>
        <v/>
      </c>
      <c r="E228" s="31" t="str">
        <f aca="false">IF(R228="","",Reconciliation!E229)</f>
        <v/>
      </c>
      <c r="F228" s="30" t="str">
        <f aca="false">IF(R228="","",Reconciliation!F229)</f>
        <v/>
      </c>
      <c r="G228" s="30" t="str">
        <f aca="false">IF(R228="","",Reconciliation!G229)</f>
        <v/>
      </c>
      <c r="H228" s="30" t="str">
        <f aca="false">IF(R228="","",Reconciliation!H229)</f>
        <v/>
      </c>
      <c r="I228" s="30" t="str">
        <f aca="false">IF(R228="","",Reconciliation!I229)</f>
        <v/>
      </c>
      <c r="J228" s="31" t="str">
        <f aca="false">IF(R228="","",Reconciliation!J229)</f>
        <v/>
      </c>
      <c r="K228" s="30" t="str">
        <f aca="false">IF(R228="","",Reconciliation!K229)</f>
        <v/>
      </c>
      <c r="L228" s="30" t="str">
        <f aca="false">IF(R228="","",Reconciliation!L229)</f>
        <v/>
      </c>
      <c r="M228" s="32" t="str">
        <f aca="false">IF(R228="","",Reconciliation!M229)</f>
        <v/>
      </c>
      <c r="N228" s="32" t="str">
        <f aca="false">IF(R228="","",Reconciliation!N229)</f>
        <v/>
      </c>
      <c r="O228" s="32" t="str">
        <f aca="false">IF(R228="","",Reconciliation!O229)</f>
        <v/>
      </c>
      <c r="P228" s="32" t="str">
        <f aca="false">IF(R228="","",Reconciliation!P229)</f>
        <v/>
      </c>
      <c r="Q228" s="32" t="str">
        <f aca="false">IF(R228="","",Reconciliation!Q229)</f>
        <v/>
      </c>
      <c r="R228" s="33" t="str">
        <f aca="false">IF(OR(Reconciliation!R229="✅ MATCH",Reconciliation!R229=""),"",Reconciliation!R229)</f>
        <v/>
      </c>
    </row>
    <row r="229" customFormat="false" ht="15" hidden="false" customHeight="true" outlineLevel="0" collapsed="false">
      <c r="A229" s="29" t="str">
        <f aca="false">IF(R229="","",Reconciliation!A230)</f>
        <v/>
      </c>
      <c r="B229" s="30" t="str">
        <f aca="false">IF(R229="","",Reconciliation!B230)</f>
        <v/>
      </c>
      <c r="C229" s="30" t="str">
        <f aca="false">IF(R229="","",Reconciliation!C230)</f>
        <v/>
      </c>
      <c r="D229" s="30" t="str">
        <f aca="false">IF(R229="","",Reconciliation!D230)</f>
        <v/>
      </c>
      <c r="E229" s="31" t="str">
        <f aca="false">IF(R229="","",Reconciliation!E230)</f>
        <v/>
      </c>
      <c r="F229" s="30" t="str">
        <f aca="false">IF(R229="","",Reconciliation!F230)</f>
        <v/>
      </c>
      <c r="G229" s="30" t="str">
        <f aca="false">IF(R229="","",Reconciliation!G230)</f>
        <v/>
      </c>
      <c r="H229" s="30" t="str">
        <f aca="false">IF(R229="","",Reconciliation!H230)</f>
        <v/>
      </c>
      <c r="I229" s="30" t="str">
        <f aca="false">IF(R229="","",Reconciliation!I230)</f>
        <v/>
      </c>
      <c r="J229" s="31" t="str">
        <f aca="false">IF(R229="","",Reconciliation!J230)</f>
        <v/>
      </c>
      <c r="K229" s="30" t="str">
        <f aca="false">IF(R229="","",Reconciliation!K230)</f>
        <v/>
      </c>
      <c r="L229" s="30" t="str">
        <f aca="false">IF(R229="","",Reconciliation!L230)</f>
        <v/>
      </c>
      <c r="M229" s="32" t="str">
        <f aca="false">IF(R229="","",Reconciliation!M230)</f>
        <v/>
      </c>
      <c r="N229" s="32" t="str">
        <f aca="false">IF(R229="","",Reconciliation!N230)</f>
        <v/>
      </c>
      <c r="O229" s="32" t="str">
        <f aca="false">IF(R229="","",Reconciliation!O230)</f>
        <v/>
      </c>
      <c r="P229" s="32" t="str">
        <f aca="false">IF(R229="","",Reconciliation!P230)</f>
        <v/>
      </c>
      <c r="Q229" s="32" t="str">
        <f aca="false">IF(R229="","",Reconciliation!Q230)</f>
        <v/>
      </c>
      <c r="R229" s="33" t="str">
        <f aca="false">IF(OR(Reconciliation!R230="✅ MATCH",Reconciliation!R230=""),"",Reconciliation!R230)</f>
        <v/>
      </c>
    </row>
    <row r="230" customFormat="false" ht="15" hidden="false" customHeight="true" outlineLevel="0" collapsed="false">
      <c r="A230" s="29" t="str">
        <f aca="false">IF(R230="","",Reconciliation!A231)</f>
        <v/>
      </c>
      <c r="B230" s="30" t="str">
        <f aca="false">IF(R230="","",Reconciliation!B231)</f>
        <v/>
      </c>
      <c r="C230" s="30" t="str">
        <f aca="false">IF(R230="","",Reconciliation!C231)</f>
        <v/>
      </c>
      <c r="D230" s="30" t="str">
        <f aca="false">IF(R230="","",Reconciliation!D231)</f>
        <v/>
      </c>
      <c r="E230" s="31" t="str">
        <f aca="false">IF(R230="","",Reconciliation!E231)</f>
        <v/>
      </c>
      <c r="F230" s="30" t="str">
        <f aca="false">IF(R230="","",Reconciliation!F231)</f>
        <v/>
      </c>
      <c r="G230" s="30" t="str">
        <f aca="false">IF(R230="","",Reconciliation!G231)</f>
        <v/>
      </c>
      <c r="H230" s="30" t="str">
        <f aca="false">IF(R230="","",Reconciliation!H231)</f>
        <v/>
      </c>
      <c r="I230" s="30" t="str">
        <f aca="false">IF(R230="","",Reconciliation!I231)</f>
        <v/>
      </c>
      <c r="J230" s="31" t="str">
        <f aca="false">IF(R230="","",Reconciliation!J231)</f>
        <v/>
      </c>
      <c r="K230" s="30" t="str">
        <f aca="false">IF(R230="","",Reconciliation!K231)</f>
        <v/>
      </c>
      <c r="L230" s="30" t="str">
        <f aca="false">IF(R230="","",Reconciliation!L231)</f>
        <v/>
      </c>
      <c r="M230" s="32" t="str">
        <f aca="false">IF(R230="","",Reconciliation!M231)</f>
        <v/>
      </c>
      <c r="N230" s="32" t="str">
        <f aca="false">IF(R230="","",Reconciliation!N231)</f>
        <v/>
      </c>
      <c r="O230" s="32" t="str">
        <f aca="false">IF(R230="","",Reconciliation!O231)</f>
        <v/>
      </c>
      <c r="P230" s="32" t="str">
        <f aca="false">IF(R230="","",Reconciliation!P231)</f>
        <v/>
      </c>
      <c r="Q230" s="32" t="str">
        <f aca="false">IF(R230="","",Reconciliation!Q231)</f>
        <v/>
      </c>
      <c r="R230" s="33" t="str">
        <f aca="false">IF(OR(Reconciliation!R231="✅ MATCH",Reconciliation!R231=""),"",Reconciliation!R231)</f>
        <v/>
      </c>
    </row>
    <row r="231" customFormat="false" ht="15" hidden="false" customHeight="true" outlineLevel="0" collapsed="false">
      <c r="A231" s="29" t="str">
        <f aca="false">IF(R231="","",Reconciliation!A232)</f>
        <v/>
      </c>
      <c r="B231" s="30" t="str">
        <f aca="false">IF(R231="","",Reconciliation!B232)</f>
        <v/>
      </c>
      <c r="C231" s="30" t="str">
        <f aca="false">IF(R231="","",Reconciliation!C232)</f>
        <v/>
      </c>
      <c r="D231" s="30" t="str">
        <f aca="false">IF(R231="","",Reconciliation!D232)</f>
        <v/>
      </c>
      <c r="E231" s="31" t="str">
        <f aca="false">IF(R231="","",Reconciliation!E232)</f>
        <v/>
      </c>
      <c r="F231" s="30" t="str">
        <f aca="false">IF(R231="","",Reconciliation!F232)</f>
        <v/>
      </c>
      <c r="G231" s="30" t="str">
        <f aca="false">IF(R231="","",Reconciliation!G232)</f>
        <v/>
      </c>
      <c r="H231" s="30" t="str">
        <f aca="false">IF(R231="","",Reconciliation!H232)</f>
        <v/>
      </c>
      <c r="I231" s="30" t="str">
        <f aca="false">IF(R231="","",Reconciliation!I232)</f>
        <v/>
      </c>
      <c r="J231" s="31" t="str">
        <f aca="false">IF(R231="","",Reconciliation!J232)</f>
        <v/>
      </c>
      <c r="K231" s="30" t="str">
        <f aca="false">IF(R231="","",Reconciliation!K232)</f>
        <v/>
      </c>
      <c r="L231" s="30" t="str">
        <f aca="false">IF(R231="","",Reconciliation!L232)</f>
        <v/>
      </c>
      <c r="M231" s="32" t="str">
        <f aca="false">IF(R231="","",Reconciliation!M232)</f>
        <v/>
      </c>
      <c r="N231" s="32" t="str">
        <f aca="false">IF(R231="","",Reconciliation!N232)</f>
        <v/>
      </c>
      <c r="O231" s="32" t="str">
        <f aca="false">IF(R231="","",Reconciliation!O232)</f>
        <v/>
      </c>
      <c r="P231" s="32" t="str">
        <f aca="false">IF(R231="","",Reconciliation!P232)</f>
        <v/>
      </c>
      <c r="Q231" s="32" t="str">
        <f aca="false">IF(R231="","",Reconciliation!Q232)</f>
        <v/>
      </c>
      <c r="R231" s="33" t="str">
        <f aca="false">IF(OR(Reconciliation!R232="✅ MATCH",Reconciliation!R232=""),"",Reconciliation!R232)</f>
        <v/>
      </c>
    </row>
    <row r="232" customFormat="false" ht="15" hidden="false" customHeight="true" outlineLevel="0" collapsed="false">
      <c r="A232" s="29" t="str">
        <f aca="false">IF(R232="","",Reconciliation!A233)</f>
        <v/>
      </c>
      <c r="B232" s="30" t="str">
        <f aca="false">IF(R232="","",Reconciliation!B233)</f>
        <v/>
      </c>
      <c r="C232" s="30" t="str">
        <f aca="false">IF(R232="","",Reconciliation!C233)</f>
        <v/>
      </c>
      <c r="D232" s="30" t="str">
        <f aca="false">IF(R232="","",Reconciliation!D233)</f>
        <v/>
      </c>
      <c r="E232" s="31" t="str">
        <f aca="false">IF(R232="","",Reconciliation!E233)</f>
        <v/>
      </c>
      <c r="F232" s="30" t="str">
        <f aca="false">IF(R232="","",Reconciliation!F233)</f>
        <v/>
      </c>
      <c r="G232" s="30" t="str">
        <f aca="false">IF(R232="","",Reconciliation!G233)</f>
        <v/>
      </c>
      <c r="H232" s="30" t="str">
        <f aca="false">IF(R232="","",Reconciliation!H233)</f>
        <v/>
      </c>
      <c r="I232" s="30" t="str">
        <f aca="false">IF(R232="","",Reconciliation!I233)</f>
        <v/>
      </c>
      <c r="J232" s="31" t="str">
        <f aca="false">IF(R232="","",Reconciliation!J233)</f>
        <v/>
      </c>
      <c r="K232" s="30" t="str">
        <f aca="false">IF(R232="","",Reconciliation!K233)</f>
        <v/>
      </c>
      <c r="L232" s="30" t="str">
        <f aca="false">IF(R232="","",Reconciliation!L233)</f>
        <v/>
      </c>
      <c r="M232" s="32" t="str">
        <f aca="false">IF(R232="","",Reconciliation!M233)</f>
        <v/>
      </c>
      <c r="N232" s="32" t="str">
        <f aca="false">IF(R232="","",Reconciliation!N233)</f>
        <v/>
      </c>
      <c r="O232" s="32" t="str">
        <f aca="false">IF(R232="","",Reconciliation!O233)</f>
        <v/>
      </c>
      <c r="P232" s="32" t="str">
        <f aca="false">IF(R232="","",Reconciliation!P233)</f>
        <v/>
      </c>
      <c r="Q232" s="32" t="str">
        <f aca="false">IF(R232="","",Reconciliation!Q233)</f>
        <v/>
      </c>
      <c r="R232" s="33" t="str">
        <f aca="false">IF(OR(Reconciliation!R233="✅ MATCH",Reconciliation!R233=""),"",Reconciliation!R233)</f>
        <v/>
      </c>
    </row>
    <row r="233" customFormat="false" ht="15" hidden="false" customHeight="true" outlineLevel="0" collapsed="false">
      <c r="A233" s="29" t="str">
        <f aca="false">IF(R233="","",Reconciliation!A234)</f>
        <v/>
      </c>
      <c r="B233" s="30" t="str">
        <f aca="false">IF(R233="","",Reconciliation!B234)</f>
        <v/>
      </c>
      <c r="C233" s="30" t="str">
        <f aca="false">IF(R233="","",Reconciliation!C234)</f>
        <v/>
      </c>
      <c r="D233" s="30" t="str">
        <f aca="false">IF(R233="","",Reconciliation!D234)</f>
        <v/>
      </c>
      <c r="E233" s="31" t="str">
        <f aca="false">IF(R233="","",Reconciliation!E234)</f>
        <v/>
      </c>
      <c r="F233" s="30" t="str">
        <f aca="false">IF(R233="","",Reconciliation!F234)</f>
        <v/>
      </c>
      <c r="G233" s="30" t="str">
        <f aca="false">IF(R233="","",Reconciliation!G234)</f>
        <v/>
      </c>
      <c r="H233" s="30" t="str">
        <f aca="false">IF(R233="","",Reconciliation!H234)</f>
        <v/>
      </c>
      <c r="I233" s="30" t="str">
        <f aca="false">IF(R233="","",Reconciliation!I234)</f>
        <v/>
      </c>
      <c r="J233" s="31" t="str">
        <f aca="false">IF(R233="","",Reconciliation!J234)</f>
        <v/>
      </c>
      <c r="K233" s="30" t="str">
        <f aca="false">IF(R233="","",Reconciliation!K234)</f>
        <v/>
      </c>
      <c r="L233" s="30" t="str">
        <f aca="false">IF(R233="","",Reconciliation!L234)</f>
        <v/>
      </c>
      <c r="M233" s="32" t="str">
        <f aca="false">IF(R233="","",Reconciliation!M234)</f>
        <v/>
      </c>
      <c r="N233" s="32" t="str">
        <f aca="false">IF(R233="","",Reconciliation!N234)</f>
        <v/>
      </c>
      <c r="O233" s="32" t="str">
        <f aca="false">IF(R233="","",Reconciliation!O234)</f>
        <v/>
      </c>
      <c r="P233" s="32" t="str">
        <f aca="false">IF(R233="","",Reconciliation!P234)</f>
        <v/>
      </c>
      <c r="Q233" s="32" t="str">
        <f aca="false">IF(R233="","",Reconciliation!Q234)</f>
        <v/>
      </c>
      <c r="R233" s="33" t="str">
        <f aca="false">IF(OR(Reconciliation!R234="✅ MATCH",Reconciliation!R234=""),"",Reconciliation!R234)</f>
        <v/>
      </c>
    </row>
    <row r="234" customFormat="false" ht="15" hidden="false" customHeight="true" outlineLevel="0" collapsed="false">
      <c r="A234" s="29" t="str">
        <f aca="false">IF(R234="","",Reconciliation!A235)</f>
        <v/>
      </c>
      <c r="B234" s="30" t="str">
        <f aca="false">IF(R234="","",Reconciliation!B235)</f>
        <v/>
      </c>
      <c r="C234" s="30" t="str">
        <f aca="false">IF(R234="","",Reconciliation!C235)</f>
        <v/>
      </c>
      <c r="D234" s="30" t="str">
        <f aca="false">IF(R234="","",Reconciliation!D235)</f>
        <v/>
      </c>
      <c r="E234" s="31" t="str">
        <f aca="false">IF(R234="","",Reconciliation!E235)</f>
        <v/>
      </c>
      <c r="F234" s="30" t="str">
        <f aca="false">IF(R234="","",Reconciliation!F235)</f>
        <v/>
      </c>
      <c r="G234" s="30" t="str">
        <f aca="false">IF(R234="","",Reconciliation!G235)</f>
        <v/>
      </c>
      <c r="H234" s="30" t="str">
        <f aca="false">IF(R234="","",Reconciliation!H235)</f>
        <v/>
      </c>
      <c r="I234" s="30" t="str">
        <f aca="false">IF(R234="","",Reconciliation!I235)</f>
        <v/>
      </c>
      <c r="J234" s="31" t="str">
        <f aca="false">IF(R234="","",Reconciliation!J235)</f>
        <v/>
      </c>
      <c r="K234" s="30" t="str">
        <f aca="false">IF(R234="","",Reconciliation!K235)</f>
        <v/>
      </c>
      <c r="L234" s="30" t="str">
        <f aca="false">IF(R234="","",Reconciliation!L235)</f>
        <v/>
      </c>
      <c r="M234" s="32" t="str">
        <f aca="false">IF(R234="","",Reconciliation!M235)</f>
        <v/>
      </c>
      <c r="N234" s="32" t="str">
        <f aca="false">IF(R234="","",Reconciliation!N235)</f>
        <v/>
      </c>
      <c r="O234" s="32" t="str">
        <f aca="false">IF(R234="","",Reconciliation!O235)</f>
        <v/>
      </c>
      <c r="P234" s="32" t="str">
        <f aca="false">IF(R234="","",Reconciliation!P235)</f>
        <v/>
      </c>
      <c r="Q234" s="32" t="str">
        <f aca="false">IF(R234="","",Reconciliation!Q235)</f>
        <v/>
      </c>
      <c r="R234" s="33" t="str">
        <f aca="false">IF(OR(Reconciliation!R235="✅ MATCH",Reconciliation!R235=""),"",Reconciliation!R235)</f>
        <v/>
      </c>
    </row>
    <row r="235" customFormat="false" ht="15" hidden="false" customHeight="true" outlineLevel="0" collapsed="false">
      <c r="A235" s="29" t="str">
        <f aca="false">IF(R235="","",Reconciliation!A236)</f>
        <v/>
      </c>
      <c r="B235" s="30" t="str">
        <f aca="false">IF(R235="","",Reconciliation!B236)</f>
        <v/>
      </c>
      <c r="C235" s="30" t="str">
        <f aca="false">IF(R235="","",Reconciliation!C236)</f>
        <v/>
      </c>
      <c r="D235" s="30" t="str">
        <f aca="false">IF(R235="","",Reconciliation!D236)</f>
        <v/>
      </c>
      <c r="E235" s="31" t="str">
        <f aca="false">IF(R235="","",Reconciliation!E236)</f>
        <v/>
      </c>
      <c r="F235" s="30" t="str">
        <f aca="false">IF(R235="","",Reconciliation!F236)</f>
        <v/>
      </c>
      <c r="G235" s="30" t="str">
        <f aca="false">IF(R235="","",Reconciliation!G236)</f>
        <v/>
      </c>
      <c r="H235" s="30" t="str">
        <f aca="false">IF(R235="","",Reconciliation!H236)</f>
        <v/>
      </c>
      <c r="I235" s="30" t="str">
        <f aca="false">IF(R235="","",Reconciliation!I236)</f>
        <v/>
      </c>
      <c r="J235" s="31" t="str">
        <f aca="false">IF(R235="","",Reconciliation!J236)</f>
        <v/>
      </c>
      <c r="K235" s="30" t="str">
        <f aca="false">IF(R235="","",Reconciliation!K236)</f>
        <v/>
      </c>
      <c r="L235" s="30" t="str">
        <f aca="false">IF(R235="","",Reconciliation!L236)</f>
        <v/>
      </c>
      <c r="M235" s="32" t="str">
        <f aca="false">IF(R235="","",Reconciliation!M236)</f>
        <v/>
      </c>
      <c r="N235" s="32" t="str">
        <f aca="false">IF(R235="","",Reconciliation!N236)</f>
        <v/>
      </c>
      <c r="O235" s="32" t="str">
        <f aca="false">IF(R235="","",Reconciliation!O236)</f>
        <v/>
      </c>
      <c r="P235" s="32" t="str">
        <f aca="false">IF(R235="","",Reconciliation!P236)</f>
        <v/>
      </c>
      <c r="Q235" s="32" t="str">
        <f aca="false">IF(R235="","",Reconciliation!Q236)</f>
        <v/>
      </c>
      <c r="R235" s="33" t="str">
        <f aca="false">IF(OR(Reconciliation!R236="✅ MATCH",Reconciliation!R236=""),"",Reconciliation!R236)</f>
        <v/>
      </c>
    </row>
    <row r="236" customFormat="false" ht="15" hidden="false" customHeight="true" outlineLevel="0" collapsed="false">
      <c r="A236" s="29" t="str">
        <f aca="false">IF(R236="","",Reconciliation!A237)</f>
        <v/>
      </c>
      <c r="B236" s="30" t="str">
        <f aca="false">IF(R236="","",Reconciliation!B237)</f>
        <v/>
      </c>
      <c r="C236" s="30" t="str">
        <f aca="false">IF(R236="","",Reconciliation!C237)</f>
        <v/>
      </c>
      <c r="D236" s="30" t="str">
        <f aca="false">IF(R236="","",Reconciliation!D237)</f>
        <v/>
      </c>
      <c r="E236" s="31" t="str">
        <f aca="false">IF(R236="","",Reconciliation!E237)</f>
        <v/>
      </c>
      <c r="F236" s="30" t="str">
        <f aca="false">IF(R236="","",Reconciliation!F237)</f>
        <v/>
      </c>
      <c r="G236" s="30" t="str">
        <f aca="false">IF(R236="","",Reconciliation!G237)</f>
        <v/>
      </c>
      <c r="H236" s="30" t="str">
        <f aca="false">IF(R236="","",Reconciliation!H237)</f>
        <v/>
      </c>
      <c r="I236" s="30" t="str">
        <f aca="false">IF(R236="","",Reconciliation!I237)</f>
        <v/>
      </c>
      <c r="J236" s="31" t="str">
        <f aca="false">IF(R236="","",Reconciliation!J237)</f>
        <v/>
      </c>
      <c r="K236" s="30" t="str">
        <f aca="false">IF(R236="","",Reconciliation!K237)</f>
        <v/>
      </c>
      <c r="L236" s="30" t="str">
        <f aca="false">IF(R236="","",Reconciliation!L237)</f>
        <v/>
      </c>
      <c r="M236" s="32" t="str">
        <f aca="false">IF(R236="","",Reconciliation!M237)</f>
        <v/>
      </c>
      <c r="N236" s="32" t="str">
        <f aca="false">IF(R236="","",Reconciliation!N237)</f>
        <v/>
      </c>
      <c r="O236" s="32" t="str">
        <f aca="false">IF(R236="","",Reconciliation!O237)</f>
        <v/>
      </c>
      <c r="P236" s="32" t="str">
        <f aca="false">IF(R236="","",Reconciliation!P237)</f>
        <v/>
      </c>
      <c r="Q236" s="32" t="str">
        <f aca="false">IF(R236="","",Reconciliation!Q237)</f>
        <v/>
      </c>
      <c r="R236" s="33" t="str">
        <f aca="false">IF(OR(Reconciliation!R237="✅ MATCH",Reconciliation!R237=""),"",Reconciliation!R237)</f>
        <v/>
      </c>
    </row>
    <row r="237" customFormat="false" ht="15" hidden="false" customHeight="true" outlineLevel="0" collapsed="false">
      <c r="A237" s="29" t="str">
        <f aca="false">IF(R237="","",Reconciliation!A238)</f>
        <v/>
      </c>
      <c r="B237" s="30" t="str">
        <f aca="false">IF(R237="","",Reconciliation!B238)</f>
        <v/>
      </c>
      <c r="C237" s="30" t="str">
        <f aca="false">IF(R237="","",Reconciliation!C238)</f>
        <v/>
      </c>
      <c r="D237" s="30" t="str">
        <f aca="false">IF(R237="","",Reconciliation!D238)</f>
        <v/>
      </c>
      <c r="E237" s="31" t="str">
        <f aca="false">IF(R237="","",Reconciliation!E238)</f>
        <v/>
      </c>
      <c r="F237" s="30" t="str">
        <f aca="false">IF(R237="","",Reconciliation!F238)</f>
        <v/>
      </c>
      <c r="G237" s="30" t="str">
        <f aca="false">IF(R237="","",Reconciliation!G238)</f>
        <v/>
      </c>
      <c r="H237" s="30" t="str">
        <f aca="false">IF(R237="","",Reconciliation!H238)</f>
        <v/>
      </c>
      <c r="I237" s="30" t="str">
        <f aca="false">IF(R237="","",Reconciliation!I238)</f>
        <v/>
      </c>
      <c r="J237" s="31" t="str">
        <f aca="false">IF(R237="","",Reconciliation!J238)</f>
        <v/>
      </c>
      <c r="K237" s="30" t="str">
        <f aca="false">IF(R237="","",Reconciliation!K238)</f>
        <v/>
      </c>
      <c r="L237" s="30" t="str">
        <f aca="false">IF(R237="","",Reconciliation!L238)</f>
        <v/>
      </c>
      <c r="M237" s="32" t="str">
        <f aca="false">IF(R237="","",Reconciliation!M238)</f>
        <v/>
      </c>
      <c r="N237" s="32" t="str">
        <f aca="false">IF(R237="","",Reconciliation!N238)</f>
        <v/>
      </c>
      <c r="O237" s="32" t="str">
        <f aca="false">IF(R237="","",Reconciliation!O238)</f>
        <v/>
      </c>
      <c r="P237" s="32" t="str">
        <f aca="false">IF(R237="","",Reconciliation!P238)</f>
        <v/>
      </c>
      <c r="Q237" s="32" t="str">
        <f aca="false">IF(R237="","",Reconciliation!Q238)</f>
        <v/>
      </c>
      <c r="R237" s="33" t="str">
        <f aca="false">IF(OR(Reconciliation!R238="✅ MATCH",Reconciliation!R238=""),"",Reconciliation!R238)</f>
        <v/>
      </c>
    </row>
    <row r="238" customFormat="false" ht="15" hidden="false" customHeight="true" outlineLevel="0" collapsed="false">
      <c r="A238" s="29" t="str">
        <f aca="false">IF(R238="","",Reconciliation!A239)</f>
        <v/>
      </c>
      <c r="B238" s="30" t="str">
        <f aca="false">IF(R238="","",Reconciliation!B239)</f>
        <v/>
      </c>
      <c r="C238" s="30" t="str">
        <f aca="false">IF(R238="","",Reconciliation!C239)</f>
        <v/>
      </c>
      <c r="D238" s="30" t="str">
        <f aca="false">IF(R238="","",Reconciliation!D239)</f>
        <v/>
      </c>
      <c r="E238" s="31" t="str">
        <f aca="false">IF(R238="","",Reconciliation!E239)</f>
        <v/>
      </c>
      <c r="F238" s="30" t="str">
        <f aca="false">IF(R238="","",Reconciliation!F239)</f>
        <v/>
      </c>
      <c r="G238" s="30" t="str">
        <f aca="false">IF(R238="","",Reconciliation!G239)</f>
        <v/>
      </c>
      <c r="H238" s="30" t="str">
        <f aca="false">IF(R238="","",Reconciliation!H239)</f>
        <v/>
      </c>
      <c r="I238" s="30" t="str">
        <f aca="false">IF(R238="","",Reconciliation!I239)</f>
        <v/>
      </c>
      <c r="J238" s="31" t="str">
        <f aca="false">IF(R238="","",Reconciliation!J239)</f>
        <v/>
      </c>
      <c r="K238" s="30" t="str">
        <f aca="false">IF(R238="","",Reconciliation!K239)</f>
        <v/>
      </c>
      <c r="L238" s="30" t="str">
        <f aca="false">IF(R238="","",Reconciliation!L239)</f>
        <v/>
      </c>
      <c r="M238" s="32" t="str">
        <f aca="false">IF(R238="","",Reconciliation!M239)</f>
        <v/>
      </c>
      <c r="N238" s="32" t="str">
        <f aca="false">IF(R238="","",Reconciliation!N239)</f>
        <v/>
      </c>
      <c r="O238" s="32" t="str">
        <f aca="false">IF(R238="","",Reconciliation!O239)</f>
        <v/>
      </c>
      <c r="P238" s="32" t="str">
        <f aca="false">IF(R238="","",Reconciliation!P239)</f>
        <v/>
      </c>
      <c r="Q238" s="32" t="str">
        <f aca="false">IF(R238="","",Reconciliation!Q239)</f>
        <v/>
      </c>
      <c r="R238" s="33" t="str">
        <f aca="false">IF(OR(Reconciliation!R239="✅ MATCH",Reconciliation!R239=""),"",Reconciliation!R239)</f>
        <v/>
      </c>
    </row>
    <row r="239" customFormat="false" ht="15" hidden="false" customHeight="true" outlineLevel="0" collapsed="false">
      <c r="A239" s="29" t="str">
        <f aca="false">IF(R239="","",Reconciliation!A240)</f>
        <v/>
      </c>
      <c r="B239" s="30" t="str">
        <f aca="false">IF(R239="","",Reconciliation!B240)</f>
        <v/>
      </c>
      <c r="C239" s="30" t="str">
        <f aca="false">IF(R239="","",Reconciliation!C240)</f>
        <v/>
      </c>
      <c r="D239" s="30" t="str">
        <f aca="false">IF(R239="","",Reconciliation!D240)</f>
        <v/>
      </c>
      <c r="E239" s="31" t="str">
        <f aca="false">IF(R239="","",Reconciliation!E240)</f>
        <v/>
      </c>
      <c r="F239" s="30" t="str">
        <f aca="false">IF(R239="","",Reconciliation!F240)</f>
        <v/>
      </c>
      <c r="G239" s="30" t="str">
        <f aca="false">IF(R239="","",Reconciliation!G240)</f>
        <v/>
      </c>
      <c r="H239" s="30" t="str">
        <f aca="false">IF(R239="","",Reconciliation!H240)</f>
        <v/>
      </c>
      <c r="I239" s="30" t="str">
        <f aca="false">IF(R239="","",Reconciliation!I240)</f>
        <v/>
      </c>
      <c r="J239" s="31" t="str">
        <f aca="false">IF(R239="","",Reconciliation!J240)</f>
        <v/>
      </c>
      <c r="K239" s="30" t="str">
        <f aca="false">IF(R239="","",Reconciliation!K240)</f>
        <v/>
      </c>
      <c r="L239" s="30" t="str">
        <f aca="false">IF(R239="","",Reconciliation!L240)</f>
        <v/>
      </c>
      <c r="M239" s="32" t="str">
        <f aca="false">IF(R239="","",Reconciliation!M240)</f>
        <v/>
      </c>
      <c r="N239" s="32" t="str">
        <f aca="false">IF(R239="","",Reconciliation!N240)</f>
        <v/>
      </c>
      <c r="O239" s="32" t="str">
        <f aca="false">IF(R239="","",Reconciliation!O240)</f>
        <v/>
      </c>
      <c r="P239" s="32" t="str">
        <f aca="false">IF(R239="","",Reconciliation!P240)</f>
        <v/>
      </c>
      <c r="Q239" s="32" t="str">
        <f aca="false">IF(R239="","",Reconciliation!Q240)</f>
        <v/>
      </c>
      <c r="R239" s="33" t="str">
        <f aca="false">IF(OR(Reconciliation!R240="✅ MATCH",Reconciliation!R240=""),"",Reconciliation!R240)</f>
        <v/>
      </c>
    </row>
    <row r="240" customFormat="false" ht="15" hidden="false" customHeight="true" outlineLevel="0" collapsed="false">
      <c r="A240" s="29" t="str">
        <f aca="false">IF(R240="","",Reconciliation!A241)</f>
        <v/>
      </c>
      <c r="B240" s="30" t="str">
        <f aca="false">IF(R240="","",Reconciliation!B241)</f>
        <v/>
      </c>
      <c r="C240" s="30" t="str">
        <f aca="false">IF(R240="","",Reconciliation!C241)</f>
        <v/>
      </c>
      <c r="D240" s="30" t="str">
        <f aca="false">IF(R240="","",Reconciliation!D241)</f>
        <v/>
      </c>
      <c r="E240" s="31" t="str">
        <f aca="false">IF(R240="","",Reconciliation!E241)</f>
        <v/>
      </c>
      <c r="F240" s="30" t="str">
        <f aca="false">IF(R240="","",Reconciliation!F241)</f>
        <v/>
      </c>
      <c r="G240" s="30" t="str">
        <f aca="false">IF(R240="","",Reconciliation!G241)</f>
        <v/>
      </c>
      <c r="H240" s="30" t="str">
        <f aca="false">IF(R240="","",Reconciliation!H241)</f>
        <v/>
      </c>
      <c r="I240" s="30" t="str">
        <f aca="false">IF(R240="","",Reconciliation!I241)</f>
        <v/>
      </c>
      <c r="J240" s="31" t="str">
        <f aca="false">IF(R240="","",Reconciliation!J241)</f>
        <v/>
      </c>
      <c r="K240" s="30" t="str">
        <f aca="false">IF(R240="","",Reconciliation!K241)</f>
        <v/>
      </c>
      <c r="L240" s="30" t="str">
        <f aca="false">IF(R240="","",Reconciliation!L241)</f>
        <v/>
      </c>
      <c r="M240" s="32" t="str">
        <f aca="false">IF(R240="","",Reconciliation!M241)</f>
        <v/>
      </c>
      <c r="N240" s="32" t="str">
        <f aca="false">IF(R240="","",Reconciliation!N241)</f>
        <v/>
      </c>
      <c r="O240" s="32" t="str">
        <f aca="false">IF(R240="","",Reconciliation!O241)</f>
        <v/>
      </c>
      <c r="P240" s="32" t="str">
        <f aca="false">IF(R240="","",Reconciliation!P241)</f>
        <v/>
      </c>
      <c r="Q240" s="32" t="str">
        <f aca="false">IF(R240="","",Reconciliation!Q241)</f>
        <v/>
      </c>
      <c r="R240" s="33" t="str">
        <f aca="false">IF(OR(Reconciliation!R241="✅ MATCH",Reconciliation!R241=""),"",Reconciliation!R241)</f>
        <v/>
      </c>
    </row>
    <row r="241" customFormat="false" ht="15" hidden="false" customHeight="true" outlineLevel="0" collapsed="false">
      <c r="A241" s="29" t="str">
        <f aca="false">IF(R241="","",Reconciliation!A242)</f>
        <v/>
      </c>
      <c r="B241" s="30" t="str">
        <f aca="false">IF(R241="","",Reconciliation!B242)</f>
        <v/>
      </c>
      <c r="C241" s="30" t="str">
        <f aca="false">IF(R241="","",Reconciliation!C242)</f>
        <v/>
      </c>
      <c r="D241" s="30" t="str">
        <f aca="false">IF(R241="","",Reconciliation!D242)</f>
        <v/>
      </c>
      <c r="E241" s="31" t="str">
        <f aca="false">IF(R241="","",Reconciliation!E242)</f>
        <v/>
      </c>
      <c r="F241" s="30" t="str">
        <f aca="false">IF(R241="","",Reconciliation!F242)</f>
        <v/>
      </c>
      <c r="G241" s="30" t="str">
        <f aca="false">IF(R241="","",Reconciliation!G242)</f>
        <v/>
      </c>
      <c r="H241" s="30" t="str">
        <f aca="false">IF(R241="","",Reconciliation!H242)</f>
        <v/>
      </c>
      <c r="I241" s="30" t="str">
        <f aca="false">IF(R241="","",Reconciliation!I242)</f>
        <v/>
      </c>
      <c r="J241" s="31" t="str">
        <f aca="false">IF(R241="","",Reconciliation!J242)</f>
        <v/>
      </c>
      <c r="K241" s="30" t="str">
        <f aca="false">IF(R241="","",Reconciliation!K242)</f>
        <v/>
      </c>
      <c r="L241" s="30" t="str">
        <f aca="false">IF(R241="","",Reconciliation!L242)</f>
        <v/>
      </c>
      <c r="M241" s="32" t="str">
        <f aca="false">IF(R241="","",Reconciliation!M242)</f>
        <v/>
      </c>
      <c r="N241" s="32" t="str">
        <f aca="false">IF(R241="","",Reconciliation!N242)</f>
        <v/>
      </c>
      <c r="O241" s="32" t="str">
        <f aca="false">IF(R241="","",Reconciliation!O242)</f>
        <v/>
      </c>
      <c r="P241" s="32" t="str">
        <f aca="false">IF(R241="","",Reconciliation!P242)</f>
        <v/>
      </c>
      <c r="Q241" s="32" t="str">
        <f aca="false">IF(R241="","",Reconciliation!Q242)</f>
        <v/>
      </c>
      <c r="R241" s="33" t="str">
        <f aca="false">IF(OR(Reconciliation!R242="✅ MATCH",Reconciliation!R242=""),"",Reconciliation!R242)</f>
        <v/>
      </c>
    </row>
    <row r="242" customFormat="false" ht="15" hidden="false" customHeight="true" outlineLevel="0" collapsed="false">
      <c r="A242" s="29" t="str">
        <f aca="false">IF(R242="","",Reconciliation!A243)</f>
        <v/>
      </c>
      <c r="B242" s="30" t="str">
        <f aca="false">IF(R242="","",Reconciliation!B243)</f>
        <v/>
      </c>
      <c r="C242" s="30" t="str">
        <f aca="false">IF(R242="","",Reconciliation!C243)</f>
        <v/>
      </c>
      <c r="D242" s="30" t="str">
        <f aca="false">IF(R242="","",Reconciliation!D243)</f>
        <v/>
      </c>
      <c r="E242" s="31" t="str">
        <f aca="false">IF(R242="","",Reconciliation!E243)</f>
        <v/>
      </c>
      <c r="F242" s="30" t="str">
        <f aca="false">IF(R242="","",Reconciliation!F243)</f>
        <v/>
      </c>
      <c r="G242" s="30" t="str">
        <f aca="false">IF(R242="","",Reconciliation!G243)</f>
        <v/>
      </c>
      <c r="H242" s="30" t="str">
        <f aca="false">IF(R242="","",Reconciliation!H243)</f>
        <v/>
      </c>
      <c r="I242" s="30" t="str">
        <f aca="false">IF(R242="","",Reconciliation!I243)</f>
        <v/>
      </c>
      <c r="J242" s="31" t="str">
        <f aca="false">IF(R242="","",Reconciliation!J243)</f>
        <v/>
      </c>
      <c r="K242" s="30" t="str">
        <f aca="false">IF(R242="","",Reconciliation!K243)</f>
        <v/>
      </c>
      <c r="L242" s="30" t="str">
        <f aca="false">IF(R242="","",Reconciliation!L243)</f>
        <v/>
      </c>
      <c r="M242" s="32" t="str">
        <f aca="false">IF(R242="","",Reconciliation!M243)</f>
        <v/>
      </c>
      <c r="N242" s="32" t="str">
        <f aca="false">IF(R242="","",Reconciliation!N243)</f>
        <v/>
      </c>
      <c r="O242" s="32" t="str">
        <f aca="false">IF(R242="","",Reconciliation!O243)</f>
        <v/>
      </c>
      <c r="P242" s="32" t="str">
        <f aca="false">IF(R242="","",Reconciliation!P243)</f>
        <v/>
      </c>
      <c r="Q242" s="32" t="str">
        <f aca="false">IF(R242="","",Reconciliation!Q243)</f>
        <v/>
      </c>
      <c r="R242" s="33" t="str">
        <f aca="false">IF(OR(Reconciliation!R243="✅ MATCH",Reconciliation!R243=""),"",Reconciliation!R243)</f>
        <v/>
      </c>
    </row>
    <row r="243" customFormat="false" ht="15" hidden="false" customHeight="true" outlineLevel="0" collapsed="false">
      <c r="A243" s="29" t="str">
        <f aca="false">IF(R243="","",Reconciliation!A244)</f>
        <v/>
      </c>
      <c r="B243" s="30" t="str">
        <f aca="false">IF(R243="","",Reconciliation!B244)</f>
        <v/>
      </c>
      <c r="C243" s="30" t="str">
        <f aca="false">IF(R243="","",Reconciliation!C244)</f>
        <v/>
      </c>
      <c r="D243" s="30" t="str">
        <f aca="false">IF(R243="","",Reconciliation!D244)</f>
        <v/>
      </c>
      <c r="E243" s="31" t="str">
        <f aca="false">IF(R243="","",Reconciliation!E244)</f>
        <v/>
      </c>
      <c r="F243" s="30" t="str">
        <f aca="false">IF(R243="","",Reconciliation!F244)</f>
        <v/>
      </c>
      <c r="G243" s="30" t="str">
        <f aca="false">IF(R243="","",Reconciliation!G244)</f>
        <v/>
      </c>
      <c r="H243" s="30" t="str">
        <f aca="false">IF(R243="","",Reconciliation!H244)</f>
        <v/>
      </c>
      <c r="I243" s="30" t="str">
        <f aca="false">IF(R243="","",Reconciliation!I244)</f>
        <v/>
      </c>
      <c r="J243" s="31" t="str">
        <f aca="false">IF(R243="","",Reconciliation!J244)</f>
        <v/>
      </c>
      <c r="K243" s="30" t="str">
        <f aca="false">IF(R243="","",Reconciliation!K244)</f>
        <v/>
      </c>
      <c r="L243" s="30" t="str">
        <f aca="false">IF(R243="","",Reconciliation!L244)</f>
        <v/>
      </c>
      <c r="M243" s="32" t="str">
        <f aca="false">IF(R243="","",Reconciliation!M244)</f>
        <v/>
      </c>
      <c r="N243" s="32" t="str">
        <f aca="false">IF(R243="","",Reconciliation!N244)</f>
        <v/>
      </c>
      <c r="O243" s="32" t="str">
        <f aca="false">IF(R243="","",Reconciliation!O244)</f>
        <v/>
      </c>
      <c r="P243" s="32" t="str">
        <f aca="false">IF(R243="","",Reconciliation!P244)</f>
        <v/>
      </c>
      <c r="Q243" s="32" t="str">
        <f aca="false">IF(R243="","",Reconciliation!Q244)</f>
        <v/>
      </c>
      <c r="R243" s="33" t="str">
        <f aca="false">IF(OR(Reconciliation!R244="✅ MATCH",Reconciliation!R244=""),"",Reconciliation!R244)</f>
        <v/>
      </c>
    </row>
    <row r="244" customFormat="false" ht="15" hidden="false" customHeight="true" outlineLevel="0" collapsed="false">
      <c r="A244" s="29" t="str">
        <f aca="false">IF(R244="","",Reconciliation!A245)</f>
        <v/>
      </c>
      <c r="B244" s="30" t="str">
        <f aca="false">IF(R244="","",Reconciliation!B245)</f>
        <v/>
      </c>
      <c r="C244" s="30" t="str">
        <f aca="false">IF(R244="","",Reconciliation!C245)</f>
        <v/>
      </c>
      <c r="D244" s="30" t="str">
        <f aca="false">IF(R244="","",Reconciliation!D245)</f>
        <v/>
      </c>
      <c r="E244" s="31" t="str">
        <f aca="false">IF(R244="","",Reconciliation!E245)</f>
        <v/>
      </c>
      <c r="F244" s="30" t="str">
        <f aca="false">IF(R244="","",Reconciliation!F245)</f>
        <v/>
      </c>
      <c r="G244" s="30" t="str">
        <f aca="false">IF(R244="","",Reconciliation!G245)</f>
        <v/>
      </c>
      <c r="H244" s="30" t="str">
        <f aca="false">IF(R244="","",Reconciliation!H245)</f>
        <v/>
      </c>
      <c r="I244" s="30" t="str">
        <f aca="false">IF(R244="","",Reconciliation!I245)</f>
        <v/>
      </c>
      <c r="J244" s="31" t="str">
        <f aca="false">IF(R244="","",Reconciliation!J245)</f>
        <v/>
      </c>
      <c r="K244" s="30" t="str">
        <f aca="false">IF(R244="","",Reconciliation!K245)</f>
        <v/>
      </c>
      <c r="L244" s="30" t="str">
        <f aca="false">IF(R244="","",Reconciliation!L245)</f>
        <v/>
      </c>
      <c r="M244" s="32" t="str">
        <f aca="false">IF(R244="","",Reconciliation!M245)</f>
        <v/>
      </c>
      <c r="N244" s="32" t="str">
        <f aca="false">IF(R244="","",Reconciliation!N245)</f>
        <v/>
      </c>
      <c r="O244" s="32" t="str">
        <f aca="false">IF(R244="","",Reconciliation!O245)</f>
        <v/>
      </c>
      <c r="P244" s="32" t="str">
        <f aca="false">IF(R244="","",Reconciliation!P245)</f>
        <v/>
      </c>
      <c r="Q244" s="32" t="str">
        <f aca="false">IF(R244="","",Reconciliation!Q245)</f>
        <v/>
      </c>
      <c r="R244" s="33" t="str">
        <f aca="false">IF(OR(Reconciliation!R245="✅ MATCH",Reconciliation!R245=""),"",Reconciliation!R245)</f>
        <v/>
      </c>
    </row>
    <row r="245" customFormat="false" ht="15" hidden="false" customHeight="true" outlineLevel="0" collapsed="false">
      <c r="A245" s="29" t="str">
        <f aca="false">IF(R245="","",Reconciliation!A246)</f>
        <v/>
      </c>
      <c r="B245" s="30" t="str">
        <f aca="false">IF(R245="","",Reconciliation!B246)</f>
        <v/>
      </c>
      <c r="C245" s="30" t="str">
        <f aca="false">IF(R245="","",Reconciliation!C246)</f>
        <v/>
      </c>
      <c r="D245" s="30" t="str">
        <f aca="false">IF(R245="","",Reconciliation!D246)</f>
        <v/>
      </c>
      <c r="E245" s="31" t="str">
        <f aca="false">IF(R245="","",Reconciliation!E246)</f>
        <v/>
      </c>
      <c r="F245" s="30" t="str">
        <f aca="false">IF(R245="","",Reconciliation!F246)</f>
        <v/>
      </c>
      <c r="G245" s="30" t="str">
        <f aca="false">IF(R245="","",Reconciliation!G246)</f>
        <v/>
      </c>
      <c r="H245" s="30" t="str">
        <f aca="false">IF(R245="","",Reconciliation!H246)</f>
        <v/>
      </c>
      <c r="I245" s="30" t="str">
        <f aca="false">IF(R245="","",Reconciliation!I246)</f>
        <v/>
      </c>
      <c r="J245" s="31" t="str">
        <f aca="false">IF(R245="","",Reconciliation!J246)</f>
        <v/>
      </c>
      <c r="K245" s="30" t="str">
        <f aca="false">IF(R245="","",Reconciliation!K246)</f>
        <v/>
      </c>
      <c r="L245" s="30" t="str">
        <f aca="false">IF(R245="","",Reconciliation!L246)</f>
        <v/>
      </c>
      <c r="M245" s="32" t="str">
        <f aca="false">IF(R245="","",Reconciliation!M246)</f>
        <v/>
      </c>
      <c r="N245" s="32" t="str">
        <f aca="false">IF(R245="","",Reconciliation!N246)</f>
        <v/>
      </c>
      <c r="O245" s="32" t="str">
        <f aca="false">IF(R245="","",Reconciliation!O246)</f>
        <v/>
      </c>
      <c r="P245" s="32" t="str">
        <f aca="false">IF(R245="","",Reconciliation!P246)</f>
        <v/>
      </c>
      <c r="Q245" s="32" t="str">
        <f aca="false">IF(R245="","",Reconciliation!Q246)</f>
        <v/>
      </c>
      <c r="R245" s="33" t="str">
        <f aca="false">IF(OR(Reconciliation!R246="✅ MATCH",Reconciliation!R246=""),"",Reconciliation!R246)</f>
        <v/>
      </c>
    </row>
    <row r="246" customFormat="false" ht="15" hidden="false" customHeight="true" outlineLevel="0" collapsed="false">
      <c r="A246" s="29" t="str">
        <f aca="false">IF(R246="","",Reconciliation!A247)</f>
        <v/>
      </c>
      <c r="B246" s="30" t="str">
        <f aca="false">IF(R246="","",Reconciliation!B247)</f>
        <v/>
      </c>
      <c r="C246" s="30" t="str">
        <f aca="false">IF(R246="","",Reconciliation!C247)</f>
        <v/>
      </c>
      <c r="D246" s="30" t="str">
        <f aca="false">IF(R246="","",Reconciliation!D247)</f>
        <v/>
      </c>
      <c r="E246" s="31" t="str">
        <f aca="false">IF(R246="","",Reconciliation!E247)</f>
        <v/>
      </c>
      <c r="F246" s="30" t="str">
        <f aca="false">IF(R246="","",Reconciliation!F247)</f>
        <v/>
      </c>
      <c r="G246" s="30" t="str">
        <f aca="false">IF(R246="","",Reconciliation!G247)</f>
        <v/>
      </c>
      <c r="H246" s="30" t="str">
        <f aca="false">IF(R246="","",Reconciliation!H247)</f>
        <v/>
      </c>
      <c r="I246" s="30" t="str">
        <f aca="false">IF(R246="","",Reconciliation!I247)</f>
        <v/>
      </c>
      <c r="J246" s="31" t="str">
        <f aca="false">IF(R246="","",Reconciliation!J247)</f>
        <v/>
      </c>
      <c r="K246" s="30" t="str">
        <f aca="false">IF(R246="","",Reconciliation!K247)</f>
        <v/>
      </c>
      <c r="L246" s="30" t="str">
        <f aca="false">IF(R246="","",Reconciliation!L247)</f>
        <v/>
      </c>
      <c r="M246" s="32" t="str">
        <f aca="false">IF(R246="","",Reconciliation!M247)</f>
        <v/>
      </c>
      <c r="N246" s="32" t="str">
        <f aca="false">IF(R246="","",Reconciliation!N247)</f>
        <v/>
      </c>
      <c r="O246" s="32" t="str">
        <f aca="false">IF(R246="","",Reconciliation!O247)</f>
        <v/>
      </c>
      <c r="P246" s="32" t="str">
        <f aca="false">IF(R246="","",Reconciliation!P247)</f>
        <v/>
      </c>
      <c r="Q246" s="32" t="str">
        <f aca="false">IF(R246="","",Reconciliation!Q247)</f>
        <v/>
      </c>
      <c r="R246" s="33" t="str">
        <f aca="false">IF(OR(Reconciliation!R247="✅ MATCH",Reconciliation!R247=""),"",Reconciliation!R247)</f>
        <v/>
      </c>
    </row>
    <row r="247" customFormat="false" ht="15" hidden="false" customHeight="true" outlineLevel="0" collapsed="false">
      <c r="A247" s="29" t="str">
        <f aca="false">IF(R247="","",Reconciliation!A248)</f>
        <v/>
      </c>
      <c r="B247" s="30" t="str">
        <f aca="false">IF(R247="","",Reconciliation!B248)</f>
        <v/>
      </c>
      <c r="C247" s="30" t="str">
        <f aca="false">IF(R247="","",Reconciliation!C248)</f>
        <v/>
      </c>
      <c r="D247" s="30" t="str">
        <f aca="false">IF(R247="","",Reconciliation!D248)</f>
        <v/>
      </c>
      <c r="E247" s="31" t="str">
        <f aca="false">IF(R247="","",Reconciliation!E248)</f>
        <v/>
      </c>
      <c r="F247" s="30" t="str">
        <f aca="false">IF(R247="","",Reconciliation!F248)</f>
        <v/>
      </c>
      <c r="G247" s="30" t="str">
        <f aca="false">IF(R247="","",Reconciliation!G248)</f>
        <v/>
      </c>
      <c r="H247" s="30" t="str">
        <f aca="false">IF(R247="","",Reconciliation!H248)</f>
        <v/>
      </c>
      <c r="I247" s="30" t="str">
        <f aca="false">IF(R247="","",Reconciliation!I248)</f>
        <v/>
      </c>
      <c r="J247" s="31" t="str">
        <f aca="false">IF(R247="","",Reconciliation!J248)</f>
        <v/>
      </c>
      <c r="K247" s="30" t="str">
        <f aca="false">IF(R247="","",Reconciliation!K248)</f>
        <v/>
      </c>
      <c r="L247" s="30" t="str">
        <f aca="false">IF(R247="","",Reconciliation!L248)</f>
        <v/>
      </c>
      <c r="M247" s="32" t="str">
        <f aca="false">IF(R247="","",Reconciliation!M248)</f>
        <v/>
      </c>
      <c r="N247" s="32" t="str">
        <f aca="false">IF(R247="","",Reconciliation!N248)</f>
        <v/>
      </c>
      <c r="O247" s="32" t="str">
        <f aca="false">IF(R247="","",Reconciliation!O248)</f>
        <v/>
      </c>
      <c r="P247" s="32" t="str">
        <f aca="false">IF(R247="","",Reconciliation!P248)</f>
        <v/>
      </c>
      <c r="Q247" s="32" t="str">
        <f aca="false">IF(R247="","",Reconciliation!Q248)</f>
        <v/>
      </c>
      <c r="R247" s="33" t="str">
        <f aca="false">IF(OR(Reconciliation!R248="✅ MATCH",Reconciliation!R248=""),"",Reconciliation!R248)</f>
        <v/>
      </c>
    </row>
    <row r="248" customFormat="false" ht="15" hidden="false" customHeight="true" outlineLevel="0" collapsed="false">
      <c r="A248" s="29" t="str">
        <f aca="false">IF(R248="","",Reconciliation!A249)</f>
        <v/>
      </c>
      <c r="B248" s="30" t="str">
        <f aca="false">IF(R248="","",Reconciliation!B249)</f>
        <v/>
      </c>
      <c r="C248" s="30" t="str">
        <f aca="false">IF(R248="","",Reconciliation!C249)</f>
        <v/>
      </c>
      <c r="D248" s="30" t="str">
        <f aca="false">IF(R248="","",Reconciliation!D249)</f>
        <v/>
      </c>
      <c r="E248" s="31" t="str">
        <f aca="false">IF(R248="","",Reconciliation!E249)</f>
        <v/>
      </c>
      <c r="F248" s="30" t="str">
        <f aca="false">IF(R248="","",Reconciliation!F249)</f>
        <v/>
      </c>
      <c r="G248" s="30" t="str">
        <f aca="false">IF(R248="","",Reconciliation!G249)</f>
        <v/>
      </c>
      <c r="H248" s="30" t="str">
        <f aca="false">IF(R248="","",Reconciliation!H249)</f>
        <v/>
      </c>
      <c r="I248" s="30" t="str">
        <f aca="false">IF(R248="","",Reconciliation!I249)</f>
        <v/>
      </c>
      <c r="J248" s="31" t="str">
        <f aca="false">IF(R248="","",Reconciliation!J249)</f>
        <v/>
      </c>
      <c r="K248" s="30" t="str">
        <f aca="false">IF(R248="","",Reconciliation!K249)</f>
        <v/>
      </c>
      <c r="L248" s="30" t="str">
        <f aca="false">IF(R248="","",Reconciliation!L249)</f>
        <v/>
      </c>
      <c r="M248" s="32" t="str">
        <f aca="false">IF(R248="","",Reconciliation!M249)</f>
        <v/>
      </c>
      <c r="N248" s="32" t="str">
        <f aca="false">IF(R248="","",Reconciliation!N249)</f>
        <v/>
      </c>
      <c r="O248" s="32" t="str">
        <f aca="false">IF(R248="","",Reconciliation!O249)</f>
        <v/>
      </c>
      <c r="P248" s="32" t="str">
        <f aca="false">IF(R248="","",Reconciliation!P249)</f>
        <v/>
      </c>
      <c r="Q248" s="32" t="str">
        <f aca="false">IF(R248="","",Reconciliation!Q249)</f>
        <v/>
      </c>
      <c r="R248" s="33" t="str">
        <f aca="false">IF(OR(Reconciliation!R249="✅ MATCH",Reconciliation!R249=""),"",Reconciliation!R249)</f>
        <v/>
      </c>
    </row>
    <row r="249" customFormat="false" ht="15" hidden="false" customHeight="true" outlineLevel="0" collapsed="false">
      <c r="A249" s="29" t="str">
        <f aca="false">IF(R249="","",Reconciliation!A250)</f>
        <v/>
      </c>
      <c r="B249" s="30" t="str">
        <f aca="false">IF(R249="","",Reconciliation!B250)</f>
        <v/>
      </c>
      <c r="C249" s="30" t="str">
        <f aca="false">IF(R249="","",Reconciliation!C250)</f>
        <v/>
      </c>
      <c r="D249" s="30" t="str">
        <f aca="false">IF(R249="","",Reconciliation!D250)</f>
        <v/>
      </c>
      <c r="E249" s="31" t="str">
        <f aca="false">IF(R249="","",Reconciliation!E250)</f>
        <v/>
      </c>
      <c r="F249" s="30" t="str">
        <f aca="false">IF(R249="","",Reconciliation!F250)</f>
        <v/>
      </c>
      <c r="G249" s="30" t="str">
        <f aca="false">IF(R249="","",Reconciliation!G250)</f>
        <v/>
      </c>
      <c r="H249" s="30" t="str">
        <f aca="false">IF(R249="","",Reconciliation!H250)</f>
        <v/>
      </c>
      <c r="I249" s="30" t="str">
        <f aca="false">IF(R249="","",Reconciliation!I250)</f>
        <v/>
      </c>
      <c r="J249" s="31" t="str">
        <f aca="false">IF(R249="","",Reconciliation!J250)</f>
        <v/>
      </c>
      <c r="K249" s="30" t="str">
        <f aca="false">IF(R249="","",Reconciliation!K250)</f>
        <v/>
      </c>
      <c r="L249" s="30" t="str">
        <f aca="false">IF(R249="","",Reconciliation!L250)</f>
        <v/>
      </c>
      <c r="M249" s="32" t="str">
        <f aca="false">IF(R249="","",Reconciliation!M250)</f>
        <v/>
      </c>
      <c r="N249" s="32" t="str">
        <f aca="false">IF(R249="","",Reconciliation!N250)</f>
        <v/>
      </c>
      <c r="O249" s="32" t="str">
        <f aca="false">IF(R249="","",Reconciliation!O250)</f>
        <v/>
      </c>
      <c r="P249" s="32" t="str">
        <f aca="false">IF(R249="","",Reconciliation!P250)</f>
        <v/>
      </c>
      <c r="Q249" s="32" t="str">
        <f aca="false">IF(R249="","",Reconciliation!Q250)</f>
        <v/>
      </c>
      <c r="R249" s="33" t="str">
        <f aca="false">IF(OR(Reconciliation!R250="✅ MATCH",Reconciliation!R250=""),"",Reconciliation!R250)</f>
        <v/>
      </c>
    </row>
    <row r="250" customFormat="false" ht="15" hidden="false" customHeight="true" outlineLevel="0" collapsed="false">
      <c r="A250" s="29" t="str">
        <f aca="false">IF(R250="","",Reconciliation!A251)</f>
        <v/>
      </c>
      <c r="B250" s="30" t="str">
        <f aca="false">IF(R250="","",Reconciliation!B251)</f>
        <v/>
      </c>
      <c r="C250" s="30" t="str">
        <f aca="false">IF(R250="","",Reconciliation!C251)</f>
        <v/>
      </c>
      <c r="D250" s="30" t="str">
        <f aca="false">IF(R250="","",Reconciliation!D251)</f>
        <v/>
      </c>
      <c r="E250" s="31" t="str">
        <f aca="false">IF(R250="","",Reconciliation!E251)</f>
        <v/>
      </c>
      <c r="F250" s="30" t="str">
        <f aca="false">IF(R250="","",Reconciliation!F251)</f>
        <v/>
      </c>
      <c r="G250" s="30" t="str">
        <f aca="false">IF(R250="","",Reconciliation!G251)</f>
        <v/>
      </c>
      <c r="H250" s="30" t="str">
        <f aca="false">IF(R250="","",Reconciliation!H251)</f>
        <v/>
      </c>
      <c r="I250" s="30" t="str">
        <f aca="false">IF(R250="","",Reconciliation!I251)</f>
        <v/>
      </c>
      <c r="J250" s="31" t="str">
        <f aca="false">IF(R250="","",Reconciliation!J251)</f>
        <v/>
      </c>
      <c r="K250" s="30" t="str">
        <f aca="false">IF(R250="","",Reconciliation!K251)</f>
        <v/>
      </c>
      <c r="L250" s="30" t="str">
        <f aca="false">IF(R250="","",Reconciliation!L251)</f>
        <v/>
      </c>
      <c r="M250" s="32" t="str">
        <f aca="false">IF(R250="","",Reconciliation!M251)</f>
        <v/>
      </c>
      <c r="N250" s="32" t="str">
        <f aca="false">IF(R250="","",Reconciliation!N251)</f>
        <v/>
      </c>
      <c r="O250" s="32" t="str">
        <f aca="false">IF(R250="","",Reconciliation!O251)</f>
        <v/>
      </c>
      <c r="P250" s="32" t="str">
        <f aca="false">IF(R250="","",Reconciliation!P251)</f>
        <v/>
      </c>
      <c r="Q250" s="32" t="str">
        <f aca="false">IF(R250="","",Reconciliation!Q251)</f>
        <v/>
      </c>
      <c r="R250" s="33" t="str">
        <f aca="false">IF(OR(Reconciliation!R251="✅ MATCH",Reconciliation!R251=""),"",Reconciliation!R251)</f>
        <v/>
      </c>
    </row>
    <row r="251" customFormat="false" ht="15" hidden="false" customHeight="true" outlineLevel="0" collapsed="false">
      <c r="A251" s="29" t="str">
        <f aca="false">IF(R251="","",Reconciliation!A252)</f>
        <v/>
      </c>
      <c r="B251" s="30" t="str">
        <f aca="false">IF(R251="","",Reconciliation!B252)</f>
        <v/>
      </c>
      <c r="C251" s="30" t="str">
        <f aca="false">IF(R251="","",Reconciliation!C252)</f>
        <v/>
      </c>
      <c r="D251" s="30" t="str">
        <f aca="false">IF(R251="","",Reconciliation!D252)</f>
        <v/>
      </c>
      <c r="E251" s="31" t="str">
        <f aca="false">IF(R251="","",Reconciliation!E252)</f>
        <v/>
      </c>
      <c r="F251" s="30" t="str">
        <f aca="false">IF(R251="","",Reconciliation!F252)</f>
        <v/>
      </c>
      <c r="G251" s="30" t="str">
        <f aca="false">IF(R251="","",Reconciliation!G252)</f>
        <v/>
      </c>
      <c r="H251" s="30" t="str">
        <f aca="false">IF(R251="","",Reconciliation!H252)</f>
        <v/>
      </c>
      <c r="I251" s="30" t="str">
        <f aca="false">IF(R251="","",Reconciliation!I252)</f>
        <v/>
      </c>
      <c r="J251" s="31" t="str">
        <f aca="false">IF(R251="","",Reconciliation!J252)</f>
        <v/>
      </c>
      <c r="K251" s="30" t="str">
        <f aca="false">IF(R251="","",Reconciliation!K252)</f>
        <v/>
      </c>
      <c r="L251" s="30" t="str">
        <f aca="false">IF(R251="","",Reconciliation!L252)</f>
        <v/>
      </c>
      <c r="M251" s="32" t="str">
        <f aca="false">IF(R251="","",Reconciliation!M252)</f>
        <v/>
      </c>
      <c r="N251" s="32" t="str">
        <f aca="false">IF(R251="","",Reconciliation!N252)</f>
        <v/>
      </c>
      <c r="O251" s="32" t="str">
        <f aca="false">IF(R251="","",Reconciliation!O252)</f>
        <v/>
      </c>
      <c r="P251" s="32" t="str">
        <f aca="false">IF(R251="","",Reconciliation!P252)</f>
        <v/>
      </c>
      <c r="Q251" s="32" t="str">
        <f aca="false">IF(R251="","",Reconciliation!Q252)</f>
        <v/>
      </c>
      <c r="R251" s="33" t="str">
        <f aca="false">IF(OR(Reconciliation!R252="✅ MATCH",Reconciliation!R252=""),"",Reconciliation!R252)</f>
        <v/>
      </c>
    </row>
    <row r="252" customFormat="false" ht="15" hidden="false" customHeight="true" outlineLevel="0" collapsed="false">
      <c r="A252" s="29" t="str">
        <f aca="false">IF(R252="","",Reconciliation!A253)</f>
        <v/>
      </c>
      <c r="B252" s="30" t="str">
        <f aca="false">IF(R252="","",Reconciliation!B253)</f>
        <v/>
      </c>
      <c r="C252" s="30" t="str">
        <f aca="false">IF(R252="","",Reconciliation!C253)</f>
        <v/>
      </c>
      <c r="D252" s="30" t="str">
        <f aca="false">IF(R252="","",Reconciliation!D253)</f>
        <v/>
      </c>
      <c r="E252" s="31" t="str">
        <f aca="false">IF(R252="","",Reconciliation!E253)</f>
        <v/>
      </c>
      <c r="F252" s="30" t="str">
        <f aca="false">IF(R252="","",Reconciliation!F253)</f>
        <v/>
      </c>
      <c r="G252" s="30" t="str">
        <f aca="false">IF(R252="","",Reconciliation!G253)</f>
        <v/>
      </c>
      <c r="H252" s="30" t="str">
        <f aca="false">IF(R252="","",Reconciliation!H253)</f>
        <v/>
      </c>
      <c r="I252" s="30" t="str">
        <f aca="false">IF(R252="","",Reconciliation!I253)</f>
        <v/>
      </c>
      <c r="J252" s="31" t="str">
        <f aca="false">IF(R252="","",Reconciliation!J253)</f>
        <v/>
      </c>
      <c r="K252" s="30" t="str">
        <f aca="false">IF(R252="","",Reconciliation!K253)</f>
        <v/>
      </c>
      <c r="L252" s="30" t="str">
        <f aca="false">IF(R252="","",Reconciliation!L253)</f>
        <v/>
      </c>
      <c r="M252" s="32" t="str">
        <f aca="false">IF(R252="","",Reconciliation!M253)</f>
        <v/>
      </c>
      <c r="N252" s="32" t="str">
        <f aca="false">IF(R252="","",Reconciliation!N253)</f>
        <v/>
      </c>
      <c r="O252" s="32" t="str">
        <f aca="false">IF(R252="","",Reconciliation!O253)</f>
        <v/>
      </c>
      <c r="P252" s="32" t="str">
        <f aca="false">IF(R252="","",Reconciliation!P253)</f>
        <v/>
      </c>
      <c r="Q252" s="32" t="str">
        <f aca="false">IF(R252="","",Reconciliation!Q253)</f>
        <v/>
      </c>
      <c r="R252" s="33" t="str">
        <f aca="false">IF(OR(Reconciliation!R253="✅ MATCH",Reconciliation!R253=""),"",Reconciliation!R253)</f>
        <v/>
      </c>
    </row>
    <row r="253" customFormat="false" ht="15" hidden="false" customHeight="true" outlineLevel="0" collapsed="false">
      <c r="A253" s="29" t="str">
        <f aca="false">IF(R253="","",Reconciliation!A254)</f>
        <v/>
      </c>
      <c r="B253" s="30" t="str">
        <f aca="false">IF(R253="","",Reconciliation!B254)</f>
        <v/>
      </c>
      <c r="C253" s="30" t="str">
        <f aca="false">IF(R253="","",Reconciliation!C254)</f>
        <v/>
      </c>
      <c r="D253" s="30" t="str">
        <f aca="false">IF(R253="","",Reconciliation!D254)</f>
        <v/>
      </c>
      <c r="E253" s="31" t="str">
        <f aca="false">IF(R253="","",Reconciliation!E254)</f>
        <v/>
      </c>
      <c r="F253" s="30" t="str">
        <f aca="false">IF(R253="","",Reconciliation!F254)</f>
        <v/>
      </c>
      <c r="G253" s="30" t="str">
        <f aca="false">IF(R253="","",Reconciliation!G254)</f>
        <v/>
      </c>
      <c r="H253" s="30" t="str">
        <f aca="false">IF(R253="","",Reconciliation!H254)</f>
        <v/>
      </c>
      <c r="I253" s="30" t="str">
        <f aca="false">IF(R253="","",Reconciliation!I254)</f>
        <v/>
      </c>
      <c r="J253" s="31" t="str">
        <f aca="false">IF(R253="","",Reconciliation!J254)</f>
        <v/>
      </c>
      <c r="K253" s="30" t="str">
        <f aca="false">IF(R253="","",Reconciliation!K254)</f>
        <v/>
      </c>
      <c r="L253" s="30" t="str">
        <f aca="false">IF(R253="","",Reconciliation!L254)</f>
        <v/>
      </c>
      <c r="M253" s="32" t="str">
        <f aca="false">IF(R253="","",Reconciliation!M254)</f>
        <v/>
      </c>
      <c r="N253" s="32" t="str">
        <f aca="false">IF(R253="","",Reconciliation!N254)</f>
        <v/>
      </c>
      <c r="O253" s="32" t="str">
        <f aca="false">IF(R253="","",Reconciliation!O254)</f>
        <v/>
      </c>
      <c r="P253" s="32" t="str">
        <f aca="false">IF(R253="","",Reconciliation!P254)</f>
        <v/>
      </c>
      <c r="Q253" s="32" t="str">
        <f aca="false">IF(R253="","",Reconciliation!Q254)</f>
        <v/>
      </c>
      <c r="R253" s="33" t="str">
        <f aca="false">IF(OR(Reconciliation!R254="✅ MATCH",Reconciliation!R254=""),"",Reconciliation!R254)</f>
        <v/>
      </c>
    </row>
    <row r="254" customFormat="false" ht="15" hidden="false" customHeight="true" outlineLevel="0" collapsed="false">
      <c r="A254" s="29" t="str">
        <f aca="false">IF(R254="","",Reconciliation!A255)</f>
        <v/>
      </c>
      <c r="B254" s="30" t="str">
        <f aca="false">IF(R254="","",Reconciliation!B255)</f>
        <v/>
      </c>
      <c r="C254" s="30" t="str">
        <f aca="false">IF(R254="","",Reconciliation!C255)</f>
        <v/>
      </c>
      <c r="D254" s="30" t="str">
        <f aca="false">IF(R254="","",Reconciliation!D255)</f>
        <v/>
      </c>
      <c r="E254" s="31" t="str">
        <f aca="false">IF(R254="","",Reconciliation!E255)</f>
        <v/>
      </c>
      <c r="F254" s="30" t="str">
        <f aca="false">IF(R254="","",Reconciliation!F255)</f>
        <v/>
      </c>
      <c r="G254" s="30" t="str">
        <f aca="false">IF(R254="","",Reconciliation!G255)</f>
        <v/>
      </c>
      <c r="H254" s="30" t="str">
        <f aca="false">IF(R254="","",Reconciliation!H255)</f>
        <v/>
      </c>
      <c r="I254" s="30" t="str">
        <f aca="false">IF(R254="","",Reconciliation!I255)</f>
        <v/>
      </c>
      <c r="J254" s="31" t="str">
        <f aca="false">IF(R254="","",Reconciliation!J255)</f>
        <v/>
      </c>
      <c r="K254" s="30" t="str">
        <f aca="false">IF(R254="","",Reconciliation!K255)</f>
        <v/>
      </c>
      <c r="L254" s="30" t="str">
        <f aca="false">IF(R254="","",Reconciliation!L255)</f>
        <v/>
      </c>
      <c r="M254" s="32" t="str">
        <f aca="false">IF(R254="","",Reconciliation!M255)</f>
        <v/>
      </c>
      <c r="N254" s="32" t="str">
        <f aca="false">IF(R254="","",Reconciliation!N255)</f>
        <v/>
      </c>
      <c r="O254" s="32" t="str">
        <f aca="false">IF(R254="","",Reconciliation!O255)</f>
        <v/>
      </c>
      <c r="P254" s="32" t="str">
        <f aca="false">IF(R254="","",Reconciliation!P255)</f>
        <v/>
      </c>
      <c r="Q254" s="32" t="str">
        <f aca="false">IF(R254="","",Reconciliation!Q255)</f>
        <v/>
      </c>
      <c r="R254" s="33" t="str">
        <f aca="false">IF(OR(Reconciliation!R255="✅ MATCH",Reconciliation!R255=""),"",Reconciliation!R255)</f>
        <v/>
      </c>
    </row>
    <row r="255" customFormat="false" ht="15" hidden="false" customHeight="true" outlineLevel="0" collapsed="false">
      <c r="A255" s="29" t="str">
        <f aca="false">IF(R255="","",Reconciliation!A256)</f>
        <v/>
      </c>
      <c r="B255" s="30" t="str">
        <f aca="false">IF(R255="","",Reconciliation!B256)</f>
        <v/>
      </c>
      <c r="C255" s="30" t="str">
        <f aca="false">IF(R255="","",Reconciliation!C256)</f>
        <v/>
      </c>
      <c r="D255" s="30" t="str">
        <f aca="false">IF(R255="","",Reconciliation!D256)</f>
        <v/>
      </c>
      <c r="E255" s="31" t="str">
        <f aca="false">IF(R255="","",Reconciliation!E256)</f>
        <v/>
      </c>
      <c r="F255" s="30" t="str">
        <f aca="false">IF(R255="","",Reconciliation!F256)</f>
        <v/>
      </c>
      <c r="G255" s="30" t="str">
        <f aca="false">IF(R255="","",Reconciliation!G256)</f>
        <v/>
      </c>
      <c r="H255" s="30" t="str">
        <f aca="false">IF(R255="","",Reconciliation!H256)</f>
        <v/>
      </c>
      <c r="I255" s="30" t="str">
        <f aca="false">IF(R255="","",Reconciliation!I256)</f>
        <v/>
      </c>
      <c r="J255" s="31" t="str">
        <f aca="false">IF(R255="","",Reconciliation!J256)</f>
        <v/>
      </c>
      <c r="K255" s="30" t="str">
        <f aca="false">IF(R255="","",Reconciliation!K256)</f>
        <v/>
      </c>
      <c r="L255" s="30" t="str">
        <f aca="false">IF(R255="","",Reconciliation!L256)</f>
        <v/>
      </c>
      <c r="M255" s="32" t="str">
        <f aca="false">IF(R255="","",Reconciliation!M256)</f>
        <v/>
      </c>
      <c r="N255" s="32" t="str">
        <f aca="false">IF(R255="","",Reconciliation!N256)</f>
        <v/>
      </c>
      <c r="O255" s="32" t="str">
        <f aca="false">IF(R255="","",Reconciliation!O256)</f>
        <v/>
      </c>
      <c r="P255" s="32" t="str">
        <f aca="false">IF(R255="","",Reconciliation!P256)</f>
        <v/>
      </c>
      <c r="Q255" s="32" t="str">
        <f aca="false">IF(R255="","",Reconciliation!Q256)</f>
        <v/>
      </c>
      <c r="R255" s="33" t="str">
        <f aca="false">IF(OR(Reconciliation!R256="✅ MATCH",Reconciliation!R256=""),"",Reconciliation!R256)</f>
        <v/>
      </c>
    </row>
    <row r="256" customFormat="false" ht="15" hidden="false" customHeight="true" outlineLevel="0" collapsed="false">
      <c r="A256" s="29" t="str">
        <f aca="false">IF(R256="","",Reconciliation!A257)</f>
        <v/>
      </c>
      <c r="B256" s="30" t="str">
        <f aca="false">IF(R256="","",Reconciliation!B257)</f>
        <v/>
      </c>
      <c r="C256" s="30" t="str">
        <f aca="false">IF(R256="","",Reconciliation!C257)</f>
        <v/>
      </c>
      <c r="D256" s="30" t="str">
        <f aca="false">IF(R256="","",Reconciliation!D257)</f>
        <v/>
      </c>
      <c r="E256" s="31" t="str">
        <f aca="false">IF(R256="","",Reconciliation!E257)</f>
        <v/>
      </c>
      <c r="F256" s="30" t="str">
        <f aca="false">IF(R256="","",Reconciliation!F257)</f>
        <v/>
      </c>
      <c r="G256" s="30" t="str">
        <f aca="false">IF(R256="","",Reconciliation!G257)</f>
        <v/>
      </c>
      <c r="H256" s="30" t="str">
        <f aca="false">IF(R256="","",Reconciliation!H257)</f>
        <v/>
      </c>
      <c r="I256" s="30" t="str">
        <f aca="false">IF(R256="","",Reconciliation!I257)</f>
        <v/>
      </c>
      <c r="J256" s="31" t="str">
        <f aca="false">IF(R256="","",Reconciliation!J257)</f>
        <v/>
      </c>
      <c r="K256" s="30" t="str">
        <f aca="false">IF(R256="","",Reconciliation!K257)</f>
        <v/>
      </c>
      <c r="L256" s="30" t="str">
        <f aca="false">IF(R256="","",Reconciliation!L257)</f>
        <v/>
      </c>
      <c r="M256" s="32" t="str">
        <f aca="false">IF(R256="","",Reconciliation!M257)</f>
        <v/>
      </c>
      <c r="N256" s="32" t="str">
        <f aca="false">IF(R256="","",Reconciliation!N257)</f>
        <v/>
      </c>
      <c r="O256" s="32" t="str">
        <f aca="false">IF(R256="","",Reconciliation!O257)</f>
        <v/>
      </c>
      <c r="P256" s="32" t="str">
        <f aca="false">IF(R256="","",Reconciliation!P257)</f>
        <v/>
      </c>
      <c r="Q256" s="32" t="str">
        <f aca="false">IF(R256="","",Reconciliation!Q257)</f>
        <v/>
      </c>
      <c r="R256" s="33" t="str">
        <f aca="false">IF(OR(Reconciliation!R257="✅ MATCH",Reconciliation!R257=""),"",Reconciliation!R257)</f>
        <v/>
      </c>
    </row>
    <row r="257" customFormat="false" ht="15" hidden="false" customHeight="true" outlineLevel="0" collapsed="false">
      <c r="A257" s="29" t="str">
        <f aca="false">IF(R257="","",Reconciliation!A258)</f>
        <v/>
      </c>
      <c r="B257" s="30" t="str">
        <f aca="false">IF(R257="","",Reconciliation!B258)</f>
        <v/>
      </c>
      <c r="C257" s="30" t="str">
        <f aca="false">IF(R257="","",Reconciliation!C258)</f>
        <v/>
      </c>
      <c r="D257" s="30" t="str">
        <f aca="false">IF(R257="","",Reconciliation!D258)</f>
        <v/>
      </c>
      <c r="E257" s="31" t="str">
        <f aca="false">IF(R257="","",Reconciliation!E258)</f>
        <v/>
      </c>
      <c r="F257" s="30" t="str">
        <f aca="false">IF(R257="","",Reconciliation!F258)</f>
        <v/>
      </c>
      <c r="G257" s="30" t="str">
        <f aca="false">IF(R257="","",Reconciliation!G258)</f>
        <v/>
      </c>
      <c r="H257" s="30" t="str">
        <f aca="false">IF(R257="","",Reconciliation!H258)</f>
        <v/>
      </c>
      <c r="I257" s="30" t="str">
        <f aca="false">IF(R257="","",Reconciliation!I258)</f>
        <v/>
      </c>
      <c r="J257" s="31" t="str">
        <f aca="false">IF(R257="","",Reconciliation!J258)</f>
        <v/>
      </c>
      <c r="K257" s="30" t="str">
        <f aca="false">IF(R257="","",Reconciliation!K258)</f>
        <v/>
      </c>
      <c r="L257" s="30" t="str">
        <f aca="false">IF(R257="","",Reconciliation!L258)</f>
        <v/>
      </c>
      <c r="M257" s="32" t="str">
        <f aca="false">IF(R257="","",Reconciliation!M258)</f>
        <v/>
      </c>
      <c r="N257" s="32" t="str">
        <f aca="false">IF(R257="","",Reconciliation!N258)</f>
        <v/>
      </c>
      <c r="O257" s="32" t="str">
        <f aca="false">IF(R257="","",Reconciliation!O258)</f>
        <v/>
      </c>
      <c r="P257" s="32" t="str">
        <f aca="false">IF(R257="","",Reconciliation!P258)</f>
        <v/>
      </c>
      <c r="Q257" s="32" t="str">
        <f aca="false">IF(R257="","",Reconciliation!Q258)</f>
        <v/>
      </c>
      <c r="R257" s="33" t="str">
        <f aca="false">IF(OR(Reconciliation!R258="✅ MATCH",Reconciliation!R258=""),"",Reconciliation!R258)</f>
        <v/>
      </c>
    </row>
    <row r="258" customFormat="false" ht="15" hidden="false" customHeight="true" outlineLevel="0" collapsed="false">
      <c r="A258" s="29" t="str">
        <f aca="false">IF(R258="","",Reconciliation!A259)</f>
        <v/>
      </c>
      <c r="B258" s="30" t="str">
        <f aca="false">IF(R258="","",Reconciliation!B259)</f>
        <v/>
      </c>
      <c r="C258" s="30" t="str">
        <f aca="false">IF(R258="","",Reconciliation!C259)</f>
        <v/>
      </c>
      <c r="D258" s="30" t="str">
        <f aca="false">IF(R258="","",Reconciliation!D259)</f>
        <v/>
      </c>
      <c r="E258" s="31" t="str">
        <f aca="false">IF(R258="","",Reconciliation!E259)</f>
        <v/>
      </c>
      <c r="F258" s="30" t="str">
        <f aca="false">IF(R258="","",Reconciliation!F259)</f>
        <v/>
      </c>
      <c r="G258" s="30" t="str">
        <f aca="false">IF(R258="","",Reconciliation!G259)</f>
        <v/>
      </c>
      <c r="H258" s="30" t="str">
        <f aca="false">IF(R258="","",Reconciliation!H259)</f>
        <v/>
      </c>
      <c r="I258" s="30" t="str">
        <f aca="false">IF(R258="","",Reconciliation!I259)</f>
        <v/>
      </c>
      <c r="J258" s="31" t="str">
        <f aca="false">IF(R258="","",Reconciliation!J259)</f>
        <v/>
      </c>
      <c r="K258" s="30" t="str">
        <f aca="false">IF(R258="","",Reconciliation!K259)</f>
        <v/>
      </c>
      <c r="L258" s="30" t="str">
        <f aca="false">IF(R258="","",Reconciliation!L259)</f>
        <v/>
      </c>
      <c r="M258" s="32" t="str">
        <f aca="false">IF(R258="","",Reconciliation!M259)</f>
        <v/>
      </c>
      <c r="N258" s="32" t="str">
        <f aca="false">IF(R258="","",Reconciliation!N259)</f>
        <v/>
      </c>
      <c r="O258" s="32" t="str">
        <f aca="false">IF(R258="","",Reconciliation!O259)</f>
        <v/>
      </c>
      <c r="P258" s="32" t="str">
        <f aca="false">IF(R258="","",Reconciliation!P259)</f>
        <v/>
      </c>
      <c r="Q258" s="32" t="str">
        <f aca="false">IF(R258="","",Reconciliation!Q259)</f>
        <v/>
      </c>
      <c r="R258" s="33" t="str">
        <f aca="false">IF(OR(Reconciliation!R259="✅ MATCH",Reconciliation!R259=""),"",Reconciliation!R259)</f>
        <v/>
      </c>
    </row>
    <row r="259" customFormat="false" ht="15" hidden="false" customHeight="true" outlineLevel="0" collapsed="false">
      <c r="A259" s="29" t="str">
        <f aca="false">IF(R259="","",Reconciliation!A260)</f>
        <v/>
      </c>
      <c r="B259" s="30" t="str">
        <f aca="false">IF(R259="","",Reconciliation!B260)</f>
        <v/>
      </c>
      <c r="C259" s="30" t="str">
        <f aca="false">IF(R259="","",Reconciliation!C260)</f>
        <v/>
      </c>
      <c r="D259" s="30" t="str">
        <f aca="false">IF(R259="","",Reconciliation!D260)</f>
        <v/>
      </c>
      <c r="E259" s="31" t="str">
        <f aca="false">IF(R259="","",Reconciliation!E260)</f>
        <v/>
      </c>
      <c r="F259" s="30" t="str">
        <f aca="false">IF(R259="","",Reconciliation!F260)</f>
        <v/>
      </c>
      <c r="G259" s="30" t="str">
        <f aca="false">IF(R259="","",Reconciliation!G260)</f>
        <v/>
      </c>
      <c r="H259" s="30" t="str">
        <f aca="false">IF(R259="","",Reconciliation!H260)</f>
        <v/>
      </c>
      <c r="I259" s="30" t="str">
        <f aca="false">IF(R259="","",Reconciliation!I260)</f>
        <v/>
      </c>
      <c r="J259" s="31" t="str">
        <f aca="false">IF(R259="","",Reconciliation!J260)</f>
        <v/>
      </c>
      <c r="K259" s="30" t="str">
        <f aca="false">IF(R259="","",Reconciliation!K260)</f>
        <v/>
      </c>
      <c r="L259" s="30" t="str">
        <f aca="false">IF(R259="","",Reconciliation!L260)</f>
        <v/>
      </c>
      <c r="M259" s="32" t="str">
        <f aca="false">IF(R259="","",Reconciliation!M260)</f>
        <v/>
      </c>
      <c r="N259" s="32" t="str">
        <f aca="false">IF(R259="","",Reconciliation!N260)</f>
        <v/>
      </c>
      <c r="O259" s="32" t="str">
        <f aca="false">IF(R259="","",Reconciliation!O260)</f>
        <v/>
      </c>
      <c r="P259" s="32" t="str">
        <f aca="false">IF(R259="","",Reconciliation!P260)</f>
        <v/>
      </c>
      <c r="Q259" s="32" t="str">
        <f aca="false">IF(R259="","",Reconciliation!Q260)</f>
        <v/>
      </c>
      <c r="R259" s="33" t="str">
        <f aca="false">IF(OR(Reconciliation!R260="✅ MATCH",Reconciliation!R260=""),"",Reconciliation!R260)</f>
        <v/>
      </c>
    </row>
    <row r="260" customFormat="false" ht="15" hidden="false" customHeight="true" outlineLevel="0" collapsed="false">
      <c r="A260" s="29" t="str">
        <f aca="false">IF(R260="","",Reconciliation!A261)</f>
        <v/>
      </c>
      <c r="B260" s="30" t="str">
        <f aca="false">IF(R260="","",Reconciliation!B261)</f>
        <v/>
      </c>
      <c r="C260" s="30" t="str">
        <f aca="false">IF(R260="","",Reconciliation!C261)</f>
        <v/>
      </c>
      <c r="D260" s="30" t="str">
        <f aca="false">IF(R260="","",Reconciliation!D261)</f>
        <v/>
      </c>
      <c r="E260" s="31" t="str">
        <f aca="false">IF(R260="","",Reconciliation!E261)</f>
        <v/>
      </c>
      <c r="F260" s="30" t="str">
        <f aca="false">IF(R260="","",Reconciliation!F261)</f>
        <v/>
      </c>
      <c r="G260" s="30" t="str">
        <f aca="false">IF(R260="","",Reconciliation!G261)</f>
        <v/>
      </c>
      <c r="H260" s="30" t="str">
        <f aca="false">IF(R260="","",Reconciliation!H261)</f>
        <v/>
      </c>
      <c r="I260" s="30" t="str">
        <f aca="false">IF(R260="","",Reconciliation!I261)</f>
        <v/>
      </c>
      <c r="J260" s="31" t="str">
        <f aca="false">IF(R260="","",Reconciliation!J261)</f>
        <v/>
      </c>
      <c r="K260" s="30" t="str">
        <f aca="false">IF(R260="","",Reconciliation!K261)</f>
        <v/>
      </c>
      <c r="L260" s="30" t="str">
        <f aca="false">IF(R260="","",Reconciliation!L261)</f>
        <v/>
      </c>
      <c r="M260" s="32" t="str">
        <f aca="false">IF(R260="","",Reconciliation!M261)</f>
        <v/>
      </c>
      <c r="N260" s="32" t="str">
        <f aca="false">IF(R260="","",Reconciliation!N261)</f>
        <v/>
      </c>
      <c r="O260" s="32" t="str">
        <f aca="false">IF(R260="","",Reconciliation!O261)</f>
        <v/>
      </c>
      <c r="P260" s="32" t="str">
        <f aca="false">IF(R260="","",Reconciliation!P261)</f>
        <v/>
      </c>
      <c r="Q260" s="32" t="str">
        <f aca="false">IF(R260="","",Reconciliation!Q261)</f>
        <v/>
      </c>
      <c r="R260" s="33" t="str">
        <f aca="false">IF(OR(Reconciliation!R261="✅ MATCH",Reconciliation!R261=""),"",Reconciliation!R261)</f>
        <v/>
      </c>
    </row>
    <row r="261" customFormat="false" ht="15" hidden="false" customHeight="true" outlineLevel="0" collapsed="false">
      <c r="A261" s="29" t="str">
        <f aca="false">IF(R261="","",Reconciliation!A262)</f>
        <v/>
      </c>
      <c r="B261" s="30" t="str">
        <f aca="false">IF(R261="","",Reconciliation!B262)</f>
        <v/>
      </c>
      <c r="C261" s="30" t="str">
        <f aca="false">IF(R261="","",Reconciliation!C262)</f>
        <v/>
      </c>
      <c r="D261" s="30" t="str">
        <f aca="false">IF(R261="","",Reconciliation!D262)</f>
        <v/>
      </c>
      <c r="E261" s="31" t="str">
        <f aca="false">IF(R261="","",Reconciliation!E262)</f>
        <v/>
      </c>
      <c r="F261" s="30" t="str">
        <f aca="false">IF(R261="","",Reconciliation!F262)</f>
        <v/>
      </c>
      <c r="G261" s="30" t="str">
        <f aca="false">IF(R261="","",Reconciliation!G262)</f>
        <v/>
      </c>
      <c r="H261" s="30" t="str">
        <f aca="false">IF(R261="","",Reconciliation!H262)</f>
        <v/>
      </c>
      <c r="I261" s="30" t="str">
        <f aca="false">IF(R261="","",Reconciliation!I262)</f>
        <v/>
      </c>
      <c r="J261" s="31" t="str">
        <f aca="false">IF(R261="","",Reconciliation!J262)</f>
        <v/>
      </c>
      <c r="K261" s="30" t="str">
        <f aca="false">IF(R261="","",Reconciliation!K262)</f>
        <v/>
      </c>
      <c r="L261" s="30" t="str">
        <f aca="false">IF(R261="","",Reconciliation!L262)</f>
        <v/>
      </c>
      <c r="M261" s="32" t="str">
        <f aca="false">IF(R261="","",Reconciliation!M262)</f>
        <v/>
      </c>
      <c r="N261" s="32" t="str">
        <f aca="false">IF(R261="","",Reconciliation!N262)</f>
        <v/>
      </c>
      <c r="O261" s="32" t="str">
        <f aca="false">IF(R261="","",Reconciliation!O262)</f>
        <v/>
      </c>
      <c r="P261" s="32" t="str">
        <f aca="false">IF(R261="","",Reconciliation!P262)</f>
        <v/>
      </c>
      <c r="Q261" s="32" t="str">
        <f aca="false">IF(R261="","",Reconciliation!Q262)</f>
        <v/>
      </c>
      <c r="R261" s="33" t="str">
        <f aca="false">IF(OR(Reconciliation!R262="✅ MATCH",Reconciliation!R262=""),"",Reconciliation!R262)</f>
        <v/>
      </c>
    </row>
    <row r="262" customFormat="false" ht="15" hidden="false" customHeight="true" outlineLevel="0" collapsed="false">
      <c r="A262" s="29" t="str">
        <f aca="false">IF(R262="","",Reconciliation!A263)</f>
        <v/>
      </c>
      <c r="B262" s="30" t="str">
        <f aca="false">IF(R262="","",Reconciliation!B263)</f>
        <v/>
      </c>
      <c r="C262" s="30" t="str">
        <f aca="false">IF(R262="","",Reconciliation!C263)</f>
        <v/>
      </c>
      <c r="D262" s="30" t="str">
        <f aca="false">IF(R262="","",Reconciliation!D263)</f>
        <v/>
      </c>
      <c r="E262" s="31" t="str">
        <f aca="false">IF(R262="","",Reconciliation!E263)</f>
        <v/>
      </c>
      <c r="F262" s="30" t="str">
        <f aca="false">IF(R262="","",Reconciliation!F263)</f>
        <v/>
      </c>
      <c r="G262" s="30" t="str">
        <f aca="false">IF(R262="","",Reconciliation!G263)</f>
        <v/>
      </c>
      <c r="H262" s="30" t="str">
        <f aca="false">IF(R262="","",Reconciliation!H263)</f>
        <v/>
      </c>
      <c r="I262" s="30" t="str">
        <f aca="false">IF(R262="","",Reconciliation!I263)</f>
        <v/>
      </c>
      <c r="J262" s="31" t="str">
        <f aca="false">IF(R262="","",Reconciliation!J263)</f>
        <v/>
      </c>
      <c r="K262" s="30" t="str">
        <f aca="false">IF(R262="","",Reconciliation!K263)</f>
        <v/>
      </c>
      <c r="L262" s="30" t="str">
        <f aca="false">IF(R262="","",Reconciliation!L263)</f>
        <v/>
      </c>
      <c r="M262" s="32" t="str">
        <f aca="false">IF(R262="","",Reconciliation!M263)</f>
        <v/>
      </c>
      <c r="N262" s="32" t="str">
        <f aca="false">IF(R262="","",Reconciliation!N263)</f>
        <v/>
      </c>
      <c r="O262" s="32" t="str">
        <f aca="false">IF(R262="","",Reconciliation!O263)</f>
        <v/>
      </c>
      <c r="P262" s="32" t="str">
        <f aca="false">IF(R262="","",Reconciliation!P263)</f>
        <v/>
      </c>
      <c r="Q262" s="32" t="str">
        <f aca="false">IF(R262="","",Reconciliation!Q263)</f>
        <v/>
      </c>
      <c r="R262" s="33" t="str">
        <f aca="false">IF(OR(Reconciliation!R263="✅ MATCH",Reconciliation!R263=""),"",Reconciliation!R263)</f>
        <v/>
      </c>
    </row>
    <row r="263" customFormat="false" ht="15" hidden="false" customHeight="true" outlineLevel="0" collapsed="false">
      <c r="A263" s="29" t="str">
        <f aca="false">IF(R263="","",Reconciliation!A264)</f>
        <v/>
      </c>
      <c r="B263" s="30" t="str">
        <f aca="false">IF(R263="","",Reconciliation!B264)</f>
        <v/>
      </c>
      <c r="C263" s="30" t="str">
        <f aca="false">IF(R263="","",Reconciliation!C264)</f>
        <v/>
      </c>
      <c r="D263" s="30" t="str">
        <f aca="false">IF(R263="","",Reconciliation!D264)</f>
        <v/>
      </c>
      <c r="E263" s="31" t="str">
        <f aca="false">IF(R263="","",Reconciliation!E264)</f>
        <v/>
      </c>
      <c r="F263" s="30" t="str">
        <f aca="false">IF(R263="","",Reconciliation!F264)</f>
        <v/>
      </c>
      <c r="G263" s="30" t="str">
        <f aca="false">IF(R263="","",Reconciliation!G264)</f>
        <v/>
      </c>
      <c r="H263" s="30" t="str">
        <f aca="false">IF(R263="","",Reconciliation!H264)</f>
        <v/>
      </c>
      <c r="I263" s="30" t="str">
        <f aca="false">IF(R263="","",Reconciliation!I264)</f>
        <v/>
      </c>
      <c r="J263" s="31" t="str">
        <f aca="false">IF(R263="","",Reconciliation!J264)</f>
        <v/>
      </c>
      <c r="K263" s="30" t="str">
        <f aca="false">IF(R263="","",Reconciliation!K264)</f>
        <v/>
      </c>
      <c r="L263" s="30" t="str">
        <f aca="false">IF(R263="","",Reconciliation!L264)</f>
        <v/>
      </c>
      <c r="M263" s="32" t="str">
        <f aca="false">IF(R263="","",Reconciliation!M264)</f>
        <v/>
      </c>
      <c r="N263" s="32" t="str">
        <f aca="false">IF(R263="","",Reconciliation!N264)</f>
        <v/>
      </c>
      <c r="O263" s="32" t="str">
        <f aca="false">IF(R263="","",Reconciliation!O264)</f>
        <v/>
      </c>
      <c r="P263" s="32" t="str">
        <f aca="false">IF(R263="","",Reconciliation!P264)</f>
        <v/>
      </c>
      <c r="Q263" s="32" t="str">
        <f aca="false">IF(R263="","",Reconciliation!Q264)</f>
        <v/>
      </c>
      <c r="R263" s="33" t="str">
        <f aca="false">IF(OR(Reconciliation!R264="✅ MATCH",Reconciliation!R264=""),"",Reconciliation!R264)</f>
        <v/>
      </c>
    </row>
    <row r="264" customFormat="false" ht="15" hidden="false" customHeight="true" outlineLevel="0" collapsed="false">
      <c r="A264" s="29" t="str">
        <f aca="false">IF(R264="","",Reconciliation!A265)</f>
        <v/>
      </c>
      <c r="B264" s="30" t="str">
        <f aca="false">IF(R264="","",Reconciliation!B265)</f>
        <v/>
      </c>
      <c r="C264" s="30" t="str">
        <f aca="false">IF(R264="","",Reconciliation!C265)</f>
        <v/>
      </c>
      <c r="D264" s="30" t="str">
        <f aca="false">IF(R264="","",Reconciliation!D265)</f>
        <v/>
      </c>
      <c r="E264" s="31" t="str">
        <f aca="false">IF(R264="","",Reconciliation!E265)</f>
        <v/>
      </c>
      <c r="F264" s="30" t="str">
        <f aca="false">IF(R264="","",Reconciliation!F265)</f>
        <v/>
      </c>
      <c r="G264" s="30" t="str">
        <f aca="false">IF(R264="","",Reconciliation!G265)</f>
        <v/>
      </c>
      <c r="H264" s="30" t="str">
        <f aca="false">IF(R264="","",Reconciliation!H265)</f>
        <v/>
      </c>
      <c r="I264" s="30" t="str">
        <f aca="false">IF(R264="","",Reconciliation!I265)</f>
        <v/>
      </c>
      <c r="J264" s="31" t="str">
        <f aca="false">IF(R264="","",Reconciliation!J265)</f>
        <v/>
      </c>
      <c r="K264" s="30" t="str">
        <f aca="false">IF(R264="","",Reconciliation!K265)</f>
        <v/>
      </c>
      <c r="L264" s="30" t="str">
        <f aca="false">IF(R264="","",Reconciliation!L265)</f>
        <v/>
      </c>
      <c r="M264" s="32" t="str">
        <f aca="false">IF(R264="","",Reconciliation!M265)</f>
        <v/>
      </c>
      <c r="N264" s="32" t="str">
        <f aca="false">IF(R264="","",Reconciliation!N265)</f>
        <v/>
      </c>
      <c r="O264" s="32" t="str">
        <f aca="false">IF(R264="","",Reconciliation!O265)</f>
        <v/>
      </c>
      <c r="P264" s="32" t="str">
        <f aca="false">IF(R264="","",Reconciliation!P265)</f>
        <v/>
      </c>
      <c r="Q264" s="32" t="str">
        <f aca="false">IF(R264="","",Reconciliation!Q265)</f>
        <v/>
      </c>
      <c r="R264" s="33" t="str">
        <f aca="false">IF(OR(Reconciliation!R265="✅ MATCH",Reconciliation!R265=""),"",Reconciliation!R265)</f>
        <v/>
      </c>
    </row>
    <row r="265" customFormat="false" ht="15" hidden="false" customHeight="true" outlineLevel="0" collapsed="false">
      <c r="A265" s="29" t="str">
        <f aca="false">IF(R265="","",Reconciliation!A266)</f>
        <v/>
      </c>
      <c r="B265" s="30" t="str">
        <f aca="false">IF(R265="","",Reconciliation!B266)</f>
        <v/>
      </c>
      <c r="C265" s="30" t="str">
        <f aca="false">IF(R265="","",Reconciliation!C266)</f>
        <v/>
      </c>
      <c r="D265" s="30" t="str">
        <f aca="false">IF(R265="","",Reconciliation!D266)</f>
        <v/>
      </c>
      <c r="E265" s="31" t="str">
        <f aca="false">IF(R265="","",Reconciliation!E266)</f>
        <v/>
      </c>
      <c r="F265" s="30" t="str">
        <f aca="false">IF(R265="","",Reconciliation!F266)</f>
        <v/>
      </c>
      <c r="G265" s="30" t="str">
        <f aca="false">IF(R265="","",Reconciliation!G266)</f>
        <v/>
      </c>
      <c r="H265" s="30" t="str">
        <f aca="false">IF(R265="","",Reconciliation!H266)</f>
        <v/>
      </c>
      <c r="I265" s="30" t="str">
        <f aca="false">IF(R265="","",Reconciliation!I266)</f>
        <v/>
      </c>
      <c r="J265" s="31" t="str">
        <f aca="false">IF(R265="","",Reconciliation!J266)</f>
        <v/>
      </c>
      <c r="K265" s="30" t="str">
        <f aca="false">IF(R265="","",Reconciliation!K266)</f>
        <v/>
      </c>
      <c r="L265" s="30" t="str">
        <f aca="false">IF(R265="","",Reconciliation!L266)</f>
        <v/>
      </c>
      <c r="M265" s="32" t="str">
        <f aca="false">IF(R265="","",Reconciliation!M266)</f>
        <v/>
      </c>
      <c r="N265" s="32" t="str">
        <f aca="false">IF(R265="","",Reconciliation!N266)</f>
        <v/>
      </c>
      <c r="O265" s="32" t="str">
        <f aca="false">IF(R265="","",Reconciliation!O266)</f>
        <v/>
      </c>
      <c r="P265" s="32" t="str">
        <f aca="false">IF(R265="","",Reconciliation!P266)</f>
        <v/>
      </c>
      <c r="Q265" s="32" t="str">
        <f aca="false">IF(R265="","",Reconciliation!Q266)</f>
        <v/>
      </c>
      <c r="R265" s="33" t="str">
        <f aca="false">IF(OR(Reconciliation!R266="✅ MATCH",Reconciliation!R266=""),"",Reconciliation!R266)</f>
        <v/>
      </c>
    </row>
    <row r="266" customFormat="false" ht="15" hidden="false" customHeight="true" outlineLevel="0" collapsed="false">
      <c r="A266" s="29" t="str">
        <f aca="false">IF(R266="","",Reconciliation!A267)</f>
        <v/>
      </c>
      <c r="B266" s="30" t="str">
        <f aca="false">IF(R266="","",Reconciliation!B267)</f>
        <v/>
      </c>
      <c r="C266" s="30" t="str">
        <f aca="false">IF(R266="","",Reconciliation!C267)</f>
        <v/>
      </c>
      <c r="D266" s="30" t="str">
        <f aca="false">IF(R266="","",Reconciliation!D267)</f>
        <v/>
      </c>
      <c r="E266" s="31" t="str">
        <f aca="false">IF(R266="","",Reconciliation!E267)</f>
        <v/>
      </c>
      <c r="F266" s="30" t="str">
        <f aca="false">IF(R266="","",Reconciliation!F267)</f>
        <v/>
      </c>
      <c r="G266" s="30" t="str">
        <f aca="false">IF(R266="","",Reconciliation!G267)</f>
        <v/>
      </c>
      <c r="H266" s="30" t="str">
        <f aca="false">IF(R266="","",Reconciliation!H267)</f>
        <v/>
      </c>
      <c r="I266" s="30" t="str">
        <f aca="false">IF(R266="","",Reconciliation!I267)</f>
        <v/>
      </c>
      <c r="J266" s="31" t="str">
        <f aca="false">IF(R266="","",Reconciliation!J267)</f>
        <v/>
      </c>
      <c r="K266" s="30" t="str">
        <f aca="false">IF(R266="","",Reconciliation!K267)</f>
        <v/>
      </c>
      <c r="L266" s="30" t="str">
        <f aca="false">IF(R266="","",Reconciliation!L267)</f>
        <v/>
      </c>
      <c r="M266" s="32" t="str">
        <f aca="false">IF(R266="","",Reconciliation!M267)</f>
        <v/>
      </c>
      <c r="N266" s="32" t="str">
        <f aca="false">IF(R266="","",Reconciliation!N267)</f>
        <v/>
      </c>
      <c r="O266" s="32" t="str">
        <f aca="false">IF(R266="","",Reconciliation!O267)</f>
        <v/>
      </c>
      <c r="P266" s="32" t="str">
        <f aca="false">IF(R266="","",Reconciliation!P267)</f>
        <v/>
      </c>
      <c r="Q266" s="32" t="str">
        <f aca="false">IF(R266="","",Reconciliation!Q267)</f>
        <v/>
      </c>
      <c r="R266" s="33" t="str">
        <f aca="false">IF(OR(Reconciliation!R267="✅ MATCH",Reconciliation!R267=""),"",Reconciliation!R267)</f>
        <v/>
      </c>
    </row>
    <row r="267" customFormat="false" ht="15" hidden="false" customHeight="true" outlineLevel="0" collapsed="false">
      <c r="A267" s="29" t="str">
        <f aca="false">IF(R267="","",Reconciliation!A268)</f>
        <v/>
      </c>
      <c r="B267" s="30" t="str">
        <f aca="false">IF(R267="","",Reconciliation!B268)</f>
        <v/>
      </c>
      <c r="C267" s="30" t="str">
        <f aca="false">IF(R267="","",Reconciliation!C268)</f>
        <v/>
      </c>
      <c r="D267" s="30" t="str">
        <f aca="false">IF(R267="","",Reconciliation!D268)</f>
        <v/>
      </c>
      <c r="E267" s="31" t="str">
        <f aca="false">IF(R267="","",Reconciliation!E268)</f>
        <v/>
      </c>
      <c r="F267" s="30" t="str">
        <f aca="false">IF(R267="","",Reconciliation!F268)</f>
        <v/>
      </c>
      <c r="G267" s="30" t="str">
        <f aca="false">IF(R267="","",Reconciliation!G268)</f>
        <v/>
      </c>
      <c r="H267" s="30" t="str">
        <f aca="false">IF(R267="","",Reconciliation!H268)</f>
        <v/>
      </c>
      <c r="I267" s="30" t="str">
        <f aca="false">IF(R267="","",Reconciliation!I268)</f>
        <v/>
      </c>
      <c r="J267" s="31" t="str">
        <f aca="false">IF(R267="","",Reconciliation!J268)</f>
        <v/>
      </c>
      <c r="K267" s="30" t="str">
        <f aca="false">IF(R267="","",Reconciliation!K268)</f>
        <v/>
      </c>
      <c r="L267" s="30" t="str">
        <f aca="false">IF(R267="","",Reconciliation!L268)</f>
        <v/>
      </c>
      <c r="M267" s="32" t="str">
        <f aca="false">IF(R267="","",Reconciliation!M268)</f>
        <v/>
      </c>
      <c r="N267" s="32" t="str">
        <f aca="false">IF(R267="","",Reconciliation!N268)</f>
        <v/>
      </c>
      <c r="O267" s="32" t="str">
        <f aca="false">IF(R267="","",Reconciliation!O268)</f>
        <v/>
      </c>
      <c r="P267" s="32" t="str">
        <f aca="false">IF(R267="","",Reconciliation!P268)</f>
        <v/>
      </c>
      <c r="Q267" s="32" t="str">
        <f aca="false">IF(R267="","",Reconciliation!Q268)</f>
        <v/>
      </c>
      <c r="R267" s="33" t="str">
        <f aca="false">IF(OR(Reconciliation!R268="✅ MATCH",Reconciliation!R268=""),"",Reconciliation!R268)</f>
        <v/>
      </c>
    </row>
    <row r="268" customFormat="false" ht="15" hidden="false" customHeight="true" outlineLevel="0" collapsed="false">
      <c r="A268" s="29" t="str">
        <f aca="false">IF(R268="","",Reconciliation!A269)</f>
        <v/>
      </c>
      <c r="B268" s="30" t="str">
        <f aca="false">IF(R268="","",Reconciliation!B269)</f>
        <v/>
      </c>
      <c r="C268" s="30" t="str">
        <f aca="false">IF(R268="","",Reconciliation!C269)</f>
        <v/>
      </c>
      <c r="D268" s="30" t="str">
        <f aca="false">IF(R268="","",Reconciliation!D269)</f>
        <v/>
      </c>
      <c r="E268" s="31" t="str">
        <f aca="false">IF(R268="","",Reconciliation!E269)</f>
        <v/>
      </c>
      <c r="F268" s="30" t="str">
        <f aca="false">IF(R268="","",Reconciliation!F269)</f>
        <v/>
      </c>
      <c r="G268" s="30" t="str">
        <f aca="false">IF(R268="","",Reconciliation!G269)</f>
        <v/>
      </c>
      <c r="H268" s="30" t="str">
        <f aca="false">IF(R268="","",Reconciliation!H269)</f>
        <v/>
      </c>
      <c r="I268" s="30" t="str">
        <f aca="false">IF(R268="","",Reconciliation!I269)</f>
        <v/>
      </c>
      <c r="J268" s="31" t="str">
        <f aca="false">IF(R268="","",Reconciliation!J269)</f>
        <v/>
      </c>
      <c r="K268" s="30" t="str">
        <f aca="false">IF(R268="","",Reconciliation!K269)</f>
        <v/>
      </c>
      <c r="L268" s="30" t="str">
        <f aca="false">IF(R268="","",Reconciliation!L269)</f>
        <v/>
      </c>
      <c r="M268" s="32" t="str">
        <f aca="false">IF(R268="","",Reconciliation!M269)</f>
        <v/>
      </c>
      <c r="N268" s="32" t="str">
        <f aca="false">IF(R268="","",Reconciliation!N269)</f>
        <v/>
      </c>
      <c r="O268" s="32" t="str">
        <f aca="false">IF(R268="","",Reconciliation!O269)</f>
        <v/>
      </c>
      <c r="P268" s="32" t="str">
        <f aca="false">IF(R268="","",Reconciliation!P269)</f>
        <v/>
      </c>
      <c r="Q268" s="32" t="str">
        <f aca="false">IF(R268="","",Reconciliation!Q269)</f>
        <v/>
      </c>
      <c r="R268" s="33" t="str">
        <f aca="false">IF(OR(Reconciliation!R269="✅ MATCH",Reconciliation!R269=""),"",Reconciliation!R269)</f>
        <v/>
      </c>
    </row>
    <row r="269" customFormat="false" ht="15" hidden="false" customHeight="true" outlineLevel="0" collapsed="false">
      <c r="A269" s="29" t="str">
        <f aca="false">IF(R269="","",Reconciliation!A270)</f>
        <v/>
      </c>
      <c r="B269" s="30" t="str">
        <f aca="false">IF(R269="","",Reconciliation!B270)</f>
        <v/>
      </c>
      <c r="C269" s="30" t="str">
        <f aca="false">IF(R269="","",Reconciliation!C270)</f>
        <v/>
      </c>
      <c r="D269" s="30" t="str">
        <f aca="false">IF(R269="","",Reconciliation!D270)</f>
        <v/>
      </c>
      <c r="E269" s="31" t="str">
        <f aca="false">IF(R269="","",Reconciliation!E270)</f>
        <v/>
      </c>
      <c r="F269" s="30" t="str">
        <f aca="false">IF(R269="","",Reconciliation!F270)</f>
        <v/>
      </c>
      <c r="G269" s="30" t="str">
        <f aca="false">IF(R269="","",Reconciliation!G270)</f>
        <v/>
      </c>
      <c r="H269" s="30" t="str">
        <f aca="false">IF(R269="","",Reconciliation!H270)</f>
        <v/>
      </c>
      <c r="I269" s="30" t="str">
        <f aca="false">IF(R269="","",Reconciliation!I270)</f>
        <v/>
      </c>
      <c r="J269" s="31" t="str">
        <f aca="false">IF(R269="","",Reconciliation!J270)</f>
        <v/>
      </c>
      <c r="K269" s="30" t="str">
        <f aca="false">IF(R269="","",Reconciliation!K270)</f>
        <v/>
      </c>
      <c r="L269" s="30" t="str">
        <f aca="false">IF(R269="","",Reconciliation!L270)</f>
        <v/>
      </c>
      <c r="M269" s="32" t="str">
        <f aca="false">IF(R269="","",Reconciliation!M270)</f>
        <v/>
      </c>
      <c r="N269" s="32" t="str">
        <f aca="false">IF(R269="","",Reconciliation!N270)</f>
        <v/>
      </c>
      <c r="O269" s="32" t="str">
        <f aca="false">IF(R269="","",Reconciliation!O270)</f>
        <v/>
      </c>
      <c r="P269" s="32" t="str">
        <f aca="false">IF(R269="","",Reconciliation!P270)</f>
        <v/>
      </c>
      <c r="Q269" s="32" t="str">
        <f aca="false">IF(R269="","",Reconciliation!Q270)</f>
        <v/>
      </c>
      <c r="R269" s="33" t="str">
        <f aca="false">IF(OR(Reconciliation!R270="✅ MATCH",Reconciliation!R270=""),"",Reconciliation!R270)</f>
        <v/>
      </c>
    </row>
    <row r="270" customFormat="false" ht="15" hidden="false" customHeight="true" outlineLevel="0" collapsed="false">
      <c r="A270" s="29" t="str">
        <f aca="false">IF(R270="","",Reconciliation!A271)</f>
        <v/>
      </c>
      <c r="B270" s="30" t="str">
        <f aca="false">IF(R270="","",Reconciliation!B271)</f>
        <v/>
      </c>
      <c r="C270" s="30" t="str">
        <f aca="false">IF(R270="","",Reconciliation!C271)</f>
        <v/>
      </c>
      <c r="D270" s="30" t="str">
        <f aca="false">IF(R270="","",Reconciliation!D271)</f>
        <v/>
      </c>
      <c r="E270" s="31" t="str">
        <f aca="false">IF(R270="","",Reconciliation!E271)</f>
        <v/>
      </c>
      <c r="F270" s="30" t="str">
        <f aca="false">IF(R270="","",Reconciliation!F271)</f>
        <v/>
      </c>
      <c r="G270" s="30" t="str">
        <f aca="false">IF(R270="","",Reconciliation!G271)</f>
        <v/>
      </c>
      <c r="H270" s="30" t="str">
        <f aca="false">IF(R270="","",Reconciliation!H271)</f>
        <v/>
      </c>
      <c r="I270" s="30" t="str">
        <f aca="false">IF(R270="","",Reconciliation!I271)</f>
        <v/>
      </c>
      <c r="J270" s="31" t="str">
        <f aca="false">IF(R270="","",Reconciliation!J271)</f>
        <v/>
      </c>
      <c r="K270" s="30" t="str">
        <f aca="false">IF(R270="","",Reconciliation!K271)</f>
        <v/>
      </c>
      <c r="L270" s="30" t="str">
        <f aca="false">IF(R270="","",Reconciliation!L271)</f>
        <v/>
      </c>
      <c r="M270" s="32" t="str">
        <f aca="false">IF(R270="","",Reconciliation!M271)</f>
        <v/>
      </c>
      <c r="N270" s="32" t="str">
        <f aca="false">IF(R270="","",Reconciliation!N271)</f>
        <v/>
      </c>
      <c r="O270" s="32" t="str">
        <f aca="false">IF(R270="","",Reconciliation!O271)</f>
        <v/>
      </c>
      <c r="P270" s="32" t="str">
        <f aca="false">IF(R270="","",Reconciliation!P271)</f>
        <v/>
      </c>
      <c r="Q270" s="32" t="str">
        <f aca="false">IF(R270="","",Reconciliation!Q271)</f>
        <v/>
      </c>
      <c r="R270" s="33" t="str">
        <f aca="false">IF(OR(Reconciliation!R271="✅ MATCH",Reconciliation!R271=""),"",Reconciliation!R271)</f>
        <v/>
      </c>
    </row>
    <row r="271" customFormat="false" ht="15" hidden="false" customHeight="true" outlineLevel="0" collapsed="false">
      <c r="A271" s="29" t="str">
        <f aca="false">IF(R271="","",Reconciliation!A272)</f>
        <v/>
      </c>
      <c r="B271" s="30" t="str">
        <f aca="false">IF(R271="","",Reconciliation!B272)</f>
        <v/>
      </c>
      <c r="C271" s="30" t="str">
        <f aca="false">IF(R271="","",Reconciliation!C272)</f>
        <v/>
      </c>
      <c r="D271" s="30" t="str">
        <f aca="false">IF(R271="","",Reconciliation!D272)</f>
        <v/>
      </c>
      <c r="E271" s="31" t="str">
        <f aca="false">IF(R271="","",Reconciliation!E272)</f>
        <v/>
      </c>
      <c r="F271" s="30" t="str">
        <f aca="false">IF(R271="","",Reconciliation!F272)</f>
        <v/>
      </c>
      <c r="G271" s="30" t="str">
        <f aca="false">IF(R271="","",Reconciliation!G272)</f>
        <v/>
      </c>
      <c r="H271" s="30" t="str">
        <f aca="false">IF(R271="","",Reconciliation!H272)</f>
        <v/>
      </c>
      <c r="I271" s="30" t="str">
        <f aca="false">IF(R271="","",Reconciliation!I272)</f>
        <v/>
      </c>
      <c r="J271" s="31" t="str">
        <f aca="false">IF(R271="","",Reconciliation!J272)</f>
        <v/>
      </c>
      <c r="K271" s="30" t="str">
        <f aca="false">IF(R271="","",Reconciliation!K272)</f>
        <v/>
      </c>
      <c r="L271" s="30" t="str">
        <f aca="false">IF(R271="","",Reconciliation!L272)</f>
        <v/>
      </c>
      <c r="M271" s="32" t="str">
        <f aca="false">IF(R271="","",Reconciliation!M272)</f>
        <v/>
      </c>
      <c r="N271" s="32" t="str">
        <f aca="false">IF(R271="","",Reconciliation!N272)</f>
        <v/>
      </c>
      <c r="O271" s="32" t="str">
        <f aca="false">IF(R271="","",Reconciliation!O272)</f>
        <v/>
      </c>
      <c r="P271" s="32" t="str">
        <f aca="false">IF(R271="","",Reconciliation!P272)</f>
        <v/>
      </c>
      <c r="Q271" s="32" t="str">
        <f aca="false">IF(R271="","",Reconciliation!Q272)</f>
        <v/>
      </c>
      <c r="R271" s="33" t="str">
        <f aca="false">IF(OR(Reconciliation!R272="✅ MATCH",Reconciliation!R272=""),"",Reconciliation!R272)</f>
        <v/>
      </c>
    </row>
    <row r="272" customFormat="false" ht="15" hidden="false" customHeight="true" outlineLevel="0" collapsed="false">
      <c r="A272" s="29" t="str">
        <f aca="false">IF(R272="","",Reconciliation!A273)</f>
        <v/>
      </c>
      <c r="B272" s="30" t="str">
        <f aca="false">IF(R272="","",Reconciliation!B273)</f>
        <v/>
      </c>
      <c r="C272" s="30" t="str">
        <f aca="false">IF(R272="","",Reconciliation!C273)</f>
        <v/>
      </c>
      <c r="D272" s="30" t="str">
        <f aca="false">IF(R272="","",Reconciliation!D273)</f>
        <v/>
      </c>
      <c r="E272" s="31" t="str">
        <f aca="false">IF(R272="","",Reconciliation!E273)</f>
        <v/>
      </c>
      <c r="F272" s="30" t="str">
        <f aca="false">IF(R272="","",Reconciliation!F273)</f>
        <v/>
      </c>
      <c r="G272" s="30" t="str">
        <f aca="false">IF(R272="","",Reconciliation!G273)</f>
        <v/>
      </c>
      <c r="H272" s="30" t="str">
        <f aca="false">IF(R272="","",Reconciliation!H273)</f>
        <v/>
      </c>
      <c r="I272" s="30" t="str">
        <f aca="false">IF(R272="","",Reconciliation!I273)</f>
        <v/>
      </c>
      <c r="J272" s="31" t="str">
        <f aca="false">IF(R272="","",Reconciliation!J273)</f>
        <v/>
      </c>
      <c r="K272" s="30" t="str">
        <f aca="false">IF(R272="","",Reconciliation!K273)</f>
        <v/>
      </c>
      <c r="L272" s="30" t="str">
        <f aca="false">IF(R272="","",Reconciliation!L273)</f>
        <v/>
      </c>
      <c r="M272" s="32" t="str">
        <f aca="false">IF(R272="","",Reconciliation!M273)</f>
        <v/>
      </c>
      <c r="N272" s="32" t="str">
        <f aca="false">IF(R272="","",Reconciliation!N273)</f>
        <v/>
      </c>
      <c r="O272" s="32" t="str">
        <f aca="false">IF(R272="","",Reconciliation!O273)</f>
        <v/>
      </c>
      <c r="P272" s="32" t="str">
        <f aca="false">IF(R272="","",Reconciliation!P273)</f>
        <v/>
      </c>
      <c r="Q272" s="32" t="str">
        <f aca="false">IF(R272="","",Reconciliation!Q273)</f>
        <v/>
      </c>
      <c r="R272" s="33" t="str">
        <f aca="false">IF(OR(Reconciliation!R273="✅ MATCH",Reconciliation!R273=""),"",Reconciliation!R273)</f>
        <v/>
      </c>
    </row>
    <row r="273" customFormat="false" ht="15" hidden="false" customHeight="true" outlineLevel="0" collapsed="false">
      <c r="A273" s="29" t="str">
        <f aca="false">IF(R273="","",Reconciliation!A274)</f>
        <v/>
      </c>
      <c r="B273" s="30" t="str">
        <f aca="false">IF(R273="","",Reconciliation!B274)</f>
        <v/>
      </c>
      <c r="C273" s="30" t="str">
        <f aca="false">IF(R273="","",Reconciliation!C274)</f>
        <v/>
      </c>
      <c r="D273" s="30" t="str">
        <f aca="false">IF(R273="","",Reconciliation!D274)</f>
        <v/>
      </c>
      <c r="E273" s="31" t="str">
        <f aca="false">IF(R273="","",Reconciliation!E274)</f>
        <v/>
      </c>
      <c r="F273" s="30" t="str">
        <f aca="false">IF(R273="","",Reconciliation!F274)</f>
        <v/>
      </c>
      <c r="G273" s="30" t="str">
        <f aca="false">IF(R273="","",Reconciliation!G274)</f>
        <v/>
      </c>
      <c r="H273" s="30" t="str">
        <f aca="false">IF(R273="","",Reconciliation!H274)</f>
        <v/>
      </c>
      <c r="I273" s="30" t="str">
        <f aca="false">IF(R273="","",Reconciliation!I274)</f>
        <v/>
      </c>
      <c r="J273" s="31" t="str">
        <f aca="false">IF(R273="","",Reconciliation!J274)</f>
        <v/>
      </c>
      <c r="K273" s="30" t="str">
        <f aca="false">IF(R273="","",Reconciliation!K274)</f>
        <v/>
      </c>
      <c r="L273" s="30" t="str">
        <f aca="false">IF(R273="","",Reconciliation!L274)</f>
        <v/>
      </c>
      <c r="M273" s="32" t="str">
        <f aca="false">IF(R273="","",Reconciliation!M274)</f>
        <v/>
      </c>
      <c r="N273" s="32" t="str">
        <f aca="false">IF(R273="","",Reconciliation!N274)</f>
        <v/>
      </c>
      <c r="O273" s="32" t="str">
        <f aca="false">IF(R273="","",Reconciliation!O274)</f>
        <v/>
      </c>
      <c r="P273" s="32" t="str">
        <f aca="false">IF(R273="","",Reconciliation!P274)</f>
        <v/>
      </c>
      <c r="Q273" s="32" t="str">
        <f aca="false">IF(R273="","",Reconciliation!Q274)</f>
        <v/>
      </c>
      <c r="R273" s="33" t="str">
        <f aca="false">IF(OR(Reconciliation!R274="✅ MATCH",Reconciliation!R274=""),"",Reconciliation!R274)</f>
        <v/>
      </c>
    </row>
    <row r="274" customFormat="false" ht="15" hidden="false" customHeight="true" outlineLevel="0" collapsed="false">
      <c r="A274" s="29" t="str">
        <f aca="false">IF(R274="","",Reconciliation!A275)</f>
        <v/>
      </c>
      <c r="B274" s="30" t="str">
        <f aca="false">IF(R274="","",Reconciliation!B275)</f>
        <v/>
      </c>
      <c r="C274" s="30" t="str">
        <f aca="false">IF(R274="","",Reconciliation!C275)</f>
        <v/>
      </c>
      <c r="D274" s="30" t="str">
        <f aca="false">IF(R274="","",Reconciliation!D275)</f>
        <v/>
      </c>
      <c r="E274" s="31" t="str">
        <f aca="false">IF(R274="","",Reconciliation!E275)</f>
        <v/>
      </c>
      <c r="F274" s="30" t="str">
        <f aca="false">IF(R274="","",Reconciliation!F275)</f>
        <v/>
      </c>
      <c r="G274" s="30" t="str">
        <f aca="false">IF(R274="","",Reconciliation!G275)</f>
        <v/>
      </c>
      <c r="H274" s="30" t="str">
        <f aca="false">IF(R274="","",Reconciliation!H275)</f>
        <v/>
      </c>
      <c r="I274" s="30" t="str">
        <f aca="false">IF(R274="","",Reconciliation!I275)</f>
        <v/>
      </c>
      <c r="J274" s="31" t="str">
        <f aca="false">IF(R274="","",Reconciliation!J275)</f>
        <v/>
      </c>
      <c r="K274" s="30" t="str">
        <f aca="false">IF(R274="","",Reconciliation!K275)</f>
        <v/>
      </c>
      <c r="L274" s="30" t="str">
        <f aca="false">IF(R274="","",Reconciliation!L275)</f>
        <v/>
      </c>
      <c r="M274" s="32" t="str">
        <f aca="false">IF(R274="","",Reconciliation!M275)</f>
        <v/>
      </c>
      <c r="N274" s="32" t="str">
        <f aca="false">IF(R274="","",Reconciliation!N275)</f>
        <v/>
      </c>
      <c r="O274" s="32" t="str">
        <f aca="false">IF(R274="","",Reconciliation!O275)</f>
        <v/>
      </c>
      <c r="P274" s="32" t="str">
        <f aca="false">IF(R274="","",Reconciliation!P275)</f>
        <v/>
      </c>
      <c r="Q274" s="32" t="str">
        <f aca="false">IF(R274="","",Reconciliation!Q275)</f>
        <v/>
      </c>
      <c r="R274" s="33" t="str">
        <f aca="false">IF(OR(Reconciliation!R275="✅ MATCH",Reconciliation!R275=""),"",Reconciliation!R275)</f>
        <v/>
      </c>
    </row>
    <row r="275" customFormat="false" ht="15" hidden="false" customHeight="true" outlineLevel="0" collapsed="false">
      <c r="A275" s="29" t="str">
        <f aca="false">IF(R275="","",Reconciliation!A276)</f>
        <v/>
      </c>
      <c r="B275" s="30" t="str">
        <f aca="false">IF(R275="","",Reconciliation!B276)</f>
        <v/>
      </c>
      <c r="C275" s="30" t="str">
        <f aca="false">IF(R275="","",Reconciliation!C276)</f>
        <v/>
      </c>
      <c r="D275" s="30" t="str">
        <f aca="false">IF(R275="","",Reconciliation!D276)</f>
        <v/>
      </c>
      <c r="E275" s="31" t="str">
        <f aca="false">IF(R275="","",Reconciliation!E276)</f>
        <v/>
      </c>
      <c r="F275" s="30" t="str">
        <f aca="false">IF(R275="","",Reconciliation!F276)</f>
        <v/>
      </c>
      <c r="G275" s="30" t="str">
        <f aca="false">IF(R275="","",Reconciliation!G276)</f>
        <v/>
      </c>
      <c r="H275" s="30" t="str">
        <f aca="false">IF(R275="","",Reconciliation!H276)</f>
        <v/>
      </c>
      <c r="I275" s="30" t="str">
        <f aca="false">IF(R275="","",Reconciliation!I276)</f>
        <v/>
      </c>
      <c r="J275" s="31" t="str">
        <f aca="false">IF(R275="","",Reconciliation!J276)</f>
        <v/>
      </c>
      <c r="K275" s="30" t="str">
        <f aca="false">IF(R275="","",Reconciliation!K276)</f>
        <v/>
      </c>
      <c r="L275" s="30" t="str">
        <f aca="false">IF(R275="","",Reconciliation!L276)</f>
        <v/>
      </c>
      <c r="M275" s="32" t="str">
        <f aca="false">IF(R275="","",Reconciliation!M276)</f>
        <v/>
      </c>
      <c r="N275" s="32" t="str">
        <f aca="false">IF(R275="","",Reconciliation!N276)</f>
        <v/>
      </c>
      <c r="O275" s="32" t="str">
        <f aca="false">IF(R275="","",Reconciliation!O276)</f>
        <v/>
      </c>
      <c r="P275" s="32" t="str">
        <f aca="false">IF(R275="","",Reconciliation!P276)</f>
        <v/>
      </c>
      <c r="Q275" s="32" t="str">
        <f aca="false">IF(R275="","",Reconciliation!Q276)</f>
        <v/>
      </c>
      <c r="R275" s="33" t="str">
        <f aca="false">IF(OR(Reconciliation!R276="✅ MATCH",Reconciliation!R276=""),"",Reconciliation!R276)</f>
        <v/>
      </c>
    </row>
    <row r="276" customFormat="false" ht="15" hidden="false" customHeight="true" outlineLevel="0" collapsed="false">
      <c r="A276" s="29" t="str">
        <f aca="false">IF(R276="","",Reconciliation!A277)</f>
        <v/>
      </c>
      <c r="B276" s="30" t="str">
        <f aca="false">IF(R276="","",Reconciliation!B277)</f>
        <v/>
      </c>
      <c r="C276" s="30" t="str">
        <f aca="false">IF(R276="","",Reconciliation!C277)</f>
        <v/>
      </c>
      <c r="D276" s="30" t="str">
        <f aca="false">IF(R276="","",Reconciliation!D277)</f>
        <v/>
      </c>
      <c r="E276" s="31" t="str">
        <f aca="false">IF(R276="","",Reconciliation!E277)</f>
        <v/>
      </c>
      <c r="F276" s="30" t="str">
        <f aca="false">IF(R276="","",Reconciliation!F277)</f>
        <v/>
      </c>
      <c r="G276" s="30" t="str">
        <f aca="false">IF(R276="","",Reconciliation!G277)</f>
        <v/>
      </c>
      <c r="H276" s="30" t="str">
        <f aca="false">IF(R276="","",Reconciliation!H277)</f>
        <v/>
      </c>
      <c r="I276" s="30" t="str">
        <f aca="false">IF(R276="","",Reconciliation!I277)</f>
        <v/>
      </c>
      <c r="J276" s="31" t="str">
        <f aca="false">IF(R276="","",Reconciliation!J277)</f>
        <v/>
      </c>
      <c r="K276" s="30" t="str">
        <f aca="false">IF(R276="","",Reconciliation!K277)</f>
        <v/>
      </c>
      <c r="L276" s="30" t="str">
        <f aca="false">IF(R276="","",Reconciliation!L277)</f>
        <v/>
      </c>
      <c r="M276" s="32" t="str">
        <f aca="false">IF(R276="","",Reconciliation!M277)</f>
        <v/>
      </c>
      <c r="N276" s="32" t="str">
        <f aca="false">IF(R276="","",Reconciliation!N277)</f>
        <v/>
      </c>
      <c r="O276" s="32" t="str">
        <f aca="false">IF(R276="","",Reconciliation!O277)</f>
        <v/>
      </c>
      <c r="P276" s="32" t="str">
        <f aca="false">IF(R276="","",Reconciliation!P277)</f>
        <v/>
      </c>
      <c r="Q276" s="32" t="str">
        <f aca="false">IF(R276="","",Reconciliation!Q277)</f>
        <v/>
      </c>
      <c r="R276" s="33" t="str">
        <f aca="false">IF(OR(Reconciliation!R277="✅ MATCH",Reconciliation!R277=""),"",Reconciliation!R277)</f>
        <v/>
      </c>
    </row>
    <row r="277" customFormat="false" ht="15" hidden="false" customHeight="true" outlineLevel="0" collapsed="false">
      <c r="A277" s="29" t="str">
        <f aca="false">IF(R277="","",Reconciliation!A278)</f>
        <v/>
      </c>
      <c r="B277" s="30" t="str">
        <f aca="false">IF(R277="","",Reconciliation!B278)</f>
        <v/>
      </c>
      <c r="C277" s="30" t="str">
        <f aca="false">IF(R277="","",Reconciliation!C278)</f>
        <v/>
      </c>
      <c r="D277" s="30" t="str">
        <f aca="false">IF(R277="","",Reconciliation!D278)</f>
        <v/>
      </c>
      <c r="E277" s="31" t="str">
        <f aca="false">IF(R277="","",Reconciliation!E278)</f>
        <v/>
      </c>
      <c r="F277" s="30" t="str">
        <f aca="false">IF(R277="","",Reconciliation!F278)</f>
        <v/>
      </c>
      <c r="G277" s="30" t="str">
        <f aca="false">IF(R277="","",Reconciliation!G278)</f>
        <v/>
      </c>
      <c r="H277" s="30" t="str">
        <f aca="false">IF(R277="","",Reconciliation!H278)</f>
        <v/>
      </c>
      <c r="I277" s="30" t="str">
        <f aca="false">IF(R277="","",Reconciliation!I278)</f>
        <v/>
      </c>
      <c r="J277" s="31" t="str">
        <f aca="false">IF(R277="","",Reconciliation!J278)</f>
        <v/>
      </c>
      <c r="K277" s="30" t="str">
        <f aca="false">IF(R277="","",Reconciliation!K278)</f>
        <v/>
      </c>
      <c r="L277" s="30" t="str">
        <f aca="false">IF(R277="","",Reconciliation!L278)</f>
        <v/>
      </c>
      <c r="M277" s="32" t="str">
        <f aca="false">IF(R277="","",Reconciliation!M278)</f>
        <v/>
      </c>
      <c r="N277" s="32" t="str">
        <f aca="false">IF(R277="","",Reconciliation!N278)</f>
        <v/>
      </c>
      <c r="O277" s="32" t="str">
        <f aca="false">IF(R277="","",Reconciliation!O278)</f>
        <v/>
      </c>
      <c r="P277" s="32" t="str">
        <f aca="false">IF(R277="","",Reconciliation!P278)</f>
        <v/>
      </c>
      <c r="Q277" s="32" t="str">
        <f aca="false">IF(R277="","",Reconciliation!Q278)</f>
        <v/>
      </c>
      <c r="R277" s="33" t="str">
        <f aca="false">IF(OR(Reconciliation!R278="✅ MATCH",Reconciliation!R278=""),"",Reconciliation!R278)</f>
        <v/>
      </c>
    </row>
    <row r="278" customFormat="false" ht="15" hidden="false" customHeight="true" outlineLevel="0" collapsed="false">
      <c r="A278" s="29" t="str">
        <f aca="false">IF(R278="","",Reconciliation!A279)</f>
        <v/>
      </c>
      <c r="B278" s="30" t="str">
        <f aca="false">IF(R278="","",Reconciliation!B279)</f>
        <v/>
      </c>
      <c r="C278" s="30" t="str">
        <f aca="false">IF(R278="","",Reconciliation!C279)</f>
        <v/>
      </c>
      <c r="D278" s="30" t="str">
        <f aca="false">IF(R278="","",Reconciliation!D279)</f>
        <v/>
      </c>
      <c r="E278" s="31" t="str">
        <f aca="false">IF(R278="","",Reconciliation!E279)</f>
        <v/>
      </c>
      <c r="F278" s="30" t="str">
        <f aca="false">IF(R278="","",Reconciliation!F279)</f>
        <v/>
      </c>
      <c r="G278" s="30" t="str">
        <f aca="false">IF(R278="","",Reconciliation!G279)</f>
        <v/>
      </c>
      <c r="H278" s="30" t="str">
        <f aca="false">IF(R278="","",Reconciliation!H279)</f>
        <v/>
      </c>
      <c r="I278" s="30" t="str">
        <f aca="false">IF(R278="","",Reconciliation!I279)</f>
        <v/>
      </c>
      <c r="J278" s="31" t="str">
        <f aca="false">IF(R278="","",Reconciliation!J279)</f>
        <v/>
      </c>
      <c r="K278" s="30" t="str">
        <f aca="false">IF(R278="","",Reconciliation!K279)</f>
        <v/>
      </c>
      <c r="L278" s="30" t="str">
        <f aca="false">IF(R278="","",Reconciliation!L279)</f>
        <v/>
      </c>
      <c r="M278" s="32" t="str">
        <f aca="false">IF(R278="","",Reconciliation!M279)</f>
        <v/>
      </c>
      <c r="N278" s="32" t="str">
        <f aca="false">IF(R278="","",Reconciliation!N279)</f>
        <v/>
      </c>
      <c r="O278" s="32" t="str">
        <f aca="false">IF(R278="","",Reconciliation!O279)</f>
        <v/>
      </c>
      <c r="P278" s="32" t="str">
        <f aca="false">IF(R278="","",Reconciliation!P279)</f>
        <v/>
      </c>
      <c r="Q278" s="32" t="str">
        <f aca="false">IF(R278="","",Reconciliation!Q279)</f>
        <v/>
      </c>
      <c r="R278" s="33" t="str">
        <f aca="false">IF(OR(Reconciliation!R279="✅ MATCH",Reconciliation!R279=""),"",Reconciliation!R279)</f>
        <v/>
      </c>
    </row>
    <row r="279" customFormat="false" ht="15" hidden="false" customHeight="true" outlineLevel="0" collapsed="false">
      <c r="A279" s="29" t="str">
        <f aca="false">IF(R279="","",Reconciliation!A280)</f>
        <v/>
      </c>
      <c r="B279" s="30" t="str">
        <f aca="false">IF(R279="","",Reconciliation!B280)</f>
        <v/>
      </c>
      <c r="C279" s="30" t="str">
        <f aca="false">IF(R279="","",Reconciliation!C280)</f>
        <v/>
      </c>
      <c r="D279" s="30" t="str">
        <f aca="false">IF(R279="","",Reconciliation!D280)</f>
        <v/>
      </c>
      <c r="E279" s="31" t="str">
        <f aca="false">IF(R279="","",Reconciliation!E280)</f>
        <v/>
      </c>
      <c r="F279" s="30" t="str">
        <f aca="false">IF(R279="","",Reconciliation!F280)</f>
        <v/>
      </c>
      <c r="G279" s="30" t="str">
        <f aca="false">IF(R279="","",Reconciliation!G280)</f>
        <v/>
      </c>
      <c r="H279" s="30" t="str">
        <f aca="false">IF(R279="","",Reconciliation!H280)</f>
        <v/>
      </c>
      <c r="I279" s="30" t="str">
        <f aca="false">IF(R279="","",Reconciliation!I280)</f>
        <v/>
      </c>
      <c r="J279" s="31" t="str">
        <f aca="false">IF(R279="","",Reconciliation!J280)</f>
        <v/>
      </c>
      <c r="K279" s="30" t="str">
        <f aca="false">IF(R279="","",Reconciliation!K280)</f>
        <v/>
      </c>
      <c r="L279" s="30" t="str">
        <f aca="false">IF(R279="","",Reconciliation!L280)</f>
        <v/>
      </c>
      <c r="M279" s="32" t="str">
        <f aca="false">IF(R279="","",Reconciliation!M280)</f>
        <v/>
      </c>
      <c r="N279" s="32" t="str">
        <f aca="false">IF(R279="","",Reconciliation!N280)</f>
        <v/>
      </c>
      <c r="O279" s="32" t="str">
        <f aca="false">IF(R279="","",Reconciliation!O280)</f>
        <v/>
      </c>
      <c r="P279" s="32" t="str">
        <f aca="false">IF(R279="","",Reconciliation!P280)</f>
        <v/>
      </c>
      <c r="Q279" s="32" t="str">
        <f aca="false">IF(R279="","",Reconciliation!Q280)</f>
        <v/>
      </c>
      <c r="R279" s="33" t="str">
        <f aca="false">IF(OR(Reconciliation!R280="✅ MATCH",Reconciliation!R280=""),"",Reconciliation!R280)</f>
        <v/>
      </c>
    </row>
    <row r="280" customFormat="false" ht="15" hidden="false" customHeight="true" outlineLevel="0" collapsed="false">
      <c r="A280" s="29" t="str">
        <f aca="false">IF(R280="","",Reconciliation!A281)</f>
        <v/>
      </c>
      <c r="B280" s="30" t="str">
        <f aca="false">IF(R280="","",Reconciliation!B281)</f>
        <v/>
      </c>
      <c r="C280" s="30" t="str">
        <f aca="false">IF(R280="","",Reconciliation!C281)</f>
        <v/>
      </c>
      <c r="D280" s="30" t="str">
        <f aca="false">IF(R280="","",Reconciliation!D281)</f>
        <v/>
      </c>
      <c r="E280" s="31" t="str">
        <f aca="false">IF(R280="","",Reconciliation!E281)</f>
        <v/>
      </c>
      <c r="F280" s="30" t="str">
        <f aca="false">IF(R280="","",Reconciliation!F281)</f>
        <v/>
      </c>
      <c r="G280" s="30" t="str">
        <f aca="false">IF(R280="","",Reconciliation!G281)</f>
        <v/>
      </c>
      <c r="H280" s="30" t="str">
        <f aca="false">IF(R280="","",Reconciliation!H281)</f>
        <v/>
      </c>
      <c r="I280" s="30" t="str">
        <f aca="false">IF(R280="","",Reconciliation!I281)</f>
        <v/>
      </c>
      <c r="J280" s="31" t="str">
        <f aca="false">IF(R280="","",Reconciliation!J281)</f>
        <v/>
      </c>
      <c r="K280" s="30" t="str">
        <f aca="false">IF(R280="","",Reconciliation!K281)</f>
        <v/>
      </c>
      <c r="L280" s="30" t="str">
        <f aca="false">IF(R280="","",Reconciliation!L281)</f>
        <v/>
      </c>
      <c r="M280" s="32" t="str">
        <f aca="false">IF(R280="","",Reconciliation!M281)</f>
        <v/>
      </c>
      <c r="N280" s="32" t="str">
        <f aca="false">IF(R280="","",Reconciliation!N281)</f>
        <v/>
      </c>
      <c r="O280" s="32" t="str">
        <f aca="false">IF(R280="","",Reconciliation!O281)</f>
        <v/>
      </c>
      <c r="P280" s="32" t="str">
        <f aca="false">IF(R280="","",Reconciliation!P281)</f>
        <v/>
      </c>
      <c r="Q280" s="32" t="str">
        <f aca="false">IF(R280="","",Reconciliation!Q281)</f>
        <v/>
      </c>
      <c r="R280" s="33" t="str">
        <f aca="false">IF(OR(Reconciliation!R281="✅ MATCH",Reconciliation!R281=""),"",Reconciliation!R281)</f>
        <v/>
      </c>
    </row>
    <row r="281" customFormat="false" ht="15" hidden="false" customHeight="true" outlineLevel="0" collapsed="false">
      <c r="A281" s="29" t="str">
        <f aca="false">IF(R281="","",Reconciliation!A282)</f>
        <v/>
      </c>
      <c r="B281" s="30" t="str">
        <f aca="false">IF(R281="","",Reconciliation!B282)</f>
        <v/>
      </c>
      <c r="C281" s="30" t="str">
        <f aca="false">IF(R281="","",Reconciliation!C282)</f>
        <v/>
      </c>
      <c r="D281" s="30" t="str">
        <f aca="false">IF(R281="","",Reconciliation!D282)</f>
        <v/>
      </c>
      <c r="E281" s="31" t="str">
        <f aca="false">IF(R281="","",Reconciliation!E282)</f>
        <v/>
      </c>
      <c r="F281" s="30" t="str">
        <f aca="false">IF(R281="","",Reconciliation!F282)</f>
        <v/>
      </c>
      <c r="G281" s="30" t="str">
        <f aca="false">IF(R281="","",Reconciliation!G282)</f>
        <v/>
      </c>
      <c r="H281" s="30" t="str">
        <f aca="false">IF(R281="","",Reconciliation!H282)</f>
        <v/>
      </c>
      <c r="I281" s="30" t="str">
        <f aca="false">IF(R281="","",Reconciliation!I282)</f>
        <v/>
      </c>
      <c r="J281" s="31" t="str">
        <f aca="false">IF(R281="","",Reconciliation!J282)</f>
        <v/>
      </c>
      <c r="K281" s="30" t="str">
        <f aca="false">IF(R281="","",Reconciliation!K282)</f>
        <v/>
      </c>
      <c r="L281" s="30" t="str">
        <f aca="false">IF(R281="","",Reconciliation!L282)</f>
        <v/>
      </c>
      <c r="M281" s="32" t="str">
        <f aca="false">IF(R281="","",Reconciliation!M282)</f>
        <v/>
      </c>
      <c r="N281" s="32" t="str">
        <f aca="false">IF(R281="","",Reconciliation!N282)</f>
        <v/>
      </c>
      <c r="O281" s="32" t="str">
        <f aca="false">IF(R281="","",Reconciliation!O282)</f>
        <v/>
      </c>
      <c r="P281" s="32" t="str">
        <f aca="false">IF(R281="","",Reconciliation!P282)</f>
        <v/>
      </c>
      <c r="Q281" s="32" t="str">
        <f aca="false">IF(R281="","",Reconciliation!Q282)</f>
        <v/>
      </c>
      <c r="R281" s="33" t="str">
        <f aca="false">IF(OR(Reconciliation!R282="✅ MATCH",Reconciliation!R282=""),"",Reconciliation!R282)</f>
        <v/>
      </c>
    </row>
    <row r="282" customFormat="false" ht="15" hidden="false" customHeight="true" outlineLevel="0" collapsed="false">
      <c r="A282" s="29" t="str">
        <f aca="false">IF(R282="","",Reconciliation!A283)</f>
        <v/>
      </c>
      <c r="B282" s="30" t="str">
        <f aca="false">IF(R282="","",Reconciliation!B283)</f>
        <v/>
      </c>
      <c r="C282" s="30" t="str">
        <f aca="false">IF(R282="","",Reconciliation!C283)</f>
        <v/>
      </c>
      <c r="D282" s="30" t="str">
        <f aca="false">IF(R282="","",Reconciliation!D283)</f>
        <v/>
      </c>
      <c r="E282" s="31" t="str">
        <f aca="false">IF(R282="","",Reconciliation!E283)</f>
        <v/>
      </c>
      <c r="F282" s="30" t="str">
        <f aca="false">IF(R282="","",Reconciliation!F283)</f>
        <v/>
      </c>
      <c r="G282" s="30" t="str">
        <f aca="false">IF(R282="","",Reconciliation!G283)</f>
        <v/>
      </c>
      <c r="H282" s="30" t="str">
        <f aca="false">IF(R282="","",Reconciliation!H283)</f>
        <v/>
      </c>
      <c r="I282" s="30" t="str">
        <f aca="false">IF(R282="","",Reconciliation!I283)</f>
        <v/>
      </c>
      <c r="J282" s="31" t="str">
        <f aca="false">IF(R282="","",Reconciliation!J283)</f>
        <v/>
      </c>
      <c r="K282" s="30" t="str">
        <f aca="false">IF(R282="","",Reconciliation!K283)</f>
        <v/>
      </c>
      <c r="L282" s="30" t="str">
        <f aca="false">IF(R282="","",Reconciliation!L283)</f>
        <v/>
      </c>
      <c r="M282" s="32" t="str">
        <f aca="false">IF(R282="","",Reconciliation!M283)</f>
        <v/>
      </c>
      <c r="N282" s="32" t="str">
        <f aca="false">IF(R282="","",Reconciliation!N283)</f>
        <v/>
      </c>
      <c r="O282" s="32" t="str">
        <f aca="false">IF(R282="","",Reconciliation!O283)</f>
        <v/>
      </c>
      <c r="P282" s="32" t="str">
        <f aca="false">IF(R282="","",Reconciliation!P283)</f>
        <v/>
      </c>
      <c r="Q282" s="32" t="str">
        <f aca="false">IF(R282="","",Reconciliation!Q283)</f>
        <v/>
      </c>
      <c r="R282" s="33" t="str">
        <f aca="false">IF(OR(Reconciliation!R283="✅ MATCH",Reconciliation!R283=""),"",Reconciliation!R283)</f>
        <v/>
      </c>
    </row>
    <row r="283" customFormat="false" ht="15" hidden="false" customHeight="true" outlineLevel="0" collapsed="false">
      <c r="A283" s="29" t="str">
        <f aca="false">IF(R283="","",Reconciliation!A284)</f>
        <v/>
      </c>
      <c r="B283" s="30" t="str">
        <f aca="false">IF(R283="","",Reconciliation!B284)</f>
        <v/>
      </c>
      <c r="C283" s="30" t="str">
        <f aca="false">IF(R283="","",Reconciliation!C284)</f>
        <v/>
      </c>
      <c r="D283" s="30" t="str">
        <f aca="false">IF(R283="","",Reconciliation!D284)</f>
        <v/>
      </c>
      <c r="E283" s="31" t="str">
        <f aca="false">IF(R283="","",Reconciliation!E284)</f>
        <v/>
      </c>
      <c r="F283" s="30" t="str">
        <f aca="false">IF(R283="","",Reconciliation!F284)</f>
        <v/>
      </c>
      <c r="G283" s="30" t="str">
        <f aca="false">IF(R283="","",Reconciliation!G284)</f>
        <v/>
      </c>
      <c r="H283" s="30" t="str">
        <f aca="false">IF(R283="","",Reconciliation!H284)</f>
        <v/>
      </c>
      <c r="I283" s="30" t="str">
        <f aca="false">IF(R283="","",Reconciliation!I284)</f>
        <v/>
      </c>
      <c r="J283" s="31" t="str">
        <f aca="false">IF(R283="","",Reconciliation!J284)</f>
        <v/>
      </c>
      <c r="K283" s="30" t="str">
        <f aca="false">IF(R283="","",Reconciliation!K284)</f>
        <v/>
      </c>
      <c r="L283" s="30" t="str">
        <f aca="false">IF(R283="","",Reconciliation!L284)</f>
        <v/>
      </c>
      <c r="M283" s="32" t="str">
        <f aca="false">IF(R283="","",Reconciliation!M284)</f>
        <v/>
      </c>
      <c r="N283" s="32" t="str">
        <f aca="false">IF(R283="","",Reconciliation!N284)</f>
        <v/>
      </c>
      <c r="O283" s="32" t="str">
        <f aca="false">IF(R283="","",Reconciliation!O284)</f>
        <v/>
      </c>
      <c r="P283" s="32" t="str">
        <f aca="false">IF(R283="","",Reconciliation!P284)</f>
        <v/>
      </c>
      <c r="Q283" s="32" t="str">
        <f aca="false">IF(R283="","",Reconciliation!Q284)</f>
        <v/>
      </c>
      <c r="R283" s="33" t="str">
        <f aca="false">IF(OR(Reconciliation!R284="✅ MATCH",Reconciliation!R284=""),"",Reconciliation!R284)</f>
        <v/>
      </c>
    </row>
    <row r="284" customFormat="false" ht="15" hidden="false" customHeight="true" outlineLevel="0" collapsed="false">
      <c r="A284" s="29" t="str">
        <f aca="false">IF(R284="","",Reconciliation!A285)</f>
        <v/>
      </c>
      <c r="B284" s="30" t="str">
        <f aca="false">IF(R284="","",Reconciliation!B285)</f>
        <v/>
      </c>
      <c r="C284" s="30" t="str">
        <f aca="false">IF(R284="","",Reconciliation!C285)</f>
        <v/>
      </c>
      <c r="D284" s="30" t="str">
        <f aca="false">IF(R284="","",Reconciliation!D285)</f>
        <v/>
      </c>
      <c r="E284" s="31" t="str">
        <f aca="false">IF(R284="","",Reconciliation!E285)</f>
        <v/>
      </c>
      <c r="F284" s="30" t="str">
        <f aca="false">IF(R284="","",Reconciliation!F285)</f>
        <v/>
      </c>
      <c r="G284" s="30" t="str">
        <f aca="false">IF(R284="","",Reconciliation!G285)</f>
        <v/>
      </c>
      <c r="H284" s="30" t="str">
        <f aca="false">IF(R284="","",Reconciliation!H285)</f>
        <v/>
      </c>
      <c r="I284" s="30" t="str">
        <f aca="false">IF(R284="","",Reconciliation!I285)</f>
        <v/>
      </c>
      <c r="J284" s="31" t="str">
        <f aca="false">IF(R284="","",Reconciliation!J285)</f>
        <v/>
      </c>
      <c r="K284" s="30" t="str">
        <f aca="false">IF(R284="","",Reconciliation!K285)</f>
        <v/>
      </c>
      <c r="L284" s="30" t="str">
        <f aca="false">IF(R284="","",Reconciliation!L285)</f>
        <v/>
      </c>
      <c r="M284" s="32" t="str">
        <f aca="false">IF(R284="","",Reconciliation!M285)</f>
        <v/>
      </c>
      <c r="N284" s="32" t="str">
        <f aca="false">IF(R284="","",Reconciliation!N285)</f>
        <v/>
      </c>
      <c r="O284" s="32" t="str">
        <f aca="false">IF(R284="","",Reconciliation!O285)</f>
        <v/>
      </c>
      <c r="P284" s="32" t="str">
        <f aca="false">IF(R284="","",Reconciliation!P285)</f>
        <v/>
      </c>
      <c r="Q284" s="32" t="str">
        <f aca="false">IF(R284="","",Reconciliation!Q285)</f>
        <v/>
      </c>
      <c r="R284" s="33" t="str">
        <f aca="false">IF(OR(Reconciliation!R285="✅ MATCH",Reconciliation!R285=""),"",Reconciliation!R285)</f>
        <v/>
      </c>
    </row>
    <row r="285" customFormat="false" ht="15" hidden="false" customHeight="true" outlineLevel="0" collapsed="false">
      <c r="A285" s="29" t="str">
        <f aca="false">IF(R285="","",Reconciliation!A286)</f>
        <v/>
      </c>
      <c r="B285" s="30" t="str">
        <f aca="false">IF(R285="","",Reconciliation!B286)</f>
        <v/>
      </c>
      <c r="C285" s="30" t="str">
        <f aca="false">IF(R285="","",Reconciliation!C286)</f>
        <v/>
      </c>
      <c r="D285" s="30" t="str">
        <f aca="false">IF(R285="","",Reconciliation!D286)</f>
        <v/>
      </c>
      <c r="E285" s="31" t="str">
        <f aca="false">IF(R285="","",Reconciliation!E286)</f>
        <v/>
      </c>
      <c r="F285" s="30" t="str">
        <f aca="false">IF(R285="","",Reconciliation!F286)</f>
        <v/>
      </c>
      <c r="G285" s="30" t="str">
        <f aca="false">IF(R285="","",Reconciliation!G286)</f>
        <v/>
      </c>
      <c r="H285" s="30" t="str">
        <f aca="false">IF(R285="","",Reconciliation!H286)</f>
        <v/>
      </c>
      <c r="I285" s="30" t="str">
        <f aca="false">IF(R285="","",Reconciliation!I286)</f>
        <v/>
      </c>
      <c r="J285" s="31" t="str">
        <f aca="false">IF(R285="","",Reconciliation!J286)</f>
        <v/>
      </c>
      <c r="K285" s="30" t="str">
        <f aca="false">IF(R285="","",Reconciliation!K286)</f>
        <v/>
      </c>
      <c r="L285" s="30" t="str">
        <f aca="false">IF(R285="","",Reconciliation!L286)</f>
        <v/>
      </c>
      <c r="M285" s="32" t="str">
        <f aca="false">IF(R285="","",Reconciliation!M286)</f>
        <v/>
      </c>
      <c r="N285" s="32" t="str">
        <f aca="false">IF(R285="","",Reconciliation!N286)</f>
        <v/>
      </c>
      <c r="O285" s="32" t="str">
        <f aca="false">IF(R285="","",Reconciliation!O286)</f>
        <v/>
      </c>
      <c r="P285" s="32" t="str">
        <f aca="false">IF(R285="","",Reconciliation!P286)</f>
        <v/>
      </c>
      <c r="Q285" s="32" t="str">
        <f aca="false">IF(R285="","",Reconciliation!Q286)</f>
        <v/>
      </c>
      <c r="R285" s="33" t="str">
        <f aca="false">IF(OR(Reconciliation!R286="✅ MATCH",Reconciliation!R286=""),"",Reconciliation!R286)</f>
        <v/>
      </c>
    </row>
    <row r="286" customFormat="false" ht="15" hidden="false" customHeight="true" outlineLevel="0" collapsed="false">
      <c r="A286" s="29" t="str">
        <f aca="false">IF(R286="","",Reconciliation!A287)</f>
        <v/>
      </c>
      <c r="B286" s="30" t="str">
        <f aca="false">IF(R286="","",Reconciliation!B287)</f>
        <v/>
      </c>
      <c r="C286" s="30" t="str">
        <f aca="false">IF(R286="","",Reconciliation!C287)</f>
        <v/>
      </c>
      <c r="D286" s="30" t="str">
        <f aca="false">IF(R286="","",Reconciliation!D287)</f>
        <v/>
      </c>
      <c r="E286" s="31" t="str">
        <f aca="false">IF(R286="","",Reconciliation!E287)</f>
        <v/>
      </c>
      <c r="F286" s="30" t="str">
        <f aca="false">IF(R286="","",Reconciliation!F287)</f>
        <v/>
      </c>
      <c r="G286" s="30" t="str">
        <f aca="false">IF(R286="","",Reconciliation!G287)</f>
        <v/>
      </c>
      <c r="H286" s="30" t="str">
        <f aca="false">IF(R286="","",Reconciliation!H287)</f>
        <v/>
      </c>
      <c r="I286" s="30" t="str">
        <f aca="false">IF(R286="","",Reconciliation!I287)</f>
        <v/>
      </c>
      <c r="J286" s="31" t="str">
        <f aca="false">IF(R286="","",Reconciliation!J287)</f>
        <v/>
      </c>
      <c r="K286" s="30" t="str">
        <f aca="false">IF(R286="","",Reconciliation!K287)</f>
        <v/>
      </c>
      <c r="L286" s="30" t="str">
        <f aca="false">IF(R286="","",Reconciliation!L287)</f>
        <v/>
      </c>
      <c r="M286" s="32" t="str">
        <f aca="false">IF(R286="","",Reconciliation!M287)</f>
        <v/>
      </c>
      <c r="N286" s="32" t="str">
        <f aca="false">IF(R286="","",Reconciliation!N287)</f>
        <v/>
      </c>
      <c r="O286" s="32" t="str">
        <f aca="false">IF(R286="","",Reconciliation!O287)</f>
        <v/>
      </c>
      <c r="P286" s="32" t="str">
        <f aca="false">IF(R286="","",Reconciliation!P287)</f>
        <v/>
      </c>
      <c r="Q286" s="32" t="str">
        <f aca="false">IF(R286="","",Reconciliation!Q287)</f>
        <v/>
      </c>
      <c r="R286" s="33" t="str">
        <f aca="false">IF(OR(Reconciliation!R287="✅ MATCH",Reconciliation!R287=""),"",Reconciliation!R287)</f>
        <v/>
      </c>
    </row>
    <row r="287" customFormat="false" ht="15" hidden="false" customHeight="true" outlineLevel="0" collapsed="false">
      <c r="A287" s="29" t="str">
        <f aca="false">IF(R287="","",Reconciliation!A288)</f>
        <v/>
      </c>
      <c r="B287" s="30" t="str">
        <f aca="false">IF(R287="","",Reconciliation!B288)</f>
        <v/>
      </c>
      <c r="C287" s="30" t="str">
        <f aca="false">IF(R287="","",Reconciliation!C288)</f>
        <v/>
      </c>
      <c r="D287" s="30" t="str">
        <f aca="false">IF(R287="","",Reconciliation!D288)</f>
        <v/>
      </c>
      <c r="E287" s="31" t="str">
        <f aca="false">IF(R287="","",Reconciliation!E288)</f>
        <v/>
      </c>
      <c r="F287" s="30" t="str">
        <f aca="false">IF(R287="","",Reconciliation!F288)</f>
        <v/>
      </c>
      <c r="G287" s="30" t="str">
        <f aca="false">IF(R287="","",Reconciliation!G288)</f>
        <v/>
      </c>
      <c r="H287" s="30" t="str">
        <f aca="false">IF(R287="","",Reconciliation!H288)</f>
        <v/>
      </c>
      <c r="I287" s="30" t="str">
        <f aca="false">IF(R287="","",Reconciliation!I288)</f>
        <v/>
      </c>
      <c r="J287" s="31" t="str">
        <f aca="false">IF(R287="","",Reconciliation!J288)</f>
        <v/>
      </c>
      <c r="K287" s="30" t="str">
        <f aca="false">IF(R287="","",Reconciliation!K288)</f>
        <v/>
      </c>
      <c r="L287" s="30" t="str">
        <f aca="false">IF(R287="","",Reconciliation!L288)</f>
        <v/>
      </c>
      <c r="M287" s="32" t="str">
        <f aca="false">IF(R287="","",Reconciliation!M288)</f>
        <v/>
      </c>
      <c r="N287" s="32" t="str">
        <f aca="false">IF(R287="","",Reconciliation!N288)</f>
        <v/>
      </c>
      <c r="O287" s="32" t="str">
        <f aca="false">IF(R287="","",Reconciliation!O288)</f>
        <v/>
      </c>
      <c r="P287" s="32" t="str">
        <f aca="false">IF(R287="","",Reconciliation!P288)</f>
        <v/>
      </c>
      <c r="Q287" s="32" t="str">
        <f aca="false">IF(R287="","",Reconciliation!Q288)</f>
        <v/>
      </c>
      <c r="R287" s="33" t="str">
        <f aca="false">IF(OR(Reconciliation!R288="✅ MATCH",Reconciliation!R288=""),"",Reconciliation!R288)</f>
        <v/>
      </c>
    </row>
    <row r="288" customFormat="false" ht="15" hidden="false" customHeight="true" outlineLevel="0" collapsed="false">
      <c r="A288" s="29" t="str">
        <f aca="false">IF(R288="","",Reconciliation!A289)</f>
        <v/>
      </c>
      <c r="B288" s="30" t="str">
        <f aca="false">IF(R288="","",Reconciliation!B289)</f>
        <v/>
      </c>
      <c r="C288" s="30" t="str">
        <f aca="false">IF(R288="","",Reconciliation!C289)</f>
        <v/>
      </c>
      <c r="D288" s="30" t="str">
        <f aca="false">IF(R288="","",Reconciliation!D289)</f>
        <v/>
      </c>
      <c r="E288" s="31" t="str">
        <f aca="false">IF(R288="","",Reconciliation!E289)</f>
        <v/>
      </c>
      <c r="F288" s="30" t="str">
        <f aca="false">IF(R288="","",Reconciliation!F289)</f>
        <v/>
      </c>
      <c r="G288" s="30" t="str">
        <f aca="false">IF(R288="","",Reconciliation!G289)</f>
        <v/>
      </c>
      <c r="H288" s="30" t="str">
        <f aca="false">IF(R288="","",Reconciliation!H289)</f>
        <v/>
      </c>
      <c r="I288" s="30" t="str">
        <f aca="false">IF(R288="","",Reconciliation!I289)</f>
        <v/>
      </c>
      <c r="J288" s="31" t="str">
        <f aca="false">IF(R288="","",Reconciliation!J289)</f>
        <v/>
      </c>
      <c r="K288" s="30" t="str">
        <f aca="false">IF(R288="","",Reconciliation!K289)</f>
        <v/>
      </c>
      <c r="L288" s="30" t="str">
        <f aca="false">IF(R288="","",Reconciliation!L289)</f>
        <v/>
      </c>
      <c r="M288" s="32" t="str">
        <f aca="false">IF(R288="","",Reconciliation!M289)</f>
        <v/>
      </c>
      <c r="N288" s="32" t="str">
        <f aca="false">IF(R288="","",Reconciliation!N289)</f>
        <v/>
      </c>
      <c r="O288" s="32" t="str">
        <f aca="false">IF(R288="","",Reconciliation!O289)</f>
        <v/>
      </c>
      <c r="P288" s="32" t="str">
        <f aca="false">IF(R288="","",Reconciliation!P289)</f>
        <v/>
      </c>
      <c r="Q288" s="32" t="str">
        <f aca="false">IF(R288="","",Reconciliation!Q289)</f>
        <v/>
      </c>
      <c r="R288" s="33" t="str">
        <f aca="false">IF(OR(Reconciliation!R289="✅ MATCH",Reconciliation!R289=""),"",Reconciliation!R289)</f>
        <v/>
      </c>
    </row>
    <row r="289" customFormat="false" ht="15" hidden="false" customHeight="true" outlineLevel="0" collapsed="false">
      <c r="A289" s="29" t="str">
        <f aca="false">IF(R289="","",Reconciliation!A290)</f>
        <v/>
      </c>
      <c r="B289" s="30" t="str">
        <f aca="false">IF(R289="","",Reconciliation!B290)</f>
        <v/>
      </c>
      <c r="C289" s="30" t="str">
        <f aca="false">IF(R289="","",Reconciliation!C290)</f>
        <v/>
      </c>
      <c r="D289" s="30" t="str">
        <f aca="false">IF(R289="","",Reconciliation!D290)</f>
        <v/>
      </c>
      <c r="E289" s="31" t="str">
        <f aca="false">IF(R289="","",Reconciliation!E290)</f>
        <v/>
      </c>
      <c r="F289" s="30" t="str">
        <f aca="false">IF(R289="","",Reconciliation!F290)</f>
        <v/>
      </c>
      <c r="G289" s="30" t="str">
        <f aca="false">IF(R289="","",Reconciliation!G290)</f>
        <v/>
      </c>
      <c r="H289" s="30" t="str">
        <f aca="false">IF(R289="","",Reconciliation!H290)</f>
        <v/>
      </c>
      <c r="I289" s="30" t="str">
        <f aca="false">IF(R289="","",Reconciliation!I290)</f>
        <v/>
      </c>
      <c r="J289" s="31" t="str">
        <f aca="false">IF(R289="","",Reconciliation!J290)</f>
        <v/>
      </c>
      <c r="K289" s="30" t="str">
        <f aca="false">IF(R289="","",Reconciliation!K290)</f>
        <v/>
      </c>
      <c r="L289" s="30" t="str">
        <f aca="false">IF(R289="","",Reconciliation!L290)</f>
        <v/>
      </c>
      <c r="M289" s="32" t="str">
        <f aca="false">IF(R289="","",Reconciliation!M290)</f>
        <v/>
      </c>
      <c r="N289" s="32" t="str">
        <f aca="false">IF(R289="","",Reconciliation!N290)</f>
        <v/>
      </c>
      <c r="O289" s="32" t="str">
        <f aca="false">IF(R289="","",Reconciliation!O290)</f>
        <v/>
      </c>
      <c r="P289" s="32" t="str">
        <f aca="false">IF(R289="","",Reconciliation!P290)</f>
        <v/>
      </c>
      <c r="Q289" s="32" t="str">
        <f aca="false">IF(R289="","",Reconciliation!Q290)</f>
        <v/>
      </c>
      <c r="R289" s="33" t="str">
        <f aca="false">IF(OR(Reconciliation!R290="✅ MATCH",Reconciliation!R290=""),"",Reconciliation!R290)</f>
        <v/>
      </c>
    </row>
    <row r="290" customFormat="false" ht="15" hidden="false" customHeight="true" outlineLevel="0" collapsed="false">
      <c r="A290" s="29" t="str">
        <f aca="false">IF(R290="","",Reconciliation!A291)</f>
        <v/>
      </c>
      <c r="B290" s="30" t="str">
        <f aca="false">IF(R290="","",Reconciliation!B291)</f>
        <v/>
      </c>
      <c r="C290" s="30" t="str">
        <f aca="false">IF(R290="","",Reconciliation!C291)</f>
        <v/>
      </c>
      <c r="D290" s="30" t="str">
        <f aca="false">IF(R290="","",Reconciliation!D291)</f>
        <v/>
      </c>
      <c r="E290" s="31" t="str">
        <f aca="false">IF(R290="","",Reconciliation!E291)</f>
        <v/>
      </c>
      <c r="F290" s="30" t="str">
        <f aca="false">IF(R290="","",Reconciliation!F291)</f>
        <v/>
      </c>
      <c r="G290" s="30" t="str">
        <f aca="false">IF(R290="","",Reconciliation!G291)</f>
        <v/>
      </c>
      <c r="H290" s="30" t="str">
        <f aca="false">IF(R290="","",Reconciliation!H291)</f>
        <v/>
      </c>
      <c r="I290" s="30" t="str">
        <f aca="false">IF(R290="","",Reconciliation!I291)</f>
        <v/>
      </c>
      <c r="J290" s="31" t="str">
        <f aca="false">IF(R290="","",Reconciliation!J291)</f>
        <v/>
      </c>
      <c r="K290" s="30" t="str">
        <f aca="false">IF(R290="","",Reconciliation!K291)</f>
        <v/>
      </c>
      <c r="L290" s="30" t="str">
        <f aca="false">IF(R290="","",Reconciliation!L291)</f>
        <v/>
      </c>
      <c r="M290" s="32" t="str">
        <f aca="false">IF(R290="","",Reconciliation!M291)</f>
        <v/>
      </c>
      <c r="N290" s="32" t="str">
        <f aca="false">IF(R290="","",Reconciliation!N291)</f>
        <v/>
      </c>
      <c r="O290" s="32" t="str">
        <f aca="false">IF(R290="","",Reconciliation!O291)</f>
        <v/>
      </c>
      <c r="P290" s="32" t="str">
        <f aca="false">IF(R290="","",Reconciliation!P291)</f>
        <v/>
      </c>
      <c r="Q290" s="32" t="str">
        <f aca="false">IF(R290="","",Reconciliation!Q291)</f>
        <v/>
      </c>
      <c r="R290" s="33" t="str">
        <f aca="false">IF(OR(Reconciliation!R291="✅ MATCH",Reconciliation!R291=""),"",Reconciliation!R291)</f>
        <v/>
      </c>
    </row>
    <row r="291" customFormat="false" ht="15" hidden="false" customHeight="true" outlineLevel="0" collapsed="false">
      <c r="A291" s="29" t="str">
        <f aca="false">IF(R291="","",Reconciliation!A292)</f>
        <v/>
      </c>
      <c r="B291" s="30" t="str">
        <f aca="false">IF(R291="","",Reconciliation!B292)</f>
        <v/>
      </c>
      <c r="C291" s="30" t="str">
        <f aca="false">IF(R291="","",Reconciliation!C292)</f>
        <v/>
      </c>
      <c r="D291" s="30" t="str">
        <f aca="false">IF(R291="","",Reconciliation!D292)</f>
        <v/>
      </c>
      <c r="E291" s="31" t="str">
        <f aca="false">IF(R291="","",Reconciliation!E292)</f>
        <v/>
      </c>
      <c r="F291" s="30" t="str">
        <f aca="false">IF(R291="","",Reconciliation!F292)</f>
        <v/>
      </c>
      <c r="G291" s="30" t="str">
        <f aca="false">IF(R291="","",Reconciliation!G292)</f>
        <v/>
      </c>
      <c r="H291" s="30" t="str">
        <f aca="false">IF(R291="","",Reconciliation!H292)</f>
        <v/>
      </c>
      <c r="I291" s="30" t="str">
        <f aca="false">IF(R291="","",Reconciliation!I292)</f>
        <v/>
      </c>
      <c r="J291" s="31" t="str">
        <f aca="false">IF(R291="","",Reconciliation!J292)</f>
        <v/>
      </c>
      <c r="K291" s="30" t="str">
        <f aca="false">IF(R291="","",Reconciliation!K292)</f>
        <v/>
      </c>
      <c r="L291" s="30" t="str">
        <f aca="false">IF(R291="","",Reconciliation!L292)</f>
        <v/>
      </c>
      <c r="M291" s="32" t="str">
        <f aca="false">IF(R291="","",Reconciliation!M292)</f>
        <v/>
      </c>
      <c r="N291" s="32" t="str">
        <f aca="false">IF(R291="","",Reconciliation!N292)</f>
        <v/>
      </c>
      <c r="O291" s="32" t="str">
        <f aca="false">IF(R291="","",Reconciliation!O292)</f>
        <v/>
      </c>
      <c r="P291" s="32" t="str">
        <f aca="false">IF(R291="","",Reconciliation!P292)</f>
        <v/>
      </c>
      <c r="Q291" s="32" t="str">
        <f aca="false">IF(R291="","",Reconciliation!Q292)</f>
        <v/>
      </c>
      <c r="R291" s="33" t="str">
        <f aca="false">IF(OR(Reconciliation!R292="✅ MATCH",Reconciliation!R292=""),"",Reconciliation!R292)</f>
        <v/>
      </c>
    </row>
    <row r="292" customFormat="false" ht="15" hidden="false" customHeight="true" outlineLevel="0" collapsed="false">
      <c r="A292" s="29" t="str">
        <f aca="false">IF(R292="","",Reconciliation!A293)</f>
        <v/>
      </c>
      <c r="B292" s="30" t="str">
        <f aca="false">IF(R292="","",Reconciliation!B293)</f>
        <v/>
      </c>
      <c r="C292" s="30" t="str">
        <f aca="false">IF(R292="","",Reconciliation!C293)</f>
        <v/>
      </c>
      <c r="D292" s="30" t="str">
        <f aca="false">IF(R292="","",Reconciliation!D293)</f>
        <v/>
      </c>
      <c r="E292" s="31" t="str">
        <f aca="false">IF(R292="","",Reconciliation!E293)</f>
        <v/>
      </c>
      <c r="F292" s="30" t="str">
        <f aca="false">IF(R292="","",Reconciliation!F293)</f>
        <v/>
      </c>
      <c r="G292" s="30" t="str">
        <f aca="false">IF(R292="","",Reconciliation!G293)</f>
        <v/>
      </c>
      <c r="H292" s="30" t="str">
        <f aca="false">IF(R292="","",Reconciliation!H293)</f>
        <v/>
      </c>
      <c r="I292" s="30" t="str">
        <f aca="false">IF(R292="","",Reconciliation!I293)</f>
        <v/>
      </c>
      <c r="J292" s="31" t="str">
        <f aca="false">IF(R292="","",Reconciliation!J293)</f>
        <v/>
      </c>
      <c r="K292" s="30" t="str">
        <f aca="false">IF(R292="","",Reconciliation!K293)</f>
        <v/>
      </c>
      <c r="L292" s="30" t="str">
        <f aca="false">IF(R292="","",Reconciliation!L293)</f>
        <v/>
      </c>
      <c r="M292" s="32" t="str">
        <f aca="false">IF(R292="","",Reconciliation!M293)</f>
        <v/>
      </c>
      <c r="N292" s="32" t="str">
        <f aca="false">IF(R292="","",Reconciliation!N293)</f>
        <v/>
      </c>
      <c r="O292" s="32" t="str">
        <f aca="false">IF(R292="","",Reconciliation!O293)</f>
        <v/>
      </c>
      <c r="P292" s="32" t="str">
        <f aca="false">IF(R292="","",Reconciliation!P293)</f>
        <v/>
      </c>
      <c r="Q292" s="32" t="str">
        <f aca="false">IF(R292="","",Reconciliation!Q293)</f>
        <v/>
      </c>
      <c r="R292" s="33" t="str">
        <f aca="false">IF(OR(Reconciliation!R293="✅ MATCH",Reconciliation!R293=""),"",Reconciliation!R293)</f>
        <v/>
      </c>
    </row>
    <row r="293" customFormat="false" ht="15" hidden="false" customHeight="true" outlineLevel="0" collapsed="false">
      <c r="A293" s="29" t="str">
        <f aca="false">IF(R293="","",Reconciliation!A294)</f>
        <v/>
      </c>
      <c r="B293" s="30" t="str">
        <f aca="false">IF(R293="","",Reconciliation!B294)</f>
        <v/>
      </c>
      <c r="C293" s="30" t="str">
        <f aca="false">IF(R293="","",Reconciliation!C294)</f>
        <v/>
      </c>
      <c r="D293" s="30" t="str">
        <f aca="false">IF(R293="","",Reconciliation!D294)</f>
        <v/>
      </c>
      <c r="E293" s="31" t="str">
        <f aca="false">IF(R293="","",Reconciliation!E294)</f>
        <v/>
      </c>
      <c r="F293" s="30" t="str">
        <f aca="false">IF(R293="","",Reconciliation!F294)</f>
        <v/>
      </c>
      <c r="G293" s="30" t="str">
        <f aca="false">IF(R293="","",Reconciliation!G294)</f>
        <v/>
      </c>
      <c r="H293" s="30" t="str">
        <f aca="false">IF(R293="","",Reconciliation!H294)</f>
        <v/>
      </c>
      <c r="I293" s="30" t="str">
        <f aca="false">IF(R293="","",Reconciliation!I294)</f>
        <v/>
      </c>
      <c r="J293" s="31" t="str">
        <f aca="false">IF(R293="","",Reconciliation!J294)</f>
        <v/>
      </c>
      <c r="K293" s="30" t="str">
        <f aca="false">IF(R293="","",Reconciliation!K294)</f>
        <v/>
      </c>
      <c r="L293" s="30" t="str">
        <f aca="false">IF(R293="","",Reconciliation!L294)</f>
        <v/>
      </c>
      <c r="M293" s="32" t="str">
        <f aca="false">IF(R293="","",Reconciliation!M294)</f>
        <v/>
      </c>
      <c r="N293" s="32" t="str">
        <f aca="false">IF(R293="","",Reconciliation!N294)</f>
        <v/>
      </c>
      <c r="O293" s="32" t="str">
        <f aca="false">IF(R293="","",Reconciliation!O294)</f>
        <v/>
      </c>
      <c r="P293" s="32" t="str">
        <f aca="false">IF(R293="","",Reconciliation!P294)</f>
        <v/>
      </c>
      <c r="Q293" s="32" t="str">
        <f aca="false">IF(R293="","",Reconciliation!Q294)</f>
        <v/>
      </c>
      <c r="R293" s="33" t="str">
        <f aca="false">IF(OR(Reconciliation!R294="✅ MATCH",Reconciliation!R294=""),"",Reconciliation!R294)</f>
        <v/>
      </c>
    </row>
    <row r="294" customFormat="false" ht="15" hidden="false" customHeight="true" outlineLevel="0" collapsed="false">
      <c r="A294" s="29" t="str">
        <f aca="false">IF(R294="","",Reconciliation!A295)</f>
        <v/>
      </c>
      <c r="B294" s="30" t="str">
        <f aca="false">IF(R294="","",Reconciliation!B295)</f>
        <v/>
      </c>
      <c r="C294" s="30" t="str">
        <f aca="false">IF(R294="","",Reconciliation!C295)</f>
        <v/>
      </c>
      <c r="D294" s="30" t="str">
        <f aca="false">IF(R294="","",Reconciliation!D295)</f>
        <v/>
      </c>
      <c r="E294" s="31" t="str">
        <f aca="false">IF(R294="","",Reconciliation!E295)</f>
        <v/>
      </c>
      <c r="F294" s="30" t="str">
        <f aca="false">IF(R294="","",Reconciliation!F295)</f>
        <v/>
      </c>
      <c r="G294" s="30" t="str">
        <f aca="false">IF(R294="","",Reconciliation!G295)</f>
        <v/>
      </c>
      <c r="H294" s="30" t="str">
        <f aca="false">IF(R294="","",Reconciliation!H295)</f>
        <v/>
      </c>
      <c r="I294" s="30" t="str">
        <f aca="false">IF(R294="","",Reconciliation!I295)</f>
        <v/>
      </c>
      <c r="J294" s="31" t="str">
        <f aca="false">IF(R294="","",Reconciliation!J295)</f>
        <v/>
      </c>
      <c r="K294" s="30" t="str">
        <f aca="false">IF(R294="","",Reconciliation!K295)</f>
        <v/>
      </c>
      <c r="L294" s="30" t="str">
        <f aca="false">IF(R294="","",Reconciliation!L295)</f>
        <v/>
      </c>
      <c r="M294" s="32" t="str">
        <f aca="false">IF(R294="","",Reconciliation!M295)</f>
        <v/>
      </c>
      <c r="N294" s="32" t="str">
        <f aca="false">IF(R294="","",Reconciliation!N295)</f>
        <v/>
      </c>
      <c r="O294" s="32" t="str">
        <f aca="false">IF(R294="","",Reconciliation!O295)</f>
        <v/>
      </c>
      <c r="P294" s="32" t="str">
        <f aca="false">IF(R294="","",Reconciliation!P295)</f>
        <v/>
      </c>
      <c r="Q294" s="32" t="str">
        <f aca="false">IF(R294="","",Reconciliation!Q295)</f>
        <v/>
      </c>
      <c r="R294" s="33" t="str">
        <f aca="false">IF(OR(Reconciliation!R295="✅ MATCH",Reconciliation!R295=""),"",Reconciliation!R295)</f>
        <v/>
      </c>
    </row>
    <row r="295" customFormat="false" ht="15" hidden="false" customHeight="true" outlineLevel="0" collapsed="false">
      <c r="A295" s="29" t="str">
        <f aca="false">IF(R295="","",Reconciliation!A296)</f>
        <v/>
      </c>
      <c r="B295" s="30" t="str">
        <f aca="false">IF(R295="","",Reconciliation!B296)</f>
        <v/>
      </c>
      <c r="C295" s="30" t="str">
        <f aca="false">IF(R295="","",Reconciliation!C296)</f>
        <v/>
      </c>
      <c r="D295" s="30" t="str">
        <f aca="false">IF(R295="","",Reconciliation!D296)</f>
        <v/>
      </c>
      <c r="E295" s="31" t="str">
        <f aca="false">IF(R295="","",Reconciliation!E296)</f>
        <v/>
      </c>
      <c r="F295" s="30" t="str">
        <f aca="false">IF(R295="","",Reconciliation!F296)</f>
        <v/>
      </c>
      <c r="G295" s="30" t="str">
        <f aca="false">IF(R295="","",Reconciliation!G296)</f>
        <v/>
      </c>
      <c r="H295" s="30" t="str">
        <f aca="false">IF(R295="","",Reconciliation!H296)</f>
        <v/>
      </c>
      <c r="I295" s="30" t="str">
        <f aca="false">IF(R295="","",Reconciliation!I296)</f>
        <v/>
      </c>
      <c r="J295" s="31" t="str">
        <f aca="false">IF(R295="","",Reconciliation!J296)</f>
        <v/>
      </c>
      <c r="K295" s="30" t="str">
        <f aca="false">IF(R295="","",Reconciliation!K296)</f>
        <v/>
      </c>
      <c r="L295" s="30" t="str">
        <f aca="false">IF(R295="","",Reconciliation!L296)</f>
        <v/>
      </c>
      <c r="M295" s="32" t="str">
        <f aca="false">IF(R295="","",Reconciliation!M296)</f>
        <v/>
      </c>
      <c r="N295" s="32" t="str">
        <f aca="false">IF(R295="","",Reconciliation!N296)</f>
        <v/>
      </c>
      <c r="O295" s="32" t="str">
        <f aca="false">IF(R295="","",Reconciliation!O296)</f>
        <v/>
      </c>
      <c r="P295" s="32" t="str">
        <f aca="false">IF(R295="","",Reconciliation!P296)</f>
        <v/>
      </c>
      <c r="Q295" s="32" t="str">
        <f aca="false">IF(R295="","",Reconciliation!Q296)</f>
        <v/>
      </c>
      <c r="R295" s="33" t="str">
        <f aca="false">IF(OR(Reconciliation!R296="✅ MATCH",Reconciliation!R296=""),"",Reconciliation!R296)</f>
        <v/>
      </c>
    </row>
    <row r="296" customFormat="false" ht="15" hidden="false" customHeight="true" outlineLevel="0" collapsed="false">
      <c r="A296" s="29" t="str">
        <f aca="false">IF(R296="","",Reconciliation!A297)</f>
        <v/>
      </c>
      <c r="B296" s="30" t="str">
        <f aca="false">IF(R296="","",Reconciliation!B297)</f>
        <v/>
      </c>
      <c r="C296" s="30" t="str">
        <f aca="false">IF(R296="","",Reconciliation!C297)</f>
        <v/>
      </c>
      <c r="D296" s="30" t="str">
        <f aca="false">IF(R296="","",Reconciliation!D297)</f>
        <v/>
      </c>
      <c r="E296" s="31" t="str">
        <f aca="false">IF(R296="","",Reconciliation!E297)</f>
        <v/>
      </c>
      <c r="F296" s="30" t="str">
        <f aca="false">IF(R296="","",Reconciliation!F297)</f>
        <v/>
      </c>
      <c r="G296" s="30" t="str">
        <f aca="false">IF(R296="","",Reconciliation!G297)</f>
        <v/>
      </c>
      <c r="H296" s="30" t="str">
        <f aca="false">IF(R296="","",Reconciliation!H297)</f>
        <v/>
      </c>
      <c r="I296" s="30" t="str">
        <f aca="false">IF(R296="","",Reconciliation!I297)</f>
        <v/>
      </c>
      <c r="J296" s="31" t="str">
        <f aca="false">IF(R296="","",Reconciliation!J297)</f>
        <v/>
      </c>
      <c r="K296" s="30" t="str">
        <f aca="false">IF(R296="","",Reconciliation!K297)</f>
        <v/>
      </c>
      <c r="L296" s="30" t="str">
        <f aca="false">IF(R296="","",Reconciliation!L297)</f>
        <v/>
      </c>
      <c r="M296" s="32" t="str">
        <f aca="false">IF(R296="","",Reconciliation!M297)</f>
        <v/>
      </c>
      <c r="N296" s="32" t="str">
        <f aca="false">IF(R296="","",Reconciliation!N297)</f>
        <v/>
      </c>
      <c r="O296" s="32" t="str">
        <f aca="false">IF(R296="","",Reconciliation!O297)</f>
        <v/>
      </c>
      <c r="P296" s="32" t="str">
        <f aca="false">IF(R296="","",Reconciliation!P297)</f>
        <v/>
      </c>
      <c r="Q296" s="32" t="str">
        <f aca="false">IF(R296="","",Reconciliation!Q297)</f>
        <v/>
      </c>
      <c r="R296" s="33" t="str">
        <f aca="false">IF(OR(Reconciliation!R297="✅ MATCH",Reconciliation!R297=""),"",Reconciliation!R297)</f>
        <v/>
      </c>
    </row>
    <row r="297" customFormat="false" ht="15" hidden="false" customHeight="true" outlineLevel="0" collapsed="false">
      <c r="A297" s="29" t="str">
        <f aca="false">IF(R297="","",Reconciliation!A298)</f>
        <v/>
      </c>
      <c r="B297" s="30" t="str">
        <f aca="false">IF(R297="","",Reconciliation!B298)</f>
        <v/>
      </c>
      <c r="C297" s="30" t="str">
        <f aca="false">IF(R297="","",Reconciliation!C298)</f>
        <v/>
      </c>
      <c r="D297" s="30" t="str">
        <f aca="false">IF(R297="","",Reconciliation!D298)</f>
        <v/>
      </c>
      <c r="E297" s="31" t="str">
        <f aca="false">IF(R297="","",Reconciliation!E298)</f>
        <v/>
      </c>
      <c r="F297" s="30" t="str">
        <f aca="false">IF(R297="","",Reconciliation!F298)</f>
        <v/>
      </c>
      <c r="G297" s="30" t="str">
        <f aca="false">IF(R297="","",Reconciliation!G298)</f>
        <v/>
      </c>
      <c r="H297" s="30" t="str">
        <f aca="false">IF(R297="","",Reconciliation!H298)</f>
        <v/>
      </c>
      <c r="I297" s="30" t="str">
        <f aca="false">IF(R297="","",Reconciliation!I298)</f>
        <v/>
      </c>
      <c r="J297" s="31" t="str">
        <f aca="false">IF(R297="","",Reconciliation!J298)</f>
        <v/>
      </c>
      <c r="K297" s="30" t="str">
        <f aca="false">IF(R297="","",Reconciliation!K298)</f>
        <v/>
      </c>
      <c r="L297" s="30" t="str">
        <f aca="false">IF(R297="","",Reconciliation!L298)</f>
        <v/>
      </c>
      <c r="M297" s="32" t="str">
        <f aca="false">IF(R297="","",Reconciliation!M298)</f>
        <v/>
      </c>
      <c r="N297" s="32" t="str">
        <f aca="false">IF(R297="","",Reconciliation!N298)</f>
        <v/>
      </c>
      <c r="O297" s="32" t="str">
        <f aca="false">IF(R297="","",Reconciliation!O298)</f>
        <v/>
      </c>
      <c r="P297" s="32" t="str">
        <f aca="false">IF(R297="","",Reconciliation!P298)</f>
        <v/>
      </c>
      <c r="Q297" s="32" t="str">
        <f aca="false">IF(R297="","",Reconciliation!Q298)</f>
        <v/>
      </c>
      <c r="R297" s="33" t="str">
        <f aca="false">IF(OR(Reconciliation!R298="✅ MATCH",Reconciliation!R298=""),"",Reconciliation!R298)</f>
        <v/>
      </c>
    </row>
    <row r="298" customFormat="false" ht="15" hidden="false" customHeight="true" outlineLevel="0" collapsed="false">
      <c r="A298" s="29" t="str">
        <f aca="false">IF(R298="","",Reconciliation!A299)</f>
        <v/>
      </c>
      <c r="B298" s="30" t="str">
        <f aca="false">IF(R298="","",Reconciliation!B299)</f>
        <v/>
      </c>
      <c r="C298" s="30" t="str">
        <f aca="false">IF(R298="","",Reconciliation!C299)</f>
        <v/>
      </c>
      <c r="D298" s="30" t="str">
        <f aca="false">IF(R298="","",Reconciliation!D299)</f>
        <v/>
      </c>
      <c r="E298" s="31" t="str">
        <f aca="false">IF(R298="","",Reconciliation!E299)</f>
        <v/>
      </c>
      <c r="F298" s="30" t="str">
        <f aca="false">IF(R298="","",Reconciliation!F299)</f>
        <v/>
      </c>
      <c r="G298" s="30" t="str">
        <f aca="false">IF(R298="","",Reconciliation!G299)</f>
        <v/>
      </c>
      <c r="H298" s="30" t="str">
        <f aca="false">IF(R298="","",Reconciliation!H299)</f>
        <v/>
      </c>
      <c r="I298" s="30" t="str">
        <f aca="false">IF(R298="","",Reconciliation!I299)</f>
        <v/>
      </c>
      <c r="J298" s="31" t="str">
        <f aca="false">IF(R298="","",Reconciliation!J299)</f>
        <v/>
      </c>
      <c r="K298" s="30" t="str">
        <f aca="false">IF(R298="","",Reconciliation!K299)</f>
        <v/>
      </c>
      <c r="L298" s="30" t="str">
        <f aca="false">IF(R298="","",Reconciliation!L299)</f>
        <v/>
      </c>
      <c r="M298" s="32" t="str">
        <f aca="false">IF(R298="","",Reconciliation!M299)</f>
        <v/>
      </c>
      <c r="N298" s="32" t="str">
        <f aca="false">IF(R298="","",Reconciliation!N299)</f>
        <v/>
      </c>
      <c r="O298" s="32" t="str">
        <f aca="false">IF(R298="","",Reconciliation!O299)</f>
        <v/>
      </c>
      <c r="P298" s="32" t="str">
        <f aca="false">IF(R298="","",Reconciliation!P299)</f>
        <v/>
      </c>
      <c r="Q298" s="32" t="str">
        <f aca="false">IF(R298="","",Reconciliation!Q299)</f>
        <v/>
      </c>
      <c r="R298" s="33" t="str">
        <f aca="false">IF(OR(Reconciliation!R299="✅ MATCH",Reconciliation!R299=""),"",Reconciliation!R299)</f>
        <v/>
      </c>
    </row>
    <row r="299" customFormat="false" ht="15" hidden="false" customHeight="true" outlineLevel="0" collapsed="false">
      <c r="A299" s="29" t="str">
        <f aca="false">IF(R299="","",Reconciliation!A300)</f>
        <v/>
      </c>
      <c r="B299" s="30" t="str">
        <f aca="false">IF(R299="","",Reconciliation!B300)</f>
        <v/>
      </c>
      <c r="C299" s="30" t="str">
        <f aca="false">IF(R299="","",Reconciliation!C300)</f>
        <v/>
      </c>
      <c r="D299" s="30" t="str">
        <f aca="false">IF(R299="","",Reconciliation!D300)</f>
        <v/>
      </c>
      <c r="E299" s="31" t="str">
        <f aca="false">IF(R299="","",Reconciliation!E300)</f>
        <v/>
      </c>
      <c r="F299" s="30" t="str">
        <f aca="false">IF(R299="","",Reconciliation!F300)</f>
        <v/>
      </c>
      <c r="G299" s="30" t="str">
        <f aca="false">IF(R299="","",Reconciliation!G300)</f>
        <v/>
      </c>
      <c r="H299" s="30" t="str">
        <f aca="false">IF(R299="","",Reconciliation!H300)</f>
        <v/>
      </c>
      <c r="I299" s="30" t="str">
        <f aca="false">IF(R299="","",Reconciliation!I300)</f>
        <v/>
      </c>
      <c r="J299" s="31" t="str">
        <f aca="false">IF(R299="","",Reconciliation!J300)</f>
        <v/>
      </c>
      <c r="K299" s="30" t="str">
        <f aca="false">IF(R299="","",Reconciliation!K300)</f>
        <v/>
      </c>
      <c r="L299" s="30" t="str">
        <f aca="false">IF(R299="","",Reconciliation!L300)</f>
        <v/>
      </c>
      <c r="M299" s="32" t="str">
        <f aca="false">IF(R299="","",Reconciliation!M300)</f>
        <v/>
      </c>
      <c r="N299" s="32" t="str">
        <f aca="false">IF(R299="","",Reconciliation!N300)</f>
        <v/>
      </c>
      <c r="O299" s="32" t="str">
        <f aca="false">IF(R299="","",Reconciliation!O300)</f>
        <v/>
      </c>
      <c r="P299" s="32" t="str">
        <f aca="false">IF(R299="","",Reconciliation!P300)</f>
        <v/>
      </c>
      <c r="Q299" s="32" t="str">
        <f aca="false">IF(R299="","",Reconciliation!Q300)</f>
        <v/>
      </c>
      <c r="R299" s="33" t="str">
        <f aca="false">IF(OR(Reconciliation!R300="✅ MATCH",Reconciliation!R300=""),"",Reconciliation!R300)</f>
        <v/>
      </c>
    </row>
    <row r="300" customFormat="false" ht="15" hidden="false" customHeight="true" outlineLevel="0" collapsed="false">
      <c r="A300" s="29" t="str">
        <f aca="false">IF(R300="","",Reconciliation!A301)</f>
        <v/>
      </c>
      <c r="B300" s="30" t="str">
        <f aca="false">IF(R300="","",Reconciliation!B301)</f>
        <v/>
      </c>
      <c r="C300" s="30" t="str">
        <f aca="false">IF(R300="","",Reconciliation!C301)</f>
        <v/>
      </c>
      <c r="D300" s="30" t="str">
        <f aca="false">IF(R300="","",Reconciliation!D301)</f>
        <v/>
      </c>
      <c r="E300" s="31" t="str">
        <f aca="false">IF(R300="","",Reconciliation!E301)</f>
        <v/>
      </c>
      <c r="F300" s="30" t="str">
        <f aca="false">IF(R300="","",Reconciliation!F301)</f>
        <v/>
      </c>
      <c r="G300" s="30" t="str">
        <f aca="false">IF(R300="","",Reconciliation!G301)</f>
        <v/>
      </c>
      <c r="H300" s="30" t="str">
        <f aca="false">IF(R300="","",Reconciliation!H301)</f>
        <v/>
      </c>
      <c r="I300" s="30" t="str">
        <f aca="false">IF(R300="","",Reconciliation!I301)</f>
        <v/>
      </c>
      <c r="J300" s="31" t="str">
        <f aca="false">IF(R300="","",Reconciliation!J301)</f>
        <v/>
      </c>
      <c r="K300" s="30" t="str">
        <f aca="false">IF(R300="","",Reconciliation!K301)</f>
        <v/>
      </c>
      <c r="L300" s="30" t="str">
        <f aca="false">IF(R300="","",Reconciliation!L301)</f>
        <v/>
      </c>
      <c r="M300" s="32" t="str">
        <f aca="false">IF(R300="","",Reconciliation!M301)</f>
        <v/>
      </c>
      <c r="N300" s="32" t="str">
        <f aca="false">IF(R300="","",Reconciliation!N301)</f>
        <v/>
      </c>
      <c r="O300" s="32" t="str">
        <f aca="false">IF(R300="","",Reconciliation!O301)</f>
        <v/>
      </c>
      <c r="P300" s="32" t="str">
        <f aca="false">IF(R300="","",Reconciliation!P301)</f>
        <v/>
      </c>
      <c r="Q300" s="32" t="str">
        <f aca="false">IF(R300="","",Reconciliation!Q301)</f>
        <v/>
      </c>
      <c r="R300" s="33" t="str">
        <f aca="false">IF(OR(Reconciliation!R301="✅ MATCH",Reconciliation!R301=""),"",Reconciliation!R301)</f>
        <v/>
      </c>
    </row>
    <row r="301" customFormat="false" ht="15" hidden="false" customHeight="true" outlineLevel="0" collapsed="false">
      <c r="A301" s="29" t="str">
        <f aca="false">IF(R301="","",Reconciliation!A302)</f>
        <v/>
      </c>
      <c r="B301" s="30" t="str">
        <f aca="false">IF(R301="","",Reconciliation!B302)</f>
        <v/>
      </c>
      <c r="C301" s="30" t="str">
        <f aca="false">IF(R301="","",Reconciliation!C302)</f>
        <v/>
      </c>
      <c r="D301" s="30" t="str">
        <f aca="false">IF(R301="","",Reconciliation!D302)</f>
        <v/>
      </c>
      <c r="E301" s="31" t="str">
        <f aca="false">IF(R301="","",Reconciliation!E302)</f>
        <v/>
      </c>
      <c r="F301" s="30" t="str">
        <f aca="false">IF(R301="","",Reconciliation!F302)</f>
        <v/>
      </c>
      <c r="G301" s="30" t="str">
        <f aca="false">IF(R301="","",Reconciliation!G302)</f>
        <v/>
      </c>
      <c r="H301" s="30" t="str">
        <f aca="false">IF(R301="","",Reconciliation!H302)</f>
        <v/>
      </c>
      <c r="I301" s="30" t="str">
        <f aca="false">IF(R301="","",Reconciliation!I302)</f>
        <v/>
      </c>
      <c r="J301" s="31" t="str">
        <f aca="false">IF(R301="","",Reconciliation!J302)</f>
        <v/>
      </c>
      <c r="K301" s="30" t="str">
        <f aca="false">IF(R301="","",Reconciliation!K302)</f>
        <v/>
      </c>
      <c r="L301" s="30" t="str">
        <f aca="false">IF(R301="","",Reconciliation!L302)</f>
        <v/>
      </c>
      <c r="M301" s="32" t="str">
        <f aca="false">IF(R301="","",Reconciliation!M302)</f>
        <v/>
      </c>
      <c r="N301" s="32" t="str">
        <f aca="false">IF(R301="","",Reconciliation!N302)</f>
        <v/>
      </c>
      <c r="O301" s="32" t="str">
        <f aca="false">IF(R301="","",Reconciliation!O302)</f>
        <v/>
      </c>
      <c r="P301" s="32" t="str">
        <f aca="false">IF(R301="","",Reconciliation!P302)</f>
        <v/>
      </c>
      <c r="Q301" s="32" t="str">
        <f aca="false">IF(R301="","",Reconciliation!Q302)</f>
        <v/>
      </c>
      <c r="R301" s="33" t="str">
        <f aca="false">IF(OR(Reconciliation!R302="✅ MATCH",Reconciliation!R302=""),"",Reconciliation!R302)</f>
        <v/>
      </c>
    </row>
    <row r="302" customFormat="false" ht="15" hidden="false" customHeight="true" outlineLevel="0" collapsed="false">
      <c r="A302" s="29" t="str">
        <f aca="false">IF(R302="","",Reconciliation!A303)</f>
        <v/>
      </c>
      <c r="B302" s="30" t="str">
        <f aca="false">IF(R302="","",Reconciliation!B303)</f>
        <v/>
      </c>
      <c r="C302" s="30" t="str">
        <f aca="false">IF(R302="","",Reconciliation!C303)</f>
        <v/>
      </c>
      <c r="D302" s="30" t="str">
        <f aca="false">IF(R302="","",Reconciliation!D303)</f>
        <v/>
      </c>
      <c r="E302" s="31" t="str">
        <f aca="false">IF(R302="","",Reconciliation!E303)</f>
        <v/>
      </c>
      <c r="F302" s="30" t="str">
        <f aca="false">IF(R302="","",Reconciliation!F303)</f>
        <v/>
      </c>
      <c r="G302" s="30" t="str">
        <f aca="false">IF(R302="","",Reconciliation!G303)</f>
        <v/>
      </c>
      <c r="H302" s="30" t="str">
        <f aca="false">IF(R302="","",Reconciliation!H303)</f>
        <v/>
      </c>
      <c r="I302" s="30" t="str">
        <f aca="false">IF(R302="","",Reconciliation!I303)</f>
        <v/>
      </c>
      <c r="J302" s="31" t="str">
        <f aca="false">IF(R302="","",Reconciliation!J303)</f>
        <v/>
      </c>
      <c r="K302" s="30" t="str">
        <f aca="false">IF(R302="","",Reconciliation!K303)</f>
        <v/>
      </c>
      <c r="L302" s="30" t="str">
        <f aca="false">IF(R302="","",Reconciliation!L303)</f>
        <v/>
      </c>
      <c r="M302" s="32" t="str">
        <f aca="false">IF(R302="","",Reconciliation!M303)</f>
        <v/>
      </c>
      <c r="N302" s="32" t="str">
        <f aca="false">IF(R302="","",Reconciliation!N303)</f>
        <v/>
      </c>
      <c r="O302" s="32" t="str">
        <f aca="false">IF(R302="","",Reconciliation!O303)</f>
        <v/>
      </c>
      <c r="P302" s="32" t="str">
        <f aca="false">IF(R302="","",Reconciliation!P303)</f>
        <v/>
      </c>
      <c r="Q302" s="32" t="str">
        <f aca="false">IF(R302="","",Reconciliation!Q303)</f>
        <v/>
      </c>
      <c r="R302" s="33" t="str">
        <f aca="false">IF(OR(Reconciliation!R303="✅ MATCH",Reconciliation!R303=""),"",Reconciliation!R303)</f>
        <v/>
      </c>
    </row>
    <row r="303" customFormat="false" ht="15" hidden="false" customHeight="true" outlineLevel="0" collapsed="false">
      <c r="A303" s="29" t="str">
        <f aca="false">IF(R303="","",Reconciliation!A304)</f>
        <v/>
      </c>
      <c r="B303" s="30" t="str">
        <f aca="false">IF(R303="","",Reconciliation!B304)</f>
        <v/>
      </c>
      <c r="C303" s="30" t="str">
        <f aca="false">IF(R303="","",Reconciliation!C304)</f>
        <v/>
      </c>
      <c r="D303" s="30" t="str">
        <f aca="false">IF(R303="","",Reconciliation!D304)</f>
        <v/>
      </c>
      <c r="E303" s="31" t="str">
        <f aca="false">IF(R303="","",Reconciliation!E304)</f>
        <v/>
      </c>
      <c r="F303" s="30" t="str">
        <f aca="false">IF(R303="","",Reconciliation!F304)</f>
        <v/>
      </c>
      <c r="G303" s="30" t="str">
        <f aca="false">IF(R303="","",Reconciliation!G304)</f>
        <v/>
      </c>
      <c r="H303" s="30" t="str">
        <f aca="false">IF(R303="","",Reconciliation!H304)</f>
        <v/>
      </c>
      <c r="I303" s="30" t="str">
        <f aca="false">IF(R303="","",Reconciliation!I304)</f>
        <v/>
      </c>
      <c r="J303" s="31" t="str">
        <f aca="false">IF(R303="","",Reconciliation!J304)</f>
        <v/>
      </c>
      <c r="K303" s="30" t="str">
        <f aca="false">IF(R303="","",Reconciliation!K304)</f>
        <v/>
      </c>
      <c r="L303" s="30" t="str">
        <f aca="false">IF(R303="","",Reconciliation!L304)</f>
        <v/>
      </c>
      <c r="M303" s="32" t="str">
        <f aca="false">IF(R303="","",Reconciliation!M304)</f>
        <v/>
      </c>
      <c r="N303" s="32" t="str">
        <f aca="false">IF(R303="","",Reconciliation!N304)</f>
        <v/>
      </c>
      <c r="O303" s="32" t="str">
        <f aca="false">IF(R303="","",Reconciliation!O304)</f>
        <v/>
      </c>
      <c r="P303" s="32" t="str">
        <f aca="false">IF(R303="","",Reconciliation!P304)</f>
        <v/>
      </c>
      <c r="Q303" s="32" t="str">
        <f aca="false">IF(R303="","",Reconciliation!Q304)</f>
        <v/>
      </c>
      <c r="R303" s="33" t="str">
        <f aca="false">IF(OR(Reconciliation!R304="✅ MATCH",Reconciliation!R304=""),"",Reconciliation!R304)</f>
        <v/>
      </c>
    </row>
    <row r="304" customFormat="false" ht="15" hidden="false" customHeight="true" outlineLevel="0" collapsed="false">
      <c r="A304" s="29" t="str">
        <f aca="false">IF(R304="","",Reconciliation!A305)</f>
        <v/>
      </c>
      <c r="B304" s="30" t="str">
        <f aca="false">IF(R304="","",Reconciliation!B305)</f>
        <v/>
      </c>
      <c r="C304" s="30" t="str">
        <f aca="false">IF(R304="","",Reconciliation!C305)</f>
        <v/>
      </c>
      <c r="D304" s="30" t="str">
        <f aca="false">IF(R304="","",Reconciliation!D305)</f>
        <v/>
      </c>
      <c r="E304" s="31" t="str">
        <f aca="false">IF(R304="","",Reconciliation!E305)</f>
        <v/>
      </c>
      <c r="F304" s="30" t="str">
        <f aca="false">IF(R304="","",Reconciliation!F305)</f>
        <v/>
      </c>
      <c r="G304" s="30" t="str">
        <f aca="false">IF(R304="","",Reconciliation!G305)</f>
        <v/>
      </c>
      <c r="H304" s="30" t="str">
        <f aca="false">IF(R304="","",Reconciliation!H305)</f>
        <v/>
      </c>
      <c r="I304" s="30" t="str">
        <f aca="false">IF(R304="","",Reconciliation!I305)</f>
        <v/>
      </c>
      <c r="J304" s="31" t="str">
        <f aca="false">IF(R304="","",Reconciliation!J305)</f>
        <v/>
      </c>
      <c r="K304" s="30" t="str">
        <f aca="false">IF(R304="","",Reconciliation!K305)</f>
        <v/>
      </c>
      <c r="L304" s="30" t="str">
        <f aca="false">IF(R304="","",Reconciliation!L305)</f>
        <v/>
      </c>
      <c r="M304" s="32" t="str">
        <f aca="false">IF(R304="","",Reconciliation!M305)</f>
        <v/>
      </c>
      <c r="N304" s="32" t="str">
        <f aca="false">IF(R304="","",Reconciliation!N305)</f>
        <v/>
      </c>
      <c r="O304" s="32" t="str">
        <f aca="false">IF(R304="","",Reconciliation!O305)</f>
        <v/>
      </c>
      <c r="P304" s="32" t="str">
        <f aca="false">IF(R304="","",Reconciliation!P305)</f>
        <v/>
      </c>
      <c r="Q304" s="32" t="str">
        <f aca="false">IF(R304="","",Reconciliation!Q305)</f>
        <v/>
      </c>
      <c r="R304" s="33" t="str">
        <f aca="false">IF(OR(Reconciliation!R305="✅ MATCH",Reconciliation!R305=""),"",Reconciliation!R305)</f>
        <v/>
      </c>
    </row>
    <row r="305" customFormat="false" ht="15" hidden="false" customHeight="true" outlineLevel="0" collapsed="false">
      <c r="A305" s="29" t="str">
        <f aca="false">IF(R305="","",Reconciliation!A306)</f>
        <v/>
      </c>
      <c r="B305" s="30" t="str">
        <f aca="false">IF(R305="","",Reconciliation!B306)</f>
        <v/>
      </c>
      <c r="C305" s="30" t="str">
        <f aca="false">IF(R305="","",Reconciliation!C306)</f>
        <v/>
      </c>
      <c r="D305" s="30" t="str">
        <f aca="false">IF(R305="","",Reconciliation!D306)</f>
        <v/>
      </c>
      <c r="E305" s="31" t="str">
        <f aca="false">IF(R305="","",Reconciliation!E306)</f>
        <v/>
      </c>
      <c r="F305" s="30" t="str">
        <f aca="false">IF(R305="","",Reconciliation!F306)</f>
        <v/>
      </c>
      <c r="G305" s="30" t="str">
        <f aca="false">IF(R305="","",Reconciliation!G306)</f>
        <v/>
      </c>
      <c r="H305" s="30" t="str">
        <f aca="false">IF(R305="","",Reconciliation!H306)</f>
        <v/>
      </c>
      <c r="I305" s="30" t="str">
        <f aca="false">IF(R305="","",Reconciliation!I306)</f>
        <v/>
      </c>
      <c r="J305" s="31" t="str">
        <f aca="false">IF(R305="","",Reconciliation!J306)</f>
        <v/>
      </c>
      <c r="K305" s="30" t="str">
        <f aca="false">IF(R305="","",Reconciliation!K306)</f>
        <v/>
      </c>
      <c r="L305" s="30" t="str">
        <f aca="false">IF(R305="","",Reconciliation!L306)</f>
        <v/>
      </c>
      <c r="M305" s="32" t="str">
        <f aca="false">IF(R305="","",Reconciliation!M306)</f>
        <v/>
      </c>
      <c r="N305" s="32" t="str">
        <f aca="false">IF(R305="","",Reconciliation!N306)</f>
        <v/>
      </c>
      <c r="O305" s="32" t="str">
        <f aca="false">IF(R305="","",Reconciliation!O306)</f>
        <v/>
      </c>
      <c r="P305" s="32" t="str">
        <f aca="false">IF(R305="","",Reconciliation!P306)</f>
        <v/>
      </c>
      <c r="Q305" s="32" t="str">
        <f aca="false">IF(R305="","",Reconciliation!Q306)</f>
        <v/>
      </c>
      <c r="R305" s="33" t="str">
        <f aca="false">IF(OR(Reconciliation!R306="✅ MATCH",Reconciliation!R306=""),"",Reconciliation!R306)</f>
        <v/>
      </c>
    </row>
    <row r="306" customFormat="false" ht="15" hidden="false" customHeight="true" outlineLevel="0" collapsed="false">
      <c r="A306" s="29" t="str">
        <f aca="false">IF(R306="","",Reconciliation!A307)</f>
        <v/>
      </c>
      <c r="B306" s="30" t="str">
        <f aca="false">IF(R306="","",Reconciliation!B307)</f>
        <v/>
      </c>
      <c r="C306" s="30" t="str">
        <f aca="false">IF(R306="","",Reconciliation!C307)</f>
        <v/>
      </c>
      <c r="D306" s="30" t="str">
        <f aca="false">IF(R306="","",Reconciliation!D307)</f>
        <v/>
      </c>
      <c r="E306" s="31" t="str">
        <f aca="false">IF(R306="","",Reconciliation!E307)</f>
        <v/>
      </c>
      <c r="F306" s="30" t="str">
        <f aca="false">IF(R306="","",Reconciliation!F307)</f>
        <v/>
      </c>
      <c r="G306" s="30" t="str">
        <f aca="false">IF(R306="","",Reconciliation!G307)</f>
        <v/>
      </c>
      <c r="H306" s="30" t="str">
        <f aca="false">IF(R306="","",Reconciliation!H307)</f>
        <v/>
      </c>
      <c r="I306" s="30" t="str">
        <f aca="false">IF(R306="","",Reconciliation!I307)</f>
        <v/>
      </c>
      <c r="J306" s="31" t="str">
        <f aca="false">IF(R306="","",Reconciliation!J307)</f>
        <v/>
      </c>
      <c r="K306" s="30" t="str">
        <f aca="false">IF(R306="","",Reconciliation!K307)</f>
        <v/>
      </c>
      <c r="L306" s="30" t="str">
        <f aca="false">IF(R306="","",Reconciliation!L307)</f>
        <v/>
      </c>
      <c r="M306" s="32" t="str">
        <f aca="false">IF(R306="","",Reconciliation!M307)</f>
        <v/>
      </c>
      <c r="N306" s="32" t="str">
        <f aca="false">IF(R306="","",Reconciliation!N307)</f>
        <v/>
      </c>
      <c r="O306" s="32" t="str">
        <f aca="false">IF(R306="","",Reconciliation!O307)</f>
        <v/>
      </c>
      <c r="P306" s="32" t="str">
        <f aca="false">IF(R306="","",Reconciliation!P307)</f>
        <v/>
      </c>
      <c r="Q306" s="32" t="str">
        <f aca="false">IF(R306="","",Reconciliation!Q307)</f>
        <v/>
      </c>
      <c r="R306" s="33" t="str">
        <f aca="false">IF(OR(Reconciliation!R307="✅ MATCH",Reconciliation!R307=""),"",Reconciliation!R307)</f>
        <v/>
      </c>
    </row>
    <row r="307" customFormat="false" ht="15" hidden="false" customHeight="true" outlineLevel="0" collapsed="false">
      <c r="A307" s="29" t="str">
        <f aca="false">IF(R307="","",Reconciliation!A308)</f>
        <v/>
      </c>
      <c r="B307" s="30" t="str">
        <f aca="false">IF(R307="","",Reconciliation!B308)</f>
        <v/>
      </c>
      <c r="C307" s="30" t="str">
        <f aca="false">IF(R307="","",Reconciliation!C308)</f>
        <v/>
      </c>
      <c r="D307" s="30" t="str">
        <f aca="false">IF(R307="","",Reconciliation!D308)</f>
        <v/>
      </c>
      <c r="E307" s="31" t="str">
        <f aca="false">IF(R307="","",Reconciliation!E308)</f>
        <v/>
      </c>
      <c r="F307" s="30" t="str">
        <f aca="false">IF(R307="","",Reconciliation!F308)</f>
        <v/>
      </c>
      <c r="G307" s="30" t="str">
        <f aca="false">IF(R307="","",Reconciliation!G308)</f>
        <v/>
      </c>
      <c r="H307" s="30" t="str">
        <f aca="false">IF(R307="","",Reconciliation!H308)</f>
        <v/>
      </c>
      <c r="I307" s="30" t="str">
        <f aca="false">IF(R307="","",Reconciliation!I308)</f>
        <v/>
      </c>
      <c r="J307" s="31" t="str">
        <f aca="false">IF(R307="","",Reconciliation!J308)</f>
        <v/>
      </c>
      <c r="K307" s="30" t="str">
        <f aca="false">IF(R307="","",Reconciliation!K308)</f>
        <v/>
      </c>
      <c r="L307" s="30" t="str">
        <f aca="false">IF(R307="","",Reconciliation!L308)</f>
        <v/>
      </c>
      <c r="M307" s="32" t="str">
        <f aca="false">IF(R307="","",Reconciliation!M308)</f>
        <v/>
      </c>
      <c r="N307" s="32" t="str">
        <f aca="false">IF(R307="","",Reconciliation!N308)</f>
        <v/>
      </c>
      <c r="O307" s="32" t="str">
        <f aca="false">IF(R307="","",Reconciliation!O308)</f>
        <v/>
      </c>
      <c r="P307" s="32" t="str">
        <f aca="false">IF(R307="","",Reconciliation!P308)</f>
        <v/>
      </c>
      <c r="Q307" s="32" t="str">
        <f aca="false">IF(R307="","",Reconciliation!Q308)</f>
        <v/>
      </c>
      <c r="R307" s="33" t="str">
        <f aca="false">IF(OR(Reconciliation!R308="✅ MATCH",Reconciliation!R308=""),"",Reconciliation!R308)</f>
        <v/>
      </c>
    </row>
    <row r="308" customFormat="false" ht="15" hidden="false" customHeight="true" outlineLevel="0" collapsed="false">
      <c r="A308" s="29" t="str">
        <f aca="false">IF(R308="","",Reconciliation!A309)</f>
        <v/>
      </c>
      <c r="B308" s="30" t="str">
        <f aca="false">IF(R308="","",Reconciliation!B309)</f>
        <v/>
      </c>
      <c r="C308" s="30" t="str">
        <f aca="false">IF(R308="","",Reconciliation!C309)</f>
        <v/>
      </c>
      <c r="D308" s="30" t="str">
        <f aca="false">IF(R308="","",Reconciliation!D309)</f>
        <v/>
      </c>
      <c r="E308" s="31" t="str">
        <f aca="false">IF(R308="","",Reconciliation!E309)</f>
        <v/>
      </c>
      <c r="F308" s="30" t="str">
        <f aca="false">IF(R308="","",Reconciliation!F309)</f>
        <v/>
      </c>
      <c r="G308" s="30" t="str">
        <f aca="false">IF(R308="","",Reconciliation!G309)</f>
        <v/>
      </c>
      <c r="H308" s="30" t="str">
        <f aca="false">IF(R308="","",Reconciliation!H309)</f>
        <v/>
      </c>
      <c r="I308" s="30" t="str">
        <f aca="false">IF(R308="","",Reconciliation!I309)</f>
        <v/>
      </c>
      <c r="J308" s="31" t="str">
        <f aca="false">IF(R308="","",Reconciliation!J309)</f>
        <v/>
      </c>
      <c r="K308" s="30" t="str">
        <f aca="false">IF(R308="","",Reconciliation!K309)</f>
        <v/>
      </c>
      <c r="L308" s="30" t="str">
        <f aca="false">IF(R308="","",Reconciliation!L309)</f>
        <v/>
      </c>
      <c r="M308" s="32" t="str">
        <f aca="false">IF(R308="","",Reconciliation!M309)</f>
        <v/>
      </c>
      <c r="N308" s="32" t="str">
        <f aca="false">IF(R308="","",Reconciliation!N309)</f>
        <v/>
      </c>
      <c r="O308" s="32" t="str">
        <f aca="false">IF(R308="","",Reconciliation!O309)</f>
        <v/>
      </c>
      <c r="P308" s="32" t="str">
        <f aca="false">IF(R308="","",Reconciliation!P309)</f>
        <v/>
      </c>
      <c r="Q308" s="32" t="str">
        <f aca="false">IF(R308="","",Reconciliation!Q309)</f>
        <v/>
      </c>
      <c r="R308" s="33" t="str">
        <f aca="false">IF(OR(Reconciliation!R309="✅ MATCH",Reconciliation!R309=""),"",Reconciliation!R309)</f>
        <v/>
      </c>
    </row>
    <row r="309" customFormat="false" ht="15" hidden="false" customHeight="true" outlineLevel="0" collapsed="false">
      <c r="A309" s="29" t="str">
        <f aca="false">IF(R309="","",Reconciliation!A310)</f>
        <v/>
      </c>
      <c r="B309" s="30" t="str">
        <f aca="false">IF(R309="","",Reconciliation!B310)</f>
        <v/>
      </c>
      <c r="C309" s="30" t="str">
        <f aca="false">IF(R309="","",Reconciliation!C310)</f>
        <v/>
      </c>
      <c r="D309" s="30" t="str">
        <f aca="false">IF(R309="","",Reconciliation!D310)</f>
        <v/>
      </c>
      <c r="E309" s="31" t="str">
        <f aca="false">IF(R309="","",Reconciliation!E310)</f>
        <v/>
      </c>
      <c r="F309" s="30" t="str">
        <f aca="false">IF(R309="","",Reconciliation!F310)</f>
        <v/>
      </c>
      <c r="G309" s="30" t="str">
        <f aca="false">IF(R309="","",Reconciliation!G310)</f>
        <v/>
      </c>
      <c r="H309" s="30" t="str">
        <f aca="false">IF(R309="","",Reconciliation!H310)</f>
        <v/>
      </c>
      <c r="I309" s="30" t="str">
        <f aca="false">IF(R309="","",Reconciliation!I310)</f>
        <v/>
      </c>
      <c r="J309" s="31" t="str">
        <f aca="false">IF(R309="","",Reconciliation!J310)</f>
        <v/>
      </c>
      <c r="K309" s="30" t="str">
        <f aca="false">IF(R309="","",Reconciliation!K310)</f>
        <v/>
      </c>
      <c r="L309" s="30" t="str">
        <f aca="false">IF(R309="","",Reconciliation!L310)</f>
        <v/>
      </c>
      <c r="M309" s="32" t="str">
        <f aca="false">IF(R309="","",Reconciliation!M310)</f>
        <v/>
      </c>
      <c r="N309" s="32" t="str">
        <f aca="false">IF(R309="","",Reconciliation!N310)</f>
        <v/>
      </c>
      <c r="O309" s="32" t="str">
        <f aca="false">IF(R309="","",Reconciliation!O310)</f>
        <v/>
      </c>
      <c r="P309" s="32" t="str">
        <f aca="false">IF(R309="","",Reconciliation!P310)</f>
        <v/>
      </c>
      <c r="Q309" s="32" t="str">
        <f aca="false">IF(R309="","",Reconciliation!Q310)</f>
        <v/>
      </c>
      <c r="R309" s="33" t="str">
        <f aca="false">IF(OR(Reconciliation!R310="✅ MATCH",Reconciliation!R310=""),"",Reconciliation!R310)</f>
        <v/>
      </c>
    </row>
    <row r="310" customFormat="false" ht="15" hidden="false" customHeight="true" outlineLevel="0" collapsed="false">
      <c r="A310" s="29" t="str">
        <f aca="false">IF(R310="","",Reconciliation!A311)</f>
        <v/>
      </c>
      <c r="B310" s="30" t="str">
        <f aca="false">IF(R310="","",Reconciliation!B311)</f>
        <v/>
      </c>
      <c r="C310" s="30" t="str">
        <f aca="false">IF(R310="","",Reconciliation!C311)</f>
        <v/>
      </c>
      <c r="D310" s="30" t="str">
        <f aca="false">IF(R310="","",Reconciliation!D311)</f>
        <v/>
      </c>
      <c r="E310" s="31" t="str">
        <f aca="false">IF(R310="","",Reconciliation!E311)</f>
        <v/>
      </c>
      <c r="F310" s="30" t="str">
        <f aca="false">IF(R310="","",Reconciliation!F311)</f>
        <v/>
      </c>
      <c r="G310" s="30" t="str">
        <f aca="false">IF(R310="","",Reconciliation!G311)</f>
        <v/>
      </c>
      <c r="H310" s="30" t="str">
        <f aca="false">IF(R310="","",Reconciliation!H311)</f>
        <v/>
      </c>
      <c r="I310" s="30" t="str">
        <f aca="false">IF(R310="","",Reconciliation!I311)</f>
        <v/>
      </c>
      <c r="J310" s="31" t="str">
        <f aca="false">IF(R310="","",Reconciliation!J311)</f>
        <v/>
      </c>
      <c r="K310" s="30" t="str">
        <f aca="false">IF(R310="","",Reconciliation!K311)</f>
        <v/>
      </c>
      <c r="L310" s="30" t="str">
        <f aca="false">IF(R310="","",Reconciliation!L311)</f>
        <v/>
      </c>
      <c r="M310" s="32" t="str">
        <f aca="false">IF(R310="","",Reconciliation!M311)</f>
        <v/>
      </c>
      <c r="N310" s="32" t="str">
        <f aca="false">IF(R310="","",Reconciliation!N311)</f>
        <v/>
      </c>
      <c r="O310" s="32" t="str">
        <f aca="false">IF(R310="","",Reconciliation!O311)</f>
        <v/>
      </c>
      <c r="P310" s="32" t="str">
        <f aca="false">IF(R310="","",Reconciliation!P311)</f>
        <v/>
      </c>
      <c r="Q310" s="32" t="str">
        <f aca="false">IF(R310="","",Reconciliation!Q311)</f>
        <v/>
      </c>
      <c r="R310" s="33" t="str">
        <f aca="false">IF(OR(Reconciliation!R311="✅ MATCH",Reconciliation!R311=""),"",Reconciliation!R311)</f>
        <v/>
      </c>
    </row>
    <row r="311" customFormat="false" ht="15" hidden="false" customHeight="true" outlineLevel="0" collapsed="false">
      <c r="A311" s="29" t="str">
        <f aca="false">IF(R311="","",Reconciliation!A312)</f>
        <v/>
      </c>
      <c r="B311" s="30" t="str">
        <f aca="false">IF(R311="","",Reconciliation!B312)</f>
        <v/>
      </c>
      <c r="C311" s="30" t="str">
        <f aca="false">IF(R311="","",Reconciliation!C312)</f>
        <v/>
      </c>
      <c r="D311" s="30" t="str">
        <f aca="false">IF(R311="","",Reconciliation!D312)</f>
        <v/>
      </c>
      <c r="E311" s="31" t="str">
        <f aca="false">IF(R311="","",Reconciliation!E312)</f>
        <v/>
      </c>
      <c r="F311" s="30" t="str">
        <f aca="false">IF(R311="","",Reconciliation!F312)</f>
        <v/>
      </c>
      <c r="G311" s="30" t="str">
        <f aca="false">IF(R311="","",Reconciliation!G312)</f>
        <v/>
      </c>
      <c r="H311" s="30" t="str">
        <f aca="false">IF(R311="","",Reconciliation!H312)</f>
        <v/>
      </c>
      <c r="I311" s="30" t="str">
        <f aca="false">IF(R311="","",Reconciliation!I312)</f>
        <v/>
      </c>
      <c r="J311" s="31" t="str">
        <f aca="false">IF(R311="","",Reconciliation!J312)</f>
        <v/>
      </c>
      <c r="K311" s="30" t="str">
        <f aca="false">IF(R311="","",Reconciliation!K312)</f>
        <v/>
      </c>
      <c r="L311" s="30" t="str">
        <f aca="false">IF(R311="","",Reconciliation!L312)</f>
        <v/>
      </c>
      <c r="M311" s="32" t="str">
        <f aca="false">IF(R311="","",Reconciliation!M312)</f>
        <v/>
      </c>
      <c r="N311" s="32" t="str">
        <f aca="false">IF(R311="","",Reconciliation!N312)</f>
        <v/>
      </c>
      <c r="O311" s="32" t="str">
        <f aca="false">IF(R311="","",Reconciliation!O312)</f>
        <v/>
      </c>
      <c r="P311" s="32" t="str">
        <f aca="false">IF(R311="","",Reconciliation!P312)</f>
        <v/>
      </c>
      <c r="Q311" s="32" t="str">
        <f aca="false">IF(R311="","",Reconciliation!Q312)</f>
        <v/>
      </c>
      <c r="R311" s="33" t="str">
        <f aca="false">IF(OR(Reconciliation!R312="✅ MATCH",Reconciliation!R312=""),"",Reconciliation!R312)</f>
        <v/>
      </c>
    </row>
    <row r="312" customFormat="false" ht="15" hidden="false" customHeight="true" outlineLevel="0" collapsed="false">
      <c r="A312" s="29" t="str">
        <f aca="false">IF(R312="","",Reconciliation!A313)</f>
        <v/>
      </c>
      <c r="B312" s="30" t="str">
        <f aca="false">IF(R312="","",Reconciliation!B313)</f>
        <v/>
      </c>
      <c r="C312" s="30" t="str">
        <f aca="false">IF(R312="","",Reconciliation!C313)</f>
        <v/>
      </c>
      <c r="D312" s="30" t="str">
        <f aca="false">IF(R312="","",Reconciliation!D313)</f>
        <v/>
      </c>
      <c r="E312" s="31" t="str">
        <f aca="false">IF(R312="","",Reconciliation!E313)</f>
        <v/>
      </c>
      <c r="F312" s="30" t="str">
        <f aca="false">IF(R312="","",Reconciliation!F313)</f>
        <v/>
      </c>
      <c r="G312" s="30" t="str">
        <f aca="false">IF(R312="","",Reconciliation!G313)</f>
        <v/>
      </c>
      <c r="H312" s="30" t="str">
        <f aca="false">IF(R312="","",Reconciliation!H313)</f>
        <v/>
      </c>
      <c r="I312" s="30" t="str">
        <f aca="false">IF(R312="","",Reconciliation!I313)</f>
        <v/>
      </c>
      <c r="J312" s="31" t="str">
        <f aca="false">IF(R312="","",Reconciliation!J313)</f>
        <v/>
      </c>
      <c r="K312" s="30" t="str">
        <f aca="false">IF(R312="","",Reconciliation!K313)</f>
        <v/>
      </c>
      <c r="L312" s="30" t="str">
        <f aca="false">IF(R312="","",Reconciliation!L313)</f>
        <v/>
      </c>
      <c r="M312" s="32" t="str">
        <f aca="false">IF(R312="","",Reconciliation!M313)</f>
        <v/>
      </c>
      <c r="N312" s="32" t="str">
        <f aca="false">IF(R312="","",Reconciliation!N313)</f>
        <v/>
      </c>
      <c r="O312" s="32" t="str">
        <f aca="false">IF(R312="","",Reconciliation!O313)</f>
        <v/>
      </c>
      <c r="P312" s="32" t="str">
        <f aca="false">IF(R312="","",Reconciliation!P313)</f>
        <v/>
      </c>
      <c r="Q312" s="32" t="str">
        <f aca="false">IF(R312="","",Reconciliation!Q313)</f>
        <v/>
      </c>
      <c r="R312" s="33" t="str">
        <f aca="false">IF(OR(Reconciliation!R313="✅ MATCH",Reconciliation!R313=""),"",Reconciliation!R313)</f>
        <v/>
      </c>
    </row>
    <row r="313" customFormat="false" ht="15" hidden="false" customHeight="true" outlineLevel="0" collapsed="false">
      <c r="A313" s="29" t="str">
        <f aca="false">IF(R313="","",Reconciliation!A314)</f>
        <v/>
      </c>
      <c r="B313" s="30" t="str">
        <f aca="false">IF(R313="","",Reconciliation!B314)</f>
        <v/>
      </c>
      <c r="C313" s="30" t="str">
        <f aca="false">IF(R313="","",Reconciliation!C314)</f>
        <v/>
      </c>
      <c r="D313" s="30" t="str">
        <f aca="false">IF(R313="","",Reconciliation!D314)</f>
        <v/>
      </c>
      <c r="E313" s="31" t="str">
        <f aca="false">IF(R313="","",Reconciliation!E314)</f>
        <v/>
      </c>
      <c r="F313" s="30" t="str">
        <f aca="false">IF(R313="","",Reconciliation!F314)</f>
        <v/>
      </c>
      <c r="G313" s="30" t="str">
        <f aca="false">IF(R313="","",Reconciliation!G314)</f>
        <v/>
      </c>
      <c r="H313" s="30" t="str">
        <f aca="false">IF(R313="","",Reconciliation!H314)</f>
        <v/>
      </c>
      <c r="I313" s="30" t="str">
        <f aca="false">IF(R313="","",Reconciliation!I314)</f>
        <v/>
      </c>
      <c r="J313" s="31" t="str">
        <f aca="false">IF(R313="","",Reconciliation!J314)</f>
        <v/>
      </c>
      <c r="K313" s="30" t="str">
        <f aca="false">IF(R313="","",Reconciliation!K314)</f>
        <v/>
      </c>
      <c r="L313" s="30" t="str">
        <f aca="false">IF(R313="","",Reconciliation!L314)</f>
        <v/>
      </c>
      <c r="M313" s="32" t="str">
        <f aca="false">IF(R313="","",Reconciliation!M314)</f>
        <v/>
      </c>
      <c r="N313" s="32" t="str">
        <f aca="false">IF(R313="","",Reconciliation!N314)</f>
        <v/>
      </c>
      <c r="O313" s="32" t="str">
        <f aca="false">IF(R313="","",Reconciliation!O314)</f>
        <v/>
      </c>
      <c r="P313" s="32" t="str">
        <f aca="false">IF(R313="","",Reconciliation!P314)</f>
        <v/>
      </c>
      <c r="Q313" s="32" t="str">
        <f aca="false">IF(R313="","",Reconciliation!Q314)</f>
        <v/>
      </c>
      <c r="R313" s="33" t="str">
        <f aca="false">IF(OR(Reconciliation!R314="✅ MATCH",Reconciliation!R314=""),"",Reconciliation!R314)</f>
        <v/>
      </c>
    </row>
    <row r="314" customFormat="false" ht="15" hidden="false" customHeight="true" outlineLevel="0" collapsed="false">
      <c r="A314" s="29" t="str">
        <f aca="false">IF(R314="","",Reconciliation!A315)</f>
        <v/>
      </c>
      <c r="B314" s="30" t="str">
        <f aca="false">IF(R314="","",Reconciliation!B315)</f>
        <v/>
      </c>
      <c r="C314" s="30" t="str">
        <f aca="false">IF(R314="","",Reconciliation!C315)</f>
        <v/>
      </c>
      <c r="D314" s="30" t="str">
        <f aca="false">IF(R314="","",Reconciliation!D315)</f>
        <v/>
      </c>
      <c r="E314" s="31" t="str">
        <f aca="false">IF(R314="","",Reconciliation!E315)</f>
        <v/>
      </c>
      <c r="F314" s="30" t="str">
        <f aca="false">IF(R314="","",Reconciliation!F315)</f>
        <v/>
      </c>
      <c r="G314" s="30" t="str">
        <f aca="false">IF(R314="","",Reconciliation!G315)</f>
        <v/>
      </c>
      <c r="H314" s="30" t="str">
        <f aca="false">IF(R314="","",Reconciliation!H315)</f>
        <v/>
      </c>
      <c r="I314" s="30" t="str">
        <f aca="false">IF(R314="","",Reconciliation!I315)</f>
        <v/>
      </c>
      <c r="J314" s="31" t="str">
        <f aca="false">IF(R314="","",Reconciliation!J315)</f>
        <v/>
      </c>
      <c r="K314" s="30" t="str">
        <f aca="false">IF(R314="","",Reconciliation!K315)</f>
        <v/>
      </c>
      <c r="L314" s="30" t="str">
        <f aca="false">IF(R314="","",Reconciliation!L315)</f>
        <v/>
      </c>
      <c r="M314" s="32" t="str">
        <f aca="false">IF(R314="","",Reconciliation!M315)</f>
        <v/>
      </c>
      <c r="N314" s="32" t="str">
        <f aca="false">IF(R314="","",Reconciliation!N315)</f>
        <v/>
      </c>
      <c r="O314" s="32" t="str">
        <f aca="false">IF(R314="","",Reconciliation!O315)</f>
        <v/>
      </c>
      <c r="P314" s="32" t="str">
        <f aca="false">IF(R314="","",Reconciliation!P315)</f>
        <v/>
      </c>
      <c r="Q314" s="32" t="str">
        <f aca="false">IF(R314="","",Reconciliation!Q315)</f>
        <v/>
      </c>
      <c r="R314" s="33" t="str">
        <f aca="false">IF(OR(Reconciliation!R315="✅ MATCH",Reconciliation!R315=""),"",Reconciliation!R315)</f>
        <v/>
      </c>
    </row>
    <row r="315" customFormat="false" ht="15" hidden="false" customHeight="true" outlineLevel="0" collapsed="false">
      <c r="A315" s="29" t="str">
        <f aca="false">IF(R315="","",Reconciliation!A316)</f>
        <v/>
      </c>
      <c r="B315" s="30" t="str">
        <f aca="false">IF(R315="","",Reconciliation!B316)</f>
        <v/>
      </c>
      <c r="C315" s="30" t="str">
        <f aca="false">IF(R315="","",Reconciliation!C316)</f>
        <v/>
      </c>
      <c r="D315" s="30" t="str">
        <f aca="false">IF(R315="","",Reconciliation!D316)</f>
        <v/>
      </c>
      <c r="E315" s="31" t="str">
        <f aca="false">IF(R315="","",Reconciliation!E316)</f>
        <v/>
      </c>
      <c r="F315" s="30" t="str">
        <f aca="false">IF(R315="","",Reconciliation!F316)</f>
        <v/>
      </c>
      <c r="G315" s="30" t="str">
        <f aca="false">IF(R315="","",Reconciliation!G316)</f>
        <v/>
      </c>
      <c r="H315" s="30" t="str">
        <f aca="false">IF(R315="","",Reconciliation!H316)</f>
        <v/>
      </c>
      <c r="I315" s="30" t="str">
        <f aca="false">IF(R315="","",Reconciliation!I316)</f>
        <v/>
      </c>
      <c r="J315" s="31" t="str">
        <f aca="false">IF(R315="","",Reconciliation!J316)</f>
        <v/>
      </c>
      <c r="K315" s="30" t="str">
        <f aca="false">IF(R315="","",Reconciliation!K316)</f>
        <v/>
      </c>
      <c r="L315" s="30" t="str">
        <f aca="false">IF(R315="","",Reconciliation!L316)</f>
        <v/>
      </c>
      <c r="M315" s="32" t="str">
        <f aca="false">IF(R315="","",Reconciliation!M316)</f>
        <v/>
      </c>
      <c r="N315" s="32" t="str">
        <f aca="false">IF(R315="","",Reconciliation!N316)</f>
        <v/>
      </c>
      <c r="O315" s="32" t="str">
        <f aca="false">IF(R315="","",Reconciliation!O316)</f>
        <v/>
      </c>
      <c r="P315" s="32" t="str">
        <f aca="false">IF(R315="","",Reconciliation!P316)</f>
        <v/>
      </c>
      <c r="Q315" s="32" t="str">
        <f aca="false">IF(R315="","",Reconciliation!Q316)</f>
        <v/>
      </c>
      <c r="R315" s="33" t="str">
        <f aca="false">IF(OR(Reconciliation!R316="✅ MATCH",Reconciliation!R316=""),"",Reconciliation!R316)</f>
        <v/>
      </c>
    </row>
    <row r="316" customFormat="false" ht="15" hidden="false" customHeight="true" outlineLevel="0" collapsed="false">
      <c r="A316" s="29" t="str">
        <f aca="false">IF(R316="","",Reconciliation!A317)</f>
        <v/>
      </c>
      <c r="B316" s="30" t="str">
        <f aca="false">IF(R316="","",Reconciliation!B317)</f>
        <v/>
      </c>
      <c r="C316" s="30" t="str">
        <f aca="false">IF(R316="","",Reconciliation!C317)</f>
        <v/>
      </c>
      <c r="D316" s="30" t="str">
        <f aca="false">IF(R316="","",Reconciliation!D317)</f>
        <v/>
      </c>
      <c r="E316" s="31" t="str">
        <f aca="false">IF(R316="","",Reconciliation!E317)</f>
        <v/>
      </c>
      <c r="F316" s="30" t="str">
        <f aca="false">IF(R316="","",Reconciliation!F317)</f>
        <v/>
      </c>
      <c r="G316" s="30" t="str">
        <f aca="false">IF(R316="","",Reconciliation!G317)</f>
        <v/>
      </c>
      <c r="H316" s="30" t="str">
        <f aca="false">IF(R316="","",Reconciliation!H317)</f>
        <v/>
      </c>
      <c r="I316" s="30" t="str">
        <f aca="false">IF(R316="","",Reconciliation!I317)</f>
        <v/>
      </c>
      <c r="J316" s="31" t="str">
        <f aca="false">IF(R316="","",Reconciliation!J317)</f>
        <v/>
      </c>
      <c r="K316" s="30" t="str">
        <f aca="false">IF(R316="","",Reconciliation!K317)</f>
        <v/>
      </c>
      <c r="L316" s="30" t="str">
        <f aca="false">IF(R316="","",Reconciliation!L317)</f>
        <v/>
      </c>
      <c r="M316" s="32" t="str">
        <f aca="false">IF(R316="","",Reconciliation!M317)</f>
        <v/>
      </c>
      <c r="N316" s="32" t="str">
        <f aca="false">IF(R316="","",Reconciliation!N317)</f>
        <v/>
      </c>
      <c r="O316" s="32" t="str">
        <f aca="false">IF(R316="","",Reconciliation!O317)</f>
        <v/>
      </c>
      <c r="P316" s="32" t="str">
        <f aca="false">IF(R316="","",Reconciliation!P317)</f>
        <v/>
      </c>
      <c r="Q316" s="32" t="str">
        <f aca="false">IF(R316="","",Reconciliation!Q317)</f>
        <v/>
      </c>
      <c r="R316" s="33" t="str">
        <f aca="false">IF(OR(Reconciliation!R317="✅ MATCH",Reconciliation!R317=""),"",Reconciliation!R317)</f>
        <v/>
      </c>
    </row>
    <row r="317" customFormat="false" ht="15" hidden="false" customHeight="true" outlineLevel="0" collapsed="false">
      <c r="A317" s="29" t="str">
        <f aca="false">IF(R317="","",Reconciliation!A318)</f>
        <v/>
      </c>
      <c r="B317" s="30" t="str">
        <f aca="false">IF(R317="","",Reconciliation!B318)</f>
        <v/>
      </c>
      <c r="C317" s="30" t="str">
        <f aca="false">IF(R317="","",Reconciliation!C318)</f>
        <v/>
      </c>
      <c r="D317" s="30" t="str">
        <f aca="false">IF(R317="","",Reconciliation!D318)</f>
        <v/>
      </c>
      <c r="E317" s="31" t="str">
        <f aca="false">IF(R317="","",Reconciliation!E318)</f>
        <v/>
      </c>
      <c r="F317" s="30" t="str">
        <f aca="false">IF(R317="","",Reconciliation!F318)</f>
        <v/>
      </c>
      <c r="G317" s="30" t="str">
        <f aca="false">IF(R317="","",Reconciliation!G318)</f>
        <v/>
      </c>
      <c r="H317" s="30" t="str">
        <f aca="false">IF(R317="","",Reconciliation!H318)</f>
        <v/>
      </c>
      <c r="I317" s="30" t="str">
        <f aca="false">IF(R317="","",Reconciliation!I318)</f>
        <v/>
      </c>
      <c r="J317" s="31" t="str">
        <f aca="false">IF(R317="","",Reconciliation!J318)</f>
        <v/>
      </c>
      <c r="K317" s="30" t="str">
        <f aca="false">IF(R317="","",Reconciliation!K318)</f>
        <v/>
      </c>
      <c r="L317" s="30" t="str">
        <f aca="false">IF(R317="","",Reconciliation!L318)</f>
        <v/>
      </c>
      <c r="M317" s="32" t="str">
        <f aca="false">IF(R317="","",Reconciliation!M318)</f>
        <v/>
      </c>
      <c r="N317" s="32" t="str">
        <f aca="false">IF(R317="","",Reconciliation!N318)</f>
        <v/>
      </c>
      <c r="O317" s="32" t="str">
        <f aca="false">IF(R317="","",Reconciliation!O318)</f>
        <v/>
      </c>
      <c r="P317" s="32" t="str">
        <f aca="false">IF(R317="","",Reconciliation!P318)</f>
        <v/>
      </c>
      <c r="Q317" s="32" t="str">
        <f aca="false">IF(R317="","",Reconciliation!Q318)</f>
        <v/>
      </c>
      <c r="R317" s="33" t="str">
        <f aca="false">IF(OR(Reconciliation!R318="✅ MATCH",Reconciliation!R318=""),"",Reconciliation!R318)</f>
        <v/>
      </c>
    </row>
    <row r="318" customFormat="false" ht="15" hidden="false" customHeight="true" outlineLevel="0" collapsed="false">
      <c r="A318" s="29" t="str">
        <f aca="false">IF(R318="","",Reconciliation!A319)</f>
        <v/>
      </c>
      <c r="B318" s="30" t="str">
        <f aca="false">IF(R318="","",Reconciliation!B319)</f>
        <v/>
      </c>
      <c r="C318" s="30" t="str">
        <f aca="false">IF(R318="","",Reconciliation!C319)</f>
        <v/>
      </c>
      <c r="D318" s="30" t="str">
        <f aca="false">IF(R318="","",Reconciliation!D319)</f>
        <v/>
      </c>
      <c r="E318" s="31" t="str">
        <f aca="false">IF(R318="","",Reconciliation!E319)</f>
        <v/>
      </c>
      <c r="F318" s="30" t="str">
        <f aca="false">IF(R318="","",Reconciliation!F319)</f>
        <v/>
      </c>
      <c r="G318" s="30" t="str">
        <f aca="false">IF(R318="","",Reconciliation!G319)</f>
        <v/>
      </c>
      <c r="H318" s="30" t="str">
        <f aca="false">IF(R318="","",Reconciliation!H319)</f>
        <v/>
      </c>
      <c r="I318" s="30" t="str">
        <f aca="false">IF(R318="","",Reconciliation!I319)</f>
        <v/>
      </c>
      <c r="J318" s="31" t="str">
        <f aca="false">IF(R318="","",Reconciliation!J319)</f>
        <v/>
      </c>
      <c r="K318" s="30" t="str">
        <f aca="false">IF(R318="","",Reconciliation!K319)</f>
        <v/>
      </c>
      <c r="L318" s="30" t="str">
        <f aca="false">IF(R318="","",Reconciliation!L319)</f>
        <v/>
      </c>
      <c r="M318" s="32" t="str">
        <f aca="false">IF(R318="","",Reconciliation!M319)</f>
        <v/>
      </c>
      <c r="N318" s="32" t="str">
        <f aca="false">IF(R318="","",Reconciliation!N319)</f>
        <v/>
      </c>
      <c r="O318" s="32" t="str">
        <f aca="false">IF(R318="","",Reconciliation!O319)</f>
        <v/>
      </c>
      <c r="P318" s="32" t="str">
        <f aca="false">IF(R318="","",Reconciliation!P319)</f>
        <v/>
      </c>
      <c r="Q318" s="32" t="str">
        <f aca="false">IF(R318="","",Reconciliation!Q319)</f>
        <v/>
      </c>
      <c r="R318" s="33" t="str">
        <f aca="false">IF(OR(Reconciliation!R319="✅ MATCH",Reconciliation!R319=""),"",Reconciliation!R319)</f>
        <v/>
      </c>
    </row>
    <row r="319" customFormat="false" ht="15" hidden="false" customHeight="true" outlineLevel="0" collapsed="false">
      <c r="A319" s="29" t="str">
        <f aca="false">IF(R319="","",Reconciliation!A320)</f>
        <v/>
      </c>
      <c r="B319" s="30" t="str">
        <f aca="false">IF(R319="","",Reconciliation!B320)</f>
        <v/>
      </c>
      <c r="C319" s="30" t="str">
        <f aca="false">IF(R319="","",Reconciliation!C320)</f>
        <v/>
      </c>
      <c r="D319" s="30" t="str">
        <f aca="false">IF(R319="","",Reconciliation!D320)</f>
        <v/>
      </c>
      <c r="E319" s="31" t="str">
        <f aca="false">IF(R319="","",Reconciliation!E320)</f>
        <v/>
      </c>
      <c r="F319" s="30" t="str">
        <f aca="false">IF(R319="","",Reconciliation!F320)</f>
        <v/>
      </c>
      <c r="G319" s="30" t="str">
        <f aca="false">IF(R319="","",Reconciliation!G320)</f>
        <v/>
      </c>
      <c r="H319" s="30" t="str">
        <f aca="false">IF(R319="","",Reconciliation!H320)</f>
        <v/>
      </c>
      <c r="I319" s="30" t="str">
        <f aca="false">IF(R319="","",Reconciliation!I320)</f>
        <v/>
      </c>
      <c r="J319" s="31" t="str">
        <f aca="false">IF(R319="","",Reconciliation!J320)</f>
        <v/>
      </c>
      <c r="K319" s="30" t="str">
        <f aca="false">IF(R319="","",Reconciliation!K320)</f>
        <v/>
      </c>
      <c r="L319" s="30" t="str">
        <f aca="false">IF(R319="","",Reconciliation!L320)</f>
        <v/>
      </c>
      <c r="M319" s="32" t="str">
        <f aca="false">IF(R319="","",Reconciliation!M320)</f>
        <v/>
      </c>
      <c r="N319" s="32" t="str">
        <f aca="false">IF(R319="","",Reconciliation!N320)</f>
        <v/>
      </c>
      <c r="O319" s="32" t="str">
        <f aca="false">IF(R319="","",Reconciliation!O320)</f>
        <v/>
      </c>
      <c r="P319" s="32" t="str">
        <f aca="false">IF(R319="","",Reconciliation!P320)</f>
        <v/>
      </c>
      <c r="Q319" s="32" t="str">
        <f aca="false">IF(R319="","",Reconciliation!Q320)</f>
        <v/>
      </c>
      <c r="R319" s="33" t="str">
        <f aca="false">IF(OR(Reconciliation!R320="✅ MATCH",Reconciliation!R320=""),"",Reconciliation!R320)</f>
        <v/>
      </c>
    </row>
    <row r="320" customFormat="false" ht="15" hidden="false" customHeight="true" outlineLevel="0" collapsed="false">
      <c r="A320" s="29" t="str">
        <f aca="false">IF(R320="","",Reconciliation!A321)</f>
        <v/>
      </c>
      <c r="B320" s="30" t="str">
        <f aca="false">IF(R320="","",Reconciliation!B321)</f>
        <v/>
      </c>
      <c r="C320" s="30" t="str">
        <f aca="false">IF(R320="","",Reconciliation!C321)</f>
        <v/>
      </c>
      <c r="D320" s="30" t="str">
        <f aca="false">IF(R320="","",Reconciliation!D321)</f>
        <v/>
      </c>
      <c r="E320" s="31" t="str">
        <f aca="false">IF(R320="","",Reconciliation!E321)</f>
        <v/>
      </c>
      <c r="F320" s="30" t="str">
        <f aca="false">IF(R320="","",Reconciliation!F321)</f>
        <v/>
      </c>
      <c r="G320" s="30" t="str">
        <f aca="false">IF(R320="","",Reconciliation!G321)</f>
        <v/>
      </c>
      <c r="H320" s="30" t="str">
        <f aca="false">IF(R320="","",Reconciliation!H321)</f>
        <v/>
      </c>
      <c r="I320" s="30" t="str">
        <f aca="false">IF(R320="","",Reconciliation!I321)</f>
        <v/>
      </c>
      <c r="J320" s="31" t="str">
        <f aca="false">IF(R320="","",Reconciliation!J321)</f>
        <v/>
      </c>
      <c r="K320" s="30" t="str">
        <f aca="false">IF(R320="","",Reconciliation!K321)</f>
        <v/>
      </c>
      <c r="L320" s="30" t="str">
        <f aca="false">IF(R320="","",Reconciliation!L321)</f>
        <v/>
      </c>
      <c r="M320" s="32" t="str">
        <f aca="false">IF(R320="","",Reconciliation!M321)</f>
        <v/>
      </c>
      <c r="N320" s="32" t="str">
        <f aca="false">IF(R320="","",Reconciliation!N321)</f>
        <v/>
      </c>
      <c r="O320" s="32" t="str">
        <f aca="false">IF(R320="","",Reconciliation!O321)</f>
        <v/>
      </c>
      <c r="P320" s="32" t="str">
        <f aca="false">IF(R320="","",Reconciliation!P321)</f>
        <v/>
      </c>
      <c r="Q320" s="32" t="str">
        <f aca="false">IF(R320="","",Reconciliation!Q321)</f>
        <v/>
      </c>
      <c r="R320" s="33" t="str">
        <f aca="false">IF(OR(Reconciliation!R321="✅ MATCH",Reconciliation!R321=""),"",Reconciliation!R321)</f>
        <v/>
      </c>
    </row>
    <row r="321" customFormat="false" ht="15" hidden="false" customHeight="true" outlineLevel="0" collapsed="false">
      <c r="A321" s="29" t="str">
        <f aca="false">IF(R321="","",Reconciliation!A322)</f>
        <v/>
      </c>
      <c r="B321" s="30" t="str">
        <f aca="false">IF(R321="","",Reconciliation!B322)</f>
        <v/>
      </c>
      <c r="C321" s="30" t="str">
        <f aca="false">IF(R321="","",Reconciliation!C322)</f>
        <v/>
      </c>
      <c r="D321" s="30" t="str">
        <f aca="false">IF(R321="","",Reconciliation!D322)</f>
        <v/>
      </c>
      <c r="E321" s="31" t="str">
        <f aca="false">IF(R321="","",Reconciliation!E322)</f>
        <v/>
      </c>
      <c r="F321" s="30" t="str">
        <f aca="false">IF(R321="","",Reconciliation!F322)</f>
        <v/>
      </c>
      <c r="G321" s="30" t="str">
        <f aca="false">IF(R321="","",Reconciliation!G322)</f>
        <v/>
      </c>
      <c r="H321" s="30" t="str">
        <f aca="false">IF(R321="","",Reconciliation!H322)</f>
        <v/>
      </c>
      <c r="I321" s="30" t="str">
        <f aca="false">IF(R321="","",Reconciliation!I322)</f>
        <v/>
      </c>
      <c r="J321" s="31" t="str">
        <f aca="false">IF(R321="","",Reconciliation!J322)</f>
        <v/>
      </c>
      <c r="K321" s="30" t="str">
        <f aca="false">IF(R321="","",Reconciliation!K322)</f>
        <v/>
      </c>
      <c r="L321" s="30" t="str">
        <f aca="false">IF(R321="","",Reconciliation!L322)</f>
        <v/>
      </c>
      <c r="M321" s="32" t="str">
        <f aca="false">IF(R321="","",Reconciliation!M322)</f>
        <v/>
      </c>
      <c r="N321" s="32" t="str">
        <f aca="false">IF(R321="","",Reconciliation!N322)</f>
        <v/>
      </c>
      <c r="O321" s="32" t="str">
        <f aca="false">IF(R321="","",Reconciliation!O322)</f>
        <v/>
      </c>
      <c r="P321" s="32" t="str">
        <f aca="false">IF(R321="","",Reconciliation!P322)</f>
        <v/>
      </c>
      <c r="Q321" s="32" t="str">
        <f aca="false">IF(R321="","",Reconciliation!Q322)</f>
        <v/>
      </c>
      <c r="R321" s="33" t="str">
        <f aca="false">IF(OR(Reconciliation!R322="✅ MATCH",Reconciliation!R322=""),"",Reconciliation!R322)</f>
        <v/>
      </c>
    </row>
    <row r="322" customFormat="false" ht="15" hidden="false" customHeight="true" outlineLevel="0" collapsed="false">
      <c r="A322" s="29" t="str">
        <f aca="false">IF(R322="","",Reconciliation!A323)</f>
        <v/>
      </c>
      <c r="B322" s="30" t="str">
        <f aca="false">IF(R322="","",Reconciliation!B323)</f>
        <v/>
      </c>
      <c r="C322" s="30" t="str">
        <f aca="false">IF(R322="","",Reconciliation!C323)</f>
        <v/>
      </c>
      <c r="D322" s="30" t="str">
        <f aca="false">IF(R322="","",Reconciliation!D323)</f>
        <v/>
      </c>
      <c r="E322" s="31" t="str">
        <f aca="false">IF(R322="","",Reconciliation!E323)</f>
        <v/>
      </c>
      <c r="F322" s="30" t="str">
        <f aca="false">IF(R322="","",Reconciliation!F323)</f>
        <v/>
      </c>
      <c r="G322" s="30" t="str">
        <f aca="false">IF(R322="","",Reconciliation!G323)</f>
        <v/>
      </c>
      <c r="H322" s="30" t="str">
        <f aca="false">IF(R322="","",Reconciliation!H323)</f>
        <v/>
      </c>
      <c r="I322" s="30" t="str">
        <f aca="false">IF(R322="","",Reconciliation!I323)</f>
        <v/>
      </c>
      <c r="J322" s="31" t="str">
        <f aca="false">IF(R322="","",Reconciliation!J323)</f>
        <v/>
      </c>
      <c r="K322" s="30" t="str">
        <f aca="false">IF(R322="","",Reconciliation!K323)</f>
        <v/>
      </c>
      <c r="L322" s="30" t="str">
        <f aca="false">IF(R322="","",Reconciliation!L323)</f>
        <v/>
      </c>
      <c r="M322" s="32" t="str">
        <f aca="false">IF(R322="","",Reconciliation!M323)</f>
        <v/>
      </c>
      <c r="N322" s="32" t="str">
        <f aca="false">IF(R322="","",Reconciliation!N323)</f>
        <v/>
      </c>
      <c r="O322" s="32" t="str">
        <f aca="false">IF(R322="","",Reconciliation!O323)</f>
        <v/>
      </c>
      <c r="P322" s="32" t="str">
        <f aca="false">IF(R322="","",Reconciliation!P323)</f>
        <v/>
      </c>
      <c r="Q322" s="32" t="str">
        <f aca="false">IF(R322="","",Reconciliation!Q323)</f>
        <v/>
      </c>
      <c r="R322" s="33" t="str">
        <f aca="false">IF(OR(Reconciliation!R323="✅ MATCH",Reconciliation!R323=""),"",Reconciliation!R323)</f>
        <v/>
      </c>
    </row>
    <row r="323" customFormat="false" ht="15" hidden="false" customHeight="true" outlineLevel="0" collapsed="false">
      <c r="A323" s="29" t="str">
        <f aca="false">IF(R323="","",Reconciliation!A324)</f>
        <v/>
      </c>
      <c r="B323" s="30" t="str">
        <f aca="false">IF(R323="","",Reconciliation!B324)</f>
        <v/>
      </c>
      <c r="C323" s="30" t="str">
        <f aca="false">IF(R323="","",Reconciliation!C324)</f>
        <v/>
      </c>
      <c r="D323" s="30" t="str">
        <f aca="false">IF(R323="","",Reconciliation!D324)</f>
        <v/>
      </c>
      <c r="E323" s="31" t="str">
        <f aca="false">IF(R323="","",Reconciliation!E324)</f>
        <v/>
      </c>
      <c r="F323" s="30" t="str">
        <f aca="false">IF(R323="","",Reconciliation!F324)</f>
        <v/>
      </c>
      <c r="G323" s="30" t="str">
        <f aca="false">IF(R323="","",Reconciliation!G324)</f>
        <v/>
      </c>
      <c r="H323" s="30" t="str">
        <f aca="false">IF(R323="","",Reconciliation!H324)</f>
        <v/>
      </c>
      <c r="I323" s="30" t="str">
        <f aca="false">IF(R323="","",Reconciliation!I324)</f>
        <v/>
      </c>
      <c r="J323" s="31" t="str">
        <f aca="false">IF(R323="","",Reconciliation!J324)</f>
        <v/>
      </c>
      <c r="K323" s="30" t="str">
        <f aca="false">IF(R323="","",Reconciliation!K324)</f>
        <v/>
      </c>
      <c r="L323" s="30" t="str">
        <f aca="false">IF(R323="","",Reconciliation!L324)</f>
        <v/>
      </c>
      <c r="M323" s="32" t="str">
        <f aca="false">IF(R323="","",Reconciliation!M324)</f>
        <v/>
      </c>
      <c r="N323" s="32" t="str">
        <f aca="false">IF(R323="","",Reconciliation!N324)</f>
        <v/>
      </c>
      <c r="O323" s="32" t="str">
        <f aca="false">IF(R323="","",Reconciliation!O324)</f>
        <v/>
      </c>
      <c r="P323" s="32" t="str">
        <f aca="false">IF(R323="","",Reconciliation!P324)</f>
        <v/>
      </c>
      <c r="Q323" s="32" t="str">
        <f aca="false">IF(R323="","",Reconciliation!Q324)</f>
        <v/>
      </c>
      <c r="R323" s="33" t="str">
        <f aca="false">IF(OR(Reconciliation!R324="✅ MATCH",Reconciliation!R324=""),"",Reconciliation!R324)</f>
        <v/>
      </c>
    </row>
    <row r="324" customFormat="false" ht="15" hidden="false" customHeight="true" outlineLevel="0" collapsed="false">
      <c r="A324" s="29" t="str">
        <f aca="false">IF(R324="","",Reconciliation!A325)</f>
        <v/>
      </c>
      <c r="B324" s="30" t="str">
        <f aca="false">IF(R324="","",Reconciliation!B325)</f>
        <v/>
      </c>
      <c r="C324" s="30" t="str">
        <f aca="false">IF(R324="","",Reconciliation!C325)</f>
        <v/>
      </c>
      <c r="D324" s="30" t="str">
        <f aca="false">IF(R324="","",Reconciliation!D325)</f>
        <v/>
      </c>
      <c r="E324" s="31" t="str">
        <f aca="false">IF(R324="","",Reconciliation!E325)</f>
        <v/>
      </c>
      <c r="F324" s="30" t="str">
        <f aca="false">IF(R324="","",Reconciliation!F325)</f>
        <v/>
      </c>
      <c r="G324" s="30" t="str">
        <f aca="false">IF(R324="","",Reconciliation!G325)</f>
        <v/>
      </c>
      <c r="H324" s="30" t="str">
        <f aca="false">IF(R324="","",Reconciliation!H325)</f>
        <v/>
      </c>
      <c r="I324" s="30" t="str">
        <f aca="false">IF(R324="","",Reconciliation!I325)</f>
        <v/>
      </c>
      <c r="J324" s="31" t="str">
        <f aca="false">IF(R324="","",Reconciliation!J325)</f>
        <v/>
      </c>
      <c r="K324" s="30" t="str">
        <f aca="false">IF(R324="","",Reconciliation!K325)</f>
        <v/>
      </c>
      <c r="L324" s="30" t="str">
        <f aca="false">IF(R324="","",Reconciliation!L325)</f>
        <v/>
      </c>
      <c r="M324" s="32" t="str">
        <f aca="false">IF(R324="","",Reconciliation!M325)</f>
        <v/>
      </c>
      <c r="N324" s="32" t="str">
        <f aca="false">IF(R324="","",Reconciliation!N325)</f>
        <v/>
      </c>
      <c r="O324" s="32" t="str">
        <f aca="false">IF(R324="","",Reconciliation!O325)</f>
        <v/>
      </c>
      <c r="P324" s="32" t="str">
        <f aca="false">IF(R324="","",Reconciliation!P325)</f>
        <v/>
      </c>
      <c r="Q324" s="32" t="str">
        <f aca="false">IF(R324="","",Reconciliation!Q325)</f>
        <v/>
      </c>
      <c r="R324" s="33" t="str">
        <f aca="false">IF(OR(Reconciliation!R325="✅ MATCH",Reconciliation!R325=""),"",Reconciliation!R325)</f>
        <v/>
      </c>
    </row>
    <row r="325" customFormat="false" ht="15" hidden="false" customHeight="true" outlineLevel="0" collapsed="false">
      <c r="A325" s="29" t="str">
        <f aca="false">IF(R325="","",Reconciliation!A326)</f>
        <v/>
      </c>
      <c r="B325" s="30" t="str">
        <f aca="false">IF(R325="","",Reconciliation!B326)</f>
        <v/>
      </c>
      <c r="C325" s="30" t="str">
        <f aca="false">IF(R325="","",Reconciliation!C326)</f>
        <v/>
      </c>
      <c r="D325" s="30" t="str">
        <f aca="false">IF(R325="","",Reconciliation!D326)</f>
        <v/>
      </c>
      <c r="E325" s="31" t="str">
        <f aca="false">IF(R325="","",Reconciliation!E326)</f>
        <v/>
      </c>
      <c r="F325" s="30" t="str">
        <f aca="false">IF(R325="","",Reconciliation!F326)</f>
        <v/>
      </c>
      <c r="G325" s="30" t="str">
        <f aca="false">IF(R325="","",Reconciliation!G326)</f>
        <v/>
      </c>
      <c r="H325" s="30" t="str">
        <f aca="false">IF(R325="","",Reconciliation!H326)</f>
        <v/>
      </c>
      <c r="I325" s="30" t="str">
        <f aca="false">IF(R325="","",Reconciliation!I326)</f>
        <v/>
      </c>
      <c r="J325" s="31" t="str">
        <f aca="false">IF(R325="","",Reconciliation!J326)</f>
        <v/>
      </c>
      <c r="K325" s="30" t="str">
        <f aca="false">IF(R325="","",Reconciliation!K326)</f>
        <v/>
      </c>
      <c r="L325" s="30" t="str">
        <f aca="false">IF(R325="","",Reconciliation!L326)</f>
        <v/>
      </c>
      <c r="M325" s="32" t="str">
        <f aca="false">IF(R325="","",Reconciliation!M326)</f>
        <v/>
      </c>
      <c r="N325" s="32" t="str">
        <f aca="false">IF(R325="","",Reconciliation!N326)</f>
        <v/>
      </c>
      <c r="O325" s="32" t="str">
        <f aca="false">IF(R325="","",Reconciliation!O326)</f>
        <v/>
      </c>
      <c r="P325" s="32" t="str">
        <f aca="false">IF(R325="","",Reconciliation!P326)</f>
        <v/>
      </c>
      <c r="Q325" s="32" t="str">
        <f aca="false">IF(R325="","",Reconciliation!Q326)</f>
        <v/>
      </c>
      <c r="R325" s="33" t="str">
        <f aca="false">IF(OR(Reconciliation!R326="✅ MATCH",Reconciliation!R326=""),"",Reconciliation!R326)</f>
        <v/>
      </c>
    </row>
    <row r="326" customFormat="false" ht="15" hidden="false" customHeight="true" outlineLevel="0" collapsed="false">
      <c r="A326" s="29" t="str">
        <f aca="false">IF(R326="","",Reconciliation!A327)</f>
        <v/>
      </c>
      <c r="B326" s="30" t="str">
        <f aca="false">IF(R326="","",Reconciliation!B327)</f>
        <v/>
      </c>
      <c r="C326" s="30" t="str">
        <f aca="false">IF(R326="","",Reconciliation!C327)</f>
        <v/>
      </c>
      <c r="D326" s="30" t="str">
        <f aca="false">IF(R326="","",Reconciliation!D327)</f>
        <v/>
      </c>
      <c r="E326" s="31" t="str">
        <f aca="false">IF(R326="","",Reconciliation!E327)</f>
        <v/>
      </c>
      <c r="F326" s="30" t="str">
        <f aca="false">IF(R326="","",Reconciliation!F327)</f>
        <v/>
      </c>
      <c r="G326" s="30" t="str">
        <f aca="false">IF(R326="","",Reconciliation!G327)</f>
        <v/>
      </c>
      <c r="H326" s="30" t="str">
        <f aca="false">IF(R326="","",Reconciliation!H327)</f>
        <v/>
      </c>
      <c r="I326" s="30" t="str">
        <f aca="false">IF(R326="","",Reconciliation!I327)</f>
        <v/>
      </c>
      <c r="J326" s="31" t="str">
        <f aca="false">IF(R326="","",Reconciliation!J327)</f>
        <v/>
      </c>
      <c r="K326" s="30" t="str">
        <f aca="false">IF(R326="","",Reconciliation!K327)</f>
        <v/>
      </c>
      <c r="L326" s="30" t="str">
        <f aca="false">IF(R326="","",Reconciliation!L327)</f>
        <v/>
      </c>
      <c r="M326" s="32" t="str">
        <f aca="false">IF(R326="","",Reconciliation!M327)</f>
        <v/>
      </c>
      <c r="N326" s="32" t="str">
        <f aca="false">IF(R326="","",Reconciliation!N327)</f>
        <v/>
      </c>
      <c r="O326" s="32" t="str">
        <f aca="false">IF(R326="","",Reconciliation!O327)</f>
        <v/>
      </c>
      <c r="P326" s="32" t="str">
        <f aca="false">IF(R326="","",Reconciliation!P327)</f>
        <v/>
      </c>
      <c r="Q326" s="32" t="str">
        <f aca="false">IF(R326="","",Reconciliation!Q327)</f>
        <v/>
      </c>
      <c r="R326" s="33" t="str">
        <f aca="false">IF(OR(Reconciliation!R327="✅ MATCH",Reconciliation!R327=""),"",Reconciliation!R327)</f>
        <v/>
      </c>
    </row>
    <row r="327" customFormat="false" ht="15" hidden="false" customHeight="true" outlineLevel="0" collapsed="false">
      <c r="A327" s="29" t="str">
        <f aca="false">IF(R327="","",Reconciliation!A328)</f>
        <v/>
      </c>
      <c r="B327" s="30" t="str">
        <f aca="false">IF(R327="","",Reconciliation!B328)</f>
        <v/>
      </c>
      <c r="C327" s="30" t="str">
        <f aca="false">IF(R327="","",Reconciliation!C328)</f>
        <v/>
      </c>
      <c r="D327" s="30" t="str">
        <f aca="false">IF(R327="","",Reconciliation!D328)</f>
        <v/>
      </c>
      <c r="E327" s="31" t="str">
        <f aca="false">IF(R327="","",Reconciliation!E328)</f>
        <v/>
      </c>
      <c r="F327" s="30" t="str">
        <f aca="false">IF(R327="","",Reconciliation!F328)</f>
        <v/>
      </c>
      <c r="G327" s="30" t="str">
        <f aca="false">IF(R327="","",Reconciliation!G328)</f>
        <v/>
      </c>
      <c r="H327" s="30" t="str">
        <f aca="false">IF(R327="","",Reconciliation!H328)</f>
        <v/>
      </c>
      <c r="I327" s="30" t="str">
        <f aca="false">IF(R327="","",Reconciliation!I328)</f>
        <v/>
      </c>
      <c r="J327" s="31" t="str">
        <f aca="false">IF(R327="","",Reconciliation!J328)</f>
        <v/>
      </c>
      <c r="K327" s="30" t="str">
        <f aca="false">IF(R327="","",Reconciliation!K328)</f>
        <v/>
      </c>
      <c r="L327" s="30" t="str">
        <f aca="false">IF(R327="","",Reconciliation!L328)</f>
        <v/>
      </c>
      <c r="M327" s="32" t="str">
        <f aca="false">IF(R327="","",Reconciliation!M328)</f>
        <v/>
      </c>
      <c r="N327" s="32" t="str">
        <f aca="false">IF(R327="","",Reconciliation!N328)</f>
        <v/>
      </c>
      <c r="O327" s="32" t="str">
        <f aca="false">IF(R327="","",Reconciliation!O328)</f>
        <v/>
      </c>
      <c r="P327" s="32" t="str">
        <f aca="false">IF(R327="","",Reconciliation!P328)</f>
        <v/>
      </c>
      <c r="Q327" s="32" t="str">
        <f aca="false">IF(R327="","",Reconciliation!Q328)</f>
        <v/>
      </c>
      <c r="R327" s="33" t="str">
        <f aca="false">IF(OR(Reconciliation!R328="✅ MATCH",Reconciliation!R328=""),"",Reconciliation!R328)</f>
        <v/>
      </c>
    </row>
    <row r="328" customFormat="false" ht="15" hidden="false" customHeight="true" outlineLevel="0" collapsed="false">
      <c r="A328" s="29" t="str">
        <f aca="false">IF(R328="","",Reconciliation!A329)</f>
        <v/>
      </c>
      <c r="B328" s="30" t="str">
        <f aca="false">IF(R328="","",Reconciliation!B329)</f>
        <v/>
      </c>
      <c r="C328" s="30" t="str">
        <f aca="false">IF(R328="","",Reconciliation!C329)</f>
        <v/>
      </c>
      <c r="D328" s="30" t="str">
        <f aca="false">IF(R328="","",Reconciliation!D329)</f>
        <v/>
      </c>
      <c r="E328" s="31" t="str">
        <f aca="false">IF(R328="","",Reconciliation!E329)</f>
        <v/>
      </c>
      <c r="F328" s="30" t="str">
        <f aca="false">IF(R328="","",Reconciliation!F329)</f>
        <v/>
      </c>
      <c r="G328" s="30" t="str">
        <f aca="false">IF(R328="","",Reconciliation!G329)</f>
        <v/>
      </c>
      <c r="H328" s="30" t="str">
        <f aca="false">IF(R328="","",Reconciliation!H329)</f>
        <v/>
      </c>
      <c r="I328" s="30" t="str">
        <f aca="false">IF(R328="","",Reconciliation!I329)</f>
        <v/>
      </c>
      <c r="J328" s="31" t="str">
        <f aca="false">IF(R328="","",Reconciliation!J329)</f>
        <v/>
      </c>
      <c r="K328" s="30" t="str">
        <f aca="false">IF(R328="","",Reconciliation!K329)</f>
        <v/>
      </c>
      <c r="L328" s="30" t="str">
        <f aca="false">IF(R328="","",Reconciliation!L329)</f>
        <v/>
      </c>
      <c r="M328" s="32" t="str">
        <f aca="false">IF(R328="","",Reconciliation!M329)</f>
        <v/>
      </c>
      <c r="N328" s="32" t="str">
        <f aca="false">IF(R328="","",Reconciliation!N329)</f>
        <v/>
      </c>
      <c r="O328" s="32" t="str">
        <f aca="false">IF(R328="","",Reconciliation!O329)</f>
        <v/>
      </c>
      <c r="P328" s="32" t="str">
        <f aca="false">IF(R328="","",Reconciliation!P329)</f>
        <v/>
      </c>
      <c r="Q328" s="32" t="str">
        <f aca="false">IF(R328="","",Reconciliation!Q329)</f>
        <v/>
      </c>
      <c r="R328" s="33" t="str">
        <f aca="false">IF(OR(Reconciliation!R329="✅ MATCH",Reconciliation!R329=""),"",Reconciliation!R329)</f>
        <v/>
      </c>
    </row>
    <row r="329" customFormat="false" ht="15" hidden="false" customHeight="true" outlineLevel="0" collapsed="false">
      <c r="A329" s="29" t="str">
        <f aca="false">IF(R329="","",Reconciliation!A330)</f>
        <v/>
      </c>
      <c r="B329" s="30" t="str">
        <f aca="false">IF(R329="","",Reconciliation!B330)</f>
        <v/>
      </c>
      <c r="C329" s="30" t="str">
        <f aca="false">IF(R329="","",Reconciliation!C330)</f>
        <v/>
      </c>
      <c r="D329" s="30" t="str">
        <f aca="false">IF(R329="","",Reconciliation!D330)</f>
        <v/>
      </c>
      <c r="E329" s="31" t="str">
        <f aca="false">IF(R329="","",Reconciliation!E330)</f>
        <v/>
      </c>
      <c r="F329" s="30" t="str">
        <f aca="false">IF(R329="","",Reconciliation!F330)</f>
        <v/>
      </c>
      <c r="G329" s="30" t="str">
        <f aca="false">IF(R329="","",Reconciliation!G330)</f>
        <v/>
      </c>
      <c r="H329" s="30" t="str">
        <f aca="false">IF(R329="","",Reconciliation!H330)</f>
        <v/>
      </c>
      <c r="I329" s="30" t="str">
        <f aca="false">IF(R329="","",Reconciliation!I330)</f>
        <v/>
      </c>
      <c r="J329" s="31" t="str">
        <f aca="false">IF(R329="","",Reconciliation!J330)</f>
        <v/>
      </c>
      <c r="K329" s="30" t="str">
        <f aca="false">IF(R329="","",Reconciliation!K330)</f>
        <v/>
      </c>
      <c r="L329" s="30" t="str">
        <f aca="false">IF(R329="","",Reconciliation!L330)</f>
        <v/>
      </c>
      <c r="M329" s="32" t="str">
        <f aca="false">IF(R329="","",Reconciliation!M330)</f>
        <v/>
      </c>
      <c r="N329" s="32" t="str">
        <f aca="false">IF(R329="","",Reconciliation!N330)</f>
        <v/>
      </c>
      <c r="O329" s="32" t="str">
        <f aca="false">IF(R329="","",Reconciliation!O330)</f>
        <v/>
      </c>
      <c r="P329" s="32" t="str">
        <f aca="false">IF(R329="","",Reconciliation!P330)</f>
        <v/>
      </c>
      <c r="Q329" s="32" t="str">
        <f aca="false">IF(R329="","",Reconciliation!Q330)</f>
        <v/>
      </c>
      <c r="R329" s="33" t="str">
        <f aca="false">IF(OR(Reconciliation!R330="✅ MATCH",Reconciliation!R330=""),"",Reconciliation!R330)</f>
        <v/>
      </c>
    </row>
    <row r="330" customFormat="false" ht="15" hidden="false" customHeight="true" outlineLevel="0" collapsed="false">
      <c r="A330" s="29" t="str">
        <f aca="false">IF(R330="","",Reconciliation!A331)</f>
        <v/>
      </c>
      <c r="B330" s="30" t="str">
        <f aca="false">IF(R330="","",Reconciliation!B331)</f>
        <v/>
      </c>
      <c r="C330" s="30" t="str">
        <f aca="false">IF(R330="","",Reconciliation!C331)</f>
        <v/>
      </c>
      <c r="D330" s="30" t="str">
        <f aca="false">IF(R330="","",Reconciliation!D331)</f>
        <v/>
      </c>
      <c r="E330" s="31" t="str">
        <f aca="false">IF(R330="","",Reconciliation!E331)</f>
        <v/>
      </c>
      <c r="F330" s="30" t="str">
        <f aca="false">IF(R330="","",Reconciliation!F331)</f>
        <v/>
      </c>
      <c r="G330" s="30" t="str">
        <f aca="false">IF(R330="","",Reconciliation!G331)</f>
        <v/>
      </c>
      <c r="H330" s="30" t="str">
        <f aca="false">IF(R330="","",Reconciliation!H331)</f>
        <v/>
      </c>
      <c r="I330" s="30" t="str">
        <f aca="false">IF(R330="","",Reconciliation!I331)</f>
        <v/>
      </c>
      <c r="J330" s="31" t="str">
        <f aca="false">IF(R330="","",Reconciliation!J331)</f>
        <v/>
      </c>
      <c r="K330" s="30" t="str">
        <f aca="false">IF(R330="","",Reconciliation!K331)</f>
        <v/>
      </c>
      <c r="L330" s="30" t="str">
        <f aca="false">IF(R330="","",Reconciliation!L331)</f>
        <v/>
      </c>
      <c r="M330" s="32" t="str">
        <f aca="false">IF(R330="","",Reconciliation!M331)</f>
        <v/>
      </c>
      <c r="N330" s="32" t="str">
        <f aca="false">IF(R330="","",Reconciliation!N331)</f>
        <v/>
      </c>
      <c r="O330" s="32" t="str">
        <f aca="false">IF(R330="","",Reconciliation!O331)</f>
        <v/>
      </c>
      <c r="P330" s="32" t="str">
        <f aca="false">IF(R330="","",Reconciliation!P331)</f>
        <v/>
      </c>
      <c r="Q330" s="32" t="str">
        <f aca="false">IF(R330="","",Reconciliation!Q331)</f>
        <v/>
      </c>
      <c r="R330" s="33" t="str">
        <f aca="false">IF(OR(Reconciliation!R331="✅ MATCH",Reconciliation!R331=""),"",Reconciliation!R331)</f>
        <v/>
      </c>
    </row>
    <row r="331" customFormat="false" ht="15" hidden="false" customHeight="true" outlineLevel="0" collapsed="false">
      <c r="A331" s="29" t="str">
        <f aca="false">IF(R331="","",Reconciliation!A332)</f>
        <v/>
      </c>
      <c r="B331" s="30" t="str">
        <f aca="false">IF(R331="","",Reconciliation!B332)</f>
        <v/>
      </c>
      <c r="C331" s="30" t="str">
        <f aca="false">IF(R331="","",Reconciliation!C332)</f>
        <v/>
      </c>
      <c r="D331" s="30" t="str">
        <f aca="false">IF(R331="","",Reconciliation!D332)</f>
        <v/>
      </c>
      <c r="E331" s="31" t="str">
        <f aca="false">IF(R331="","",Reconciliation!E332)</f>
        <v/>
      </c>
      <c r="F331" s="30" t="str">
        <f aca="false">IF(R331="","",Reconciliation!F332)</f>
        <v/>
      </c>
      <c r="G331" s="30" t="str">
        <f aca="false">IF(R331="","",Reconciliation!G332)</f>
        <v/>
      </c>
      <c r="H331" s="30" t="str">
        <f aca="false">IF(R331="","",Reconciliation!H332)</f>
        <v/>
      </c>
      <c r="I331" s="30" t="str">
        <f aca="false">IF(R331="","",Reconciliation!I332)</f>
        <v/>
      </c>
      <c r="J331" s="31" t="str">
        <f aca="false">IF(R331="","",Reconciliation!J332)</f>
        <v/>
      </c>
      <c r="K331" s="30" t="str">
        <f aca="false">IF(R331="","",Reconciliation!K332)</f>
        <v/>
      </c>
      <c r="L331" s="30" t="str">
        <f aca="false">IF(R331="","",Reconciliation!L332)</f>
        <v/>
      </c>
      <c r="M331" s="32" t="str">
        <f aca="false">IF(R331="","",Reconciliation!M332)</f>
        <v/>
      </c>
      <c r="N331" s="32" t="str">
        <f aca="false">IF(R331="","",Reconciliation!N332)</f>
        <v/>
      </c>
      <c r="O331" s="32" t="str">
        <f aca="false">IF(R331="","",Reconciliation!O332)</f>
        <v/>
      </c>
      <c r="P331" s="32" t="str">
        <f aca="false">IF(R331="","",Reconciliation!P332)</f>
        <v/>
      </c>
      <c r="Q331" s="32" t="str">
        <f aca="false">IF(R331="","",Reconciliation!Q332)</f>
        <v/>
      </c>
      <c r="R331" s="33" t="str">
        <f aca="false">IF(OR(Reconciliation!R332="✅ MATCH",Reconciliation!R332=""),"",Reconciliation!R332)</f>
        <v/>
      </c>
    </row>
    <row r="332" customFormat="false" ht="15" hidden="false" customHeight="true" outlineLevel="0" collapsed="false">
      <c r="A332" s="29" t="str">
        <f aca="false">IF(R332="","",Reconciliation!A333)</f>
        <v/>
      </c>
      <c r="B332" s="30" t="str">
        <f aca="false">IF(R332="","",Reconciliation!B333)</f>
        <v/>
      </c>
      <c r="C332" s="30" t="str">
        <f aca="false">IF(R332="","",Reconciliation!C333)</f>
        <v/>
      </c>
      <c r="D332" s="30" t="str">
        <f aca="false">IF(R332="","",Reconciliation!D333)</f>
        <v/>
      </c>
      <c r="E332" s="31" t="str">
        <f aca="false">IF(R332="","",Reconciliation!E333)</f>
        <v/>
      </c>
      <c r="F332" s="30" t="str">
        <f aca="false">IF(R332="","",Reconciliation!F333)</f>
        <v/>
      </c>
      <c r="G332" s="30" t="str">
        <f aca="false">IF(R332="","",Reconciliation!G333)</f>
        <v/>
      </c>
      <c r="H332" s="30" t="str">
        <f aca="false">IF(R332="","",Reconciliation!H333)</f>
        <v/>
      </c>
      <c r="I332" s="30" t="str">
        <f aca="false">IF(R332="","",Reconciliation!I333)</f>
        <v/>
      </c>
      <c r="J332" s="31" t="str">
        <f aca="false">IF(R332="","",Reconciliation!J333)</f>
        <v/>
      </c>
      <c r="K332" s="30" t="str">
        <f aca="false">IF(R332="","",Reconciliation!K333)</f>
        <v/>
      </c>
      <c r="L332" s="30" t="str">
        <f aca="false">IF(R332="","",Reconciliation!L333)</f>
        <v/>
      </c>
      <c r="M332" s="32" t="str">
        <f aca="false">IF(R332="","",Reconciliation!M333)</f>
        <v/>
      </c>
      <c r="N332" s="32" t="str">
        <f aca="false">IF(R332="","",Reconciliation!N333)</f>
        <v/>
      </c>
      <c r="O332" s="32" t="str">
        <f aca="false">IF(R332="","",Reconciliation!O333)</f>
        <v/>
      </c>
      <c r="P332" s="32" t="str">
        <f aca="false">IF(R332="","",Reconciliation!P333)</f>
        <v/>
      </c>
      <c r="Q332" s="32" t="str">
        <f aca="false">IF(R332="","",Reconciliation!Q333)</f>
        <v/>
      </c>
      <c r="R332" s="33" t="str">
        <f aca="false">IF(OR(Reconciliation!R333="✅ MATCH",Reconciliation!R333=""),"",Reconciliation!R333)</f>
        <v/>
      </c>
    </row>
    <row r="333" customFormat="false" ht="15" hidden="false" customHeight="true" outlineLevel="0" collapsed="false">
      <c r="A333" s="29" t="str">
        <f aca="false">IF(R333="","",Reconciliation!A334)</f>
        <v/>
      </c>
      <c r="B333" s="30" t="str">
        <f aca="false">IF(R333="","",Reconciliation!B334)</f>
        <v/>
      </c>
      <c r="C333" s="30" t="str">
        <f aca="false">IF(R333="","",Reconciliation!C334)</f>
        <v/>
      </c>
      <c r="D333" s="30" t="str">
        <f aca="false">IF(R333="","",Reconciliation!D334)</f>
        <v/>
      </c>
      <c r="E333" s="31" t="str">
        <f aca="false">IF(R333="","",Reconciliation!E334)</f>
        <v/>
      </c>
      <c r="F333" s="30" t="str">
        <f aca="false">IF(R333="","",Reconciliation!F334)</f>
        <v/>
      </c>
      <c r="G333" s="30" t="str">
        <f aca="false">IF(R333="","",Reconciliation!G334)</f>
        <v/>
      </c>
      <c r="H333" s="30" t="str">
        <f aca="false">IF(R333="","",Reconciliation!H334)</f>
        <v/>
      </c>
      <c r="I333" s="30" t="str">
        <f aca="false">IF(R333="","",Reconciliation!I334)</f>
        <v/>
      </c>
      <c r="J333" s="31" t="str">
        <f aca="false">IF(R333="","",Reconciliation!J334)</f>
        <v/>
      </c>
      <c r="K333" s="30" t="str">
        <f aca="false">IF(R333="","",Reconciliation!K334)</f>
        <v/>
      </c>
      <c r="L333" s="30" t="str">
        <f aca="false">IF(R333="","",Reconciliation!L334)</f>
        <v/>
      </c>
      <c r="M333" s="32" t="str">
        <f aca="false">IF(R333="","",Reconciliation!M334)</f>
        <v/>
      </c>
      <c r="N333" s="32" t="str">
        <f aca="false">IF(R333="","",Reconciliation!N334)</f>
        <v/>
      </c>
      <c r="O333" s="32" t="str">
        <f aca="false">IF(R333="","",Reconciliation!O334)</f>
        <v/>
      </c>
      <c r="P333" s="32" t="str">
        <f aca="false">IF(R333="","",Reconciliation!P334)</f>
        <v/>
      </c>
      <c r="Q333" s="32" t="str">
        <f aca="false">IF(R333="","",Reconciliation!Q334)</f>
        <v/>
      </c>
      <c r="R333" s="33" t="str">
        <f aca="false">IF(OR(Reconciliation!R334="✅ MATCH",Reconciliation!R334=""),"",Reconciliation!R334)</f>
        <v/>
      </c>
    </row>
    <row r="334" customFormat="false" ht="15" hidden="false" customHeight="true" outlineLevel="0" collapsed="false">
      <c r="A334" s="29" t="str">
        <f aca="false">IF(R334="","",Reconciliation!A335)</f>
        <v/>
      </c>
      <c r="B334" s="30" t="str">
        <f aca="false">IF(R334="","",Reconciliation!B335)</f>
        <v/>
      </c>
      <c r="C334" s="30" t="str">
        <f aca="false">IF(R334="","",Reconciliation!C335)</f>
        <v/>
      </c>
      <c r="D334" s="30" t="str">
        <f aca="false">IF(R334="","",Reconciliation!D335)</f>
        <v/>
      </c>
      <c r="E334" s="31" t="str">
        <f aca="false">IF(R334="","",Reconciliation!E335)</f>
        <v/>
      </c>
      <c r="F334" s="30" t="str">
        <f aca="false">IF(R334="","",Reconciliation!F335)</f>
        <v/>
      </c>
      <c r="G334" s="30" t="str">
        <f aca="false">IF(R334="","",Reconciliation!G335)</f>
        <v/>
      </c>
      <c r="H334" s="30" t="str">
        <f aca="false">IF(R334="","",Reconciliation!H335)</f>
        <v/>
      </c>
      <c r="I334" s="30" t="str">
        <f aca="false">IF(R334="","",Reconciliation!I335)</f>
        <v/>
      </c>
      <c r="J334" s="31" t="str">
        <f aca="false">IF(R334="","",Reconciliation!J335)</f>
        <v/>
      </c>
      <c r="K334" s="30" t="str">
        <f aca="false">IF(R334="","",Reconciliation!K335)</f>
        <v/>
      </c>
      <c r="L334" s="30" t="str">
        <f aca="false">IF(R334="","",Reconciliation!L335)</f>
        <v/>
      </c>
      <c r="M334" s="32" t="str">
        <f aca="false">IF(R334="","",Reconciliation!M335)</f>
        <v/>
      </c>
      <c r="N334" s="32" t="str">
        <f aca="false">IF(R334="","",Reconciliation!N335)</f>
        <v/>
      </c>
      <c r="O334" s="32" t="str">
        <f aca="false">IF(R334="","",Reconciliation!O335)</f>
        <v/>
      </c>
      <c r="P334" s="32" t="str">
        <f aca="false">IF(R334="","",Reconciliation!P335)</f>
        <v/>
      </c>
      <c r="Q334" s="32" t="str">
        <f aca="false">IF(R334="","",Reconciliation!Q335)</f>
        <v/>
      </c>
      <c r="R334" s="33" t="str">
        <f aca="false">IF(OR(Reconciliation!R335="✅ MATCH",Reconciliation!R335=""),"",Reconciliation!R335)</f>
        <v/>
      </c>
    </row>
    <row r="335" customFormat="false" ht="15" hidden="false" customHeight="true" outlineLevel="0" collapsed="false">
      <c r="A335" s="29" t="str">
        <f aca="false">IF(R335="","",Reconciliation!A336)</f>
        <v/>
      </c>
      <c r="B335" s="30" t="str">
        <f aca="false">IF(R335="","",Reconciliation!B336)</f>
        <v/>
      </c>
      <c r="C335" s="30" t="str">
        <f aca="false">IF(R335="","",Reconciliation!C336)</f>
        <v/>
      </c>
      <c r="D335" s="30" t="str">
        <f aca="false">IF(R335="","",Reconciliation!D336)</f>
        <v/>
      </c>
      <c r="E335" s="31" t="str">
        <f aca="false">IF(R335="","",Reconciliation!E336)</f>
        <v/>
      </c>
      <c r="F335" s="30" t="str">
        <f aca="false">IF(R335="","",Reconciliation!F336)</f>
        <v/>
      </c>
      <c r="G335" s="30" t="str">
        <f aca="false">IF(R335="","",Reconciliation!G336)</f>
        <v/>
      </c>
      <c r="H335" s="30" t="str">
        <f aca="false">IF(R335="","",Reconciliation!H336)</f>
        <v/>
      </c>
      <c r="I335" s="30" t="str">
        <f aca="false">IF(R335="","",Reconciliation!I336)</f>
        <v/>
      </c>
      <c r="J335" s="31" t="str">
        <f aca="false">IF(R335="","",Reconciliation!J336)</f>
        <v/>
      </c>
      <c r="K335" s="30" t="str">
        <f aca="false">IF(R335="","",Reconciliation!K336)</f>
        <v/>
      </c>
      <c r="L335" s="30" t="str">
        <f aca="false">IF(R335="","",Reconciliation!L336)</f>
        <v/>
      </c>
      <c r="M335" s="32" t="str">
        <f aca="false">IF(R335="","",Reconciliation!M336)</f>
        <v/>
      </c>
      <c r="N335" s="32" t="str">
        <f aca="false">IF(R335="","",Reconciliation!N336)</f>
        <v/>
      </c>
      <c r="O335" s="32" t="str">
        <f aca="false">IF(R335="","",Reconciliation!O336)</f>
        <v/>
      </c>
      <c r="P335" s="32" t="str">
        <f aca="false">IF(R335="","",Reconciliation!P336)</f>
        <v/>
      </c>
      <c r="Q335" s="32" t="str">
        <f aca="false">IF(R335="","",Reconciliation!Q336)</f>
        <v/>
      </c>
      <c r="R335" s="33" t="str">
        <f aca="false">IF(OR(Reconciliation!R336="✅ MATCH",Reconciliation!R336=""),"",Reconciliation!R336)</f>
        <v/>
      </c>
    </row>
    <row r="336" customFormat="false" ht="15" hidden="false" customHeight="true" outlineLevel="0" collapsed="false">
      <c r="A336" s="29" t="str">
        <f aca="false">IF(R336="","",Reconciliation!A337)</f>
        <v/>
      </c>
      <c r="B336" s="30" t="str">
        <f aca="false">IF(R336="","",Reconciliation!B337)</f>
        <v/>
      </c>
      <c r="C336" s="30" t="str">
        <f aca="false">IF(R336="","",Reconciliation!C337)</f>
        <v/>
      </c>
      <c r="D336" s="30" t="str">
        <f aca="false">IF(R336="","",Reconciliation!D337)</f>
        <v/>
      </c>
      <c r="E336" s="31" t="str">
        <f aca="false">IF(R336="","",Reconciliation!E337)</f>
        <v/>
      </c>
      <c r="F336" s="30" t="str">
        <f aca="false">IF(R336="","",Reconciliation!F337)</f>
        <v/>
      </c>
      <c r="G336" s="30" t="str">
        <f aca="false">IF(R336="","",Reconciliation!G337)</f>
        <v/>
      </c>
      <c r="H336" s="30" t="str">
        <f aca="false">IF(R336="","",Reconciliation!H337)</f>
        <v/>
      </c>
      <c r="I336" s="30" t="str">
        <f aca="false">IF(R336="","",Reconciliation!I337)</f>
        <v/>
      </c>
      <c r="J336" s="31" t="str">
        <f aca="false">IF(R336="","",Reconciliation!J337)</f>
        <v/>
      </c>
      <c r="K336" s="30" t="str">
        <f aca="false">IF(R336="","",Reconciliation!K337)</f>
        <v/>
      </c>
      <c r="L336" s="30" t="str">
        <f aca="false">IF(R336="","",Reconciliation!L337)</f>
        <v/>
      </c>
      <c r="M336" s="32" t="str">
        <f aca="false">IF(R336="","",Reconciliation!M337)</f>
        <v/>
      </c>
      <c r="N336" s="32" t="str">
        <f aca="false">IF(R336="","",Reconciliation!N337)</f>
        <v/>
      </c>
      <c r="O336" s="32" t="str">
        <f aca="false">IF(R336="","",Reconciliation!O337)</f>
        <v/>
      </c>
      <c r="P336" s="32" t="str">
        <f aca="false">IF(R336="","",Reconciliation!P337)</f>
        <v/>
      </c>
      <c r="Q336" s="32" t="str">
        <f aca="false">IF(R336="","",Reconciliation!Q337)</f>
        <v/>
      </c>
      <c r="R336" s="33" t="str">
        <f aca="false">IF(OR(Reconciliation!R337="✅ MATCH",Reconciliation!R337=""),"",Reconciliation!R337)</f>
        <v/>
      </c>
    </row>
    <row r="337" customFormat="false" ht="15" hidden="false" customHeight="true" outlineLevel="0" collapsed="false">
      <c r="A337" s="29" t="str">
        <f aca="false">IF(R337="","",Reconciliation!A338)</f>
        <v/>
      </c>
      <c r="B337" s="30" t="str">
        <f aca="false">IF(R337="","",Reconciliation!B338)</f>
        <v/>
      </c>
      <c r="C337" s="30" t="str">
        <f aca="false">IF(R337="","",Reconciliation!C338)</f>
        <v/>
      </c>
      <c r="D337" s="30" t="str">
        <f aca="false">IF(R337="","",Reconciliation!D338)</f>
        <v/>
      </c>
      <c r="E337" s="31" t="str">
        <f aca="false">IF(R337="","",Reconciliation!E338)</f>
        <v/>
      </c>
      <c r="F337" s="30" t="str">
        <f aca="false">IF(R337="","",Reconciliation!F338)</f>
        <v/>
      </c>
      <c r="G337" s="30" t="str">
        <f aca="false">IF(R337="","",Reconciliation!G338)</f>
        <v/>
      </c>
      <c r="H337" s="30" t="str">
        <f aca="false">IF(R337="","",Reconciliation!H338)</f>
        <v/>
      </c>
      <c r="I337" s="30" t="str">
        <f aca="false">IF(R337="","",Reconciliation!I338)</f>
        <v/>
      </c>
      <c r="J337" s="31" t="str">
        <f aca="false">IF(R337="","",Reconciliation!J338)</f>
        <v/>
      </c>
      <c r="K337" s="30" t="str">
        <f aca="false">IF(R337="","",Reconciliation!K338)</f>
        <v/>
      </c>
      <c r="L337" s="30" t="str">
        <f aca="false">IF(R337="","",Reconciliation!L338)</f>
        <v/>
      </c>
      <c r="M337" s="32" t="str">
        <f aca="false">IF(R337="","",Reconciliation!M338)</f>
        <v/>
      </c>
      <c r="N337" s="32" t="str">
        <f aca="false">IF(R337="","",Reconciliation!N338)</f>
        <v/>
      </c>
      <c r="O337" s="32" t="str">
        <f aca="false">IF(R337="","",Reconciliation!O338)</f>
        <v/>
      </c>
      <c r="P337" s="32" t="str">
        <f aca="false">IF(R337="","",Reconciliation!P338)</f>
        <v/>
      </c>
      <c r="Q337" s="32" t="str">
        <f aca="false">IF(R337="","",Reconciliation!Q338)</f>
        <v/>
      </c>
      <c r="R337" s="33" t="str">
        <f aca="false">IF(OR(Reconciliation!R338="✅ MATCH",Reconciliation!R338=""),"",Reconciliation!R338)</f>
        <v/>
      </c>
    </row>
    <row r="338" customFormat="false" ht="15" hidden="false" customHeight="true" outlineLevel="0" collapsed="false">
      <c r="A338" s="29" t="str">
        <f aca="false">IF(R338="","",Reconciliation!A339)</f>
        <v/>
      </c>
      <c r="B338" s="30" t="str">
        <f aca="false">IF(R338="","",Reconciliation!B339)</f>
        <v/>
      </c>
      <c r="C338" s="30" t="str">
        <f aca="false">IF(R338="","",Reconciliation!C339)</f>
        <v/>
      </c>
      <c r="D338" s="30" t="str">
        <f aca="false">IF(R338="","",Reconciliation!D339)</f>
        <v/>
      </c>
      <c r="E338" s="31" t="str">
        <f aca="false">IF(R338="","",Reconciliation!E339)</f>
        <v/>
      </c>
      <c r="F338" s="30" t="str">
        <f aca="false">IF(R338="","",Reconciliation!F339)</f>
        <v/>
      </c>
      <c r="G338" s="30" t="str">
        <f aca="false">IF(R338="","",Reconciliation!G339)</f>
        <v/>
      </c>
      <c r="H338" s="30" t="str">
        <f aca="false">IF(R338="","",Reconciliation!H339)</f>
        <v/>
      </c>
      <c r="I338" s="30" t="str">
        <f aca="false">IF(R338="","",Reconciliation!I339)</f>
        <v/>
      </c>
      <c r="J338" s="31" t="str">
        <f aca="false">IF(R338="","",Reconciliation!J339)</f>
        <v/>
      </c>
      <c r="K338" s="30" t="str">
        <f aca="false">IF(R338="","",Reconciliation!K339)</f>
        <v/>
      </c>
      <c r="L338" s="30" t="str">
        <f aca="false">IF(R338="","",Reconciliation!L339)</f>
        <v/>
      </c>
      <c r="M338" s="32" t="str">
        <f aca="false">IF(R338="","",Reconciliation!M339)</f>
        <v/>
      </c>
      <c r="N338" s="32" t="str">
        <f aca="false">IF(R338="","",Reconciliation!N339)</f>
        <v/>
      </c>
      <c r="O338" s="32" t="str">
        <f aca="false">IF(R338="","",Reconciliation!O339)</f>
        <v/>
      </c>
      <c r="P338" s="32" t="str">
        <f aca="false">IF(R338="","",Reconciliation!P339)</f>
        <v/>
      </c>
      <c r="Q338" s="32" t="str">
        <f aca="false">IF(R338="","",Reconciliation!Q339)</f>
        <v/>
      </c>
      <c r="R338" s="33" t="str">
        <f aca="false">IF(OR(Reconciliation!R339="✅ MATCH",Reconciliation!R339=""),"",Reconciliation!R339)</f>
        <v/>
      </c>
    </row>
    <row r="339" customFormat="false" ht="15" hidden="false" customHeight="true" outlineLevel="0" collapsed="false">
      <c r="A339" s="29" t="str">
        <f aca="false">IF(R339="","",Reconciliation!A340)</f>
        <v/>
      </c>
      <c r="B339" s="30" t="str">
        <f aca="false">IF(R339="","",Reconciliation!B340)</f>
        <v/>
      </c>
      <c r="C339" s="30" t="str">
        <f aca="false">IF(R339="","",Reconciliation!C340)</f>
        <v/>
      </c>
      <c r="D339" s="30" t="str">
        <f aca="false">IF(R339="","",Reconciliation!D340)</f>
        <v/>
      </c>
      <c r="E339" s="31" t="str">
        <f aca="false">IF(R339="","",Reconciliation!E340)</f>
        <v/>
      </c>
      <c r="F339" s="30" t="str">
        <f aca="false">IF(R339="","",Reconciliation!F340)</f>
        <v/>
      </c>
      <c r="G339" s="30" t="str">
        <f aca="false">IF(R339="","",Reconciliation!G340)</f>
        <v/>
      </c>
      <c r="H339" s="30" t="str">
        <f aca="false">IF(R339="","",Reconciliation!H340)</f>
        <v/>
      </c>
      <c r="I339" s="30" t="str">
        <f aca="false">IF(R339="","",Reconciliation!I340)</f>
        <v/>
      </c>
      <c r="J339" s="31" t="str">
        <f aca="false">IF(R339="","",Reconciliation!J340)</f>
        <v/>
      </c>
      <c r="K339" s="30" t="str">
        <f aca="false">IF(R339="","",Reconciliation!K340)</f>
        <v/>
      </c>
      <c r="L339" s="30" t="str">
        <f aca="false">IF(R339="","",Reconciliation!L340)</f>
        <v/>
      </c>
      <c r="M339" s="32" t="str">
        <f aca="false">IF(R339="","",Reconciliation!M340)</f>
        <v/>
      </c>
      <c r="N339" s="32" t="str">
        <f aca="false">IF(R339="","",Reconciliation!N340)</f>
        <v/>
      </c>
      <c r="O339" s="32" t="str">
        <f aca="false">IF(R339="","",Reconciliation!O340)</f>
        <v/>
      </c>
      <c r="P339" s="32" t="str">
        <f aca="false">IF(R339="","",Reconciliation!P340)</f>
        <v/>
      </c>
      <c r="Q339" s="32" t="str">
        <f aca="false">IF(R339="","",Reconciliation!Q340)</f>
        <v/>
      </c>
      <c r="R339" s="33" t="str">
        <f aca="false">IF(OR(Reconciliation!R340="✅ MATCH",Reconciliation!R340=""),"",Reconciliation!R340)</f>
        <v/>
      </c>
    </row>
    <row r="340" customFormat="false" ht="15" hidden="false" customHeight="true" outlineLevel="0" collapsed="false">
      <c r="A340" s="29" t="str">
        <f aca="false">IF(R340="","",Reconciliation!A341)</f>
        <v/>
      </c>
      <c r="B340" s="30" t="str">
        <f aca="false">IF(R340="","",Reconciliation!B341)</f>
        <v/>
      </c>
      <c r="C340" s="30" t="str">
        <f aca="false">IF(R340="","",Reconciliation!C341)</f>
        <v/>
      </c>
      <c r="D340" s="30" t="str">
        <f aca="false">IF(R340="","",Reconciliation!D341)</f>
        <v/>
      </c>
      <c r="E340" s="31" t="str">
        <f aca="false">IF(R340="","",Reconciliation!E341)</f>
        <v/>
      </c>
      <c r="F340" s="30" t="str">
        <f aca="false">IF(R340="","",Reconciliation!F341)</f>
        <v/>
      </c>
      <c r="G340" s="30" t="str">
        <f aca="false">IF(R340="","",Reconciliation!G341)</f>
        <v/>
      </c>
      <c r="H340" s="30" t="str">
        <f aca="false">IF(R340="","",Reconciliation!H341)</f>
        <v/>
      </c>
      <c r="I340" s="30" t="str">
        <f aca="false">IF(R340="","",Reconciliation!I341)</f>
        <v/>
      </c>
      <c r="J340" s="31" t="str">
        <f aca="false">IF(R340="","",Reconciliation!J341)</f>
        <v/>
      </c>
      <c r="K340" s="30" t="str">
        <f aca="false">IF(R340="","",Reconciliation!K341)</f>
        <v/>
      </c>
      <c r="L340" s="30" t="str">
        <f aca="false">IF(R340="","",Reconciliation!L341)</f>
        <v/>
      </c>
      <c r="M340" s="32" t="str">
        <f aca="false">IF(R340="","",Reconciliation!M341)</f>
        <v/>
      </c>
      <c r="N340" s="32" t="str">
        <f aca="false">IF(R340="","",Reconciliation!N341)</f>
        <v/>
      </c>
      <c r="O340" s="32" t="str">
        <f aca="false">IF(R340="","",Reconciliation!O341)</f>
        <v/>
      </c>
      <c r="P340" s="32" t="str">
        <f aca="false">IF(R340="","",Reconciliation!P341)</f>
        <v/>
      </c>
      <c r="Q340" s="32" t="str">
        <f aca="false">IF(R340="","",Reconciliation!Q341)</f>
        <v/>
      </c>
      <c r="R340" s="33" t="str">
        <f aca="false">IF(OR(Reconciliation!R341="✅ MATCH",Reconciliation!R341=""),"",Reconciliation!R341)</f>
        <v/>
      </c>
    </row>
    <row r="341" customFormat="false" ht="15" hidden="false" customHeight="true" outlineLevel="0" collapsed="false">
      <c r="A341" s="29" t="str">
        <f aca="false">IF(R341="","",Reconciliation!A342)</f>
        <v/>
      </c>
      <c r="B341" s="30" t="str">
        <f aca="false">IF(R341="","",Reconciliation!B342)</f>
        <v/>
      </c>
      <c r="C341" s="30" t="str">
        <f aca="false">IF(R341="","",Reconciliation!C342)</f>
        <v/>
      </c>
      <c r="D341" s="30" t="str">
        <f aca="false">IF(R341="","",Reconciliation!D342)</f>
        <v/>
      </c>
      <c r="E341" s="31" t="str">
        <f aca="false">IF(R341="","",Reconciliation!E342)</f>
        <v/>
      </c>
      <c r="F341" s="30" t="str">
        <f aca="false">IF(R341="","",Reconciliation!F342)</f>
        <v/>
      </c>
      <c r="G341" s="30" t="str">
        <f aca="false">IF(R341="","",Reconciliation!G342)</f>
        <v/>
      </c>
      <c r="H341" s="30" t="str">
        <f aca="false">IF(R341="","",Reconciliation!H342)</f>
        <v/>
      </c>
      <c r="I341" s="30" t="str">
        <f aca="false">IF(R341="","",Reconciliation!I342)</f>
        <v/>
      </c>
      <c r="J341" s="31" t="str">
        <f aca="false">IF(R341="","",Reconciliation!J342)</f>
        <v/>
      </c>
      <c r="K341" s="30" t="str">
        <f aca="false">IF(R341="","",Reconciliation!K342)</f>
        <v/>
      </c>
      <c r="L341" s="30" t="str">
        <f aca="false">IF(R341="","",Reconciliation!L342)</f>
        <v/>
      </c>
      <c r="M341" s="32" t="str">
        <f aca="false">IF(R341="","",Reconciliation!M342)</f>
        <v/>
      </c>
      <c r="N341" s="32" t="str">
        <f aca="false">IF(R341="","",Reconciliation!N342)</f>
        <v/>
      </c>
      <c r="O341" s="32" t="str">
        <f aca="false">IF(R341="","",Reconciliation!O342)</f>
        <v/>
      </c>
      <c r="P341" s="32" t="str">
        <f aca="false">IF(R341="","",Reconciliation!P342)</f>
        <v/>
      </c>
      <c r="Q341" s="32" t="str">
        <f aca="false">IF(R341="","",Reconciliation!Q342)</f>
        <v/>
      </c>
      <c r="R341" s="33" t="str">
        <f aca="false">IF(OR(Reconciliation!R342="✅ MATCH",Reconciliation!R342=""),"",Reconciliation!R342)</f>
        <v/>
      </c>
    </row>
    <row r="342" customFormat="false" ht="15" hidden="false" customHeight="true" outlineLevel="0" collapsed="false">
      <c r="A342" s="29" t="str">
        <f aca="false">IF(R342="","",Reconciliation!A343)</f>
        <v/>
      </c>
      <c r="B342" s="30" t="str">
        <f aca="false">IF(R342="","",Reconciliation!B343)</f>
        <v/>
      </c>
      <c r="C342" s="30" t="str">
        <f aca="false">IF(R342="","",Reconciliation!C343)</f>
        <v/>
      </c>
      <c r="D342" s="30" t="str">
        <f aca="false">IF(R342="","",Reconciliation!D343)</f>
        <v/>
      </c>
      <c r="E342" s="31" t="str">
        <f aca="false">IF(R342="","",Reconciliation!E343)</f>
        <v/>
      </c>
      <c r="F342" s="30" t="str">
        <f aca="false">IF(R342="","",Reconciliation!F343)</f>
        <v/>
      </c>
      <c r="G342" s="30" t="str">
        <f aca="false">IF(R342="","",Reconciliation!G343)</f>
        <v/>
      </c>
      <c r="H342" s="30" t="str">
        <f aca="false">IF(R342="","",Reconciliation!H343)</f>
        <v/>
      </c>
      <c r="I342" s="30" t="str">
        <f aca="false">IF(R342="","",Reconciliation!I343)</f>
        <v/>
      </c>
      <c r="J342" s="31" t="str">
        <f aca="false">IF(R342="","",Reconciliation!J343)</f>
        <v/>
      </c>
      <c r="K342" s="30" t="str">
        <f aca="false">IF(R342="","",Reconciliation!K343)</f>
        <v/>
      </c>
      <c r="L342" s="30" t="str">
        <f aca="false">IF(R342="","",Reconciliation!L343)</f>
        <v/>
      </c>
      <c r="M342" s="32" t="str">
        <f aca="false">IF(R342="","",Reconciliation!M343)</f>
        <v/>
      </c>
      <c r="N342" s="32" t="str">
        <f aca="false">IF(R342="","",Reconciliation!N343)</f>
        <v/>
      </c>
      <c r="O342" s="32" t="str">
        <f aca="false">IF(R342="","",Reconciliation!O343)</f>
        <v/>
      </c>
      <c r="P342" s="32" t="str">
        <f aca="false">IF(R342="","",Reconciliation!P343)</f>
        <v/>
      </c>
      <c r="Q342" s="32" t="str">
        <f aca="false">IF(R342="","",Reconciliation!Q343)</f>
        <v/>
      </c>
      <c r="R342" s="33" t="str">
        <f aca="false">IF(OR(Reconciliation!R343="✅ MATCH",Reconciliation!R343=""),"",Reconciliation!R343)</f>
        <v/>
      </c>
    </row>
    <row r="343" customFormat="false" ht="15" hidden="false" customHeight="true" outlineLevel="0" collapsed="false">
      <c r="A343" s="29" t="str">
        <f aca="false">IF(R343="","",Reconciliation!A344)</f>
        <v/>
      </c>
      <c r="B343" s="30" t="str">
        <f aca="false">IF(R343="","",Reconciliation!B344)</f>
        <v/>
      </c>
      <c r="C343" s="30" t="str">
        <f aca="false">IF(R343="","",Reconciliation!C344)</f>
        <v/>
      </c>
      <c r="D343" s="30" t="str">
        <f aca="false">IF(R343="","",Reconciliation!D344)</f>
        <v/>
      </c>
      <c r="E343" s="31" t="str">
        <f aca="false">IF(R343="","",Reconciliation!E344)</f>
        <v/>
      </c>
      <c r="F343" s="30" t="str">
        <f aca="false">IF(R343="","",Reconciliation!F344)</f>
        <v/>
      </c>
      <c r="G343" s="30" t="str">
        <f aca="false">IF(R343="","",Reconciliation!G344)</f>
        <v/>
      </c>
      <c r="H343" s="30" t="str">
        <f aca="false">IF(R343="","",Reconciliation!H344)</f>
        <v/>
      </c>
      <c r="I343" s="30" t="str">
        <f aca="false">IF(R343="","",Reconciliation!I344)</f>
        <v/>
      </c>
      <c r="J343" s="31" t="str">
        <f aca="false">IF(R343="","",Reconciliation!J344)</f>
        <v/>
      </c>
      <c r="K343" s="30" t="str">
        <f aca="false">IF(R343="","",Reconciliation!K344)</f>
        <v/>
      </c>
      <c r="L343" s="30" t="str">
        <f aca="false">IF(R343="","",Reconciliation!L344)</f>
        <v/>
      </c>
      <c r="M343" s="32" t="str">
        <f aca="false">IF(R343="","",Reconciliation!M344)</f>
        <v/>
      </c>
      <c r="N343" s="32" t="str">
        <f aca="false">IF(R343="","",Reconciliation!N344)</f>
        <v/>
      </c>
      <c r="O343" s="32" t="str">
        <f aca="false">IF(R343="","",Reconciliation!O344)</f>
        <v/>
      </c>
      <c r="P343" s="32" t="str">
        <f aca="false">IF(R343="","",Reconciliation!P344)</f>
        <v/>
      </c>
      <c r="Q343" s="32" t="str">
        <f aca="false">IF(R343="","",Reconciliation!Q344)</f>
        <v/>
      </c>
      <c r="R343" s="33" t="str">
        <f aca="false">IF(OR(Reconciliation!R344="✅ MATCH",Reconciliation!R344=""),"",Reconciliation!R344)</f>
        <v/>
      </c>
    </row>
    <row r="344" customFormat="false" ht="15" hidden="false" customHeight="true" outlineLevel="0" collapsed="false">
      <c r="A344" s="29" t="str">
        <f aca="false">IF(R344="","",Reconciliation!A345)</f>
        <v/>
      </c>
      <c r="B344" s="30" t="str">
        <f aca="false">IF(R344="","",Reconciliation!B345)</f>
        <v/>
      </c>
      <c r="C344" s="30" t="str">
        <f aca="false">IF(R344="","",Reconciliation!C345)</f>
        <v/>
      </c>
      <c r="D344" s="30" t="str">
        <f aca="false">IF(R344="","",Reconciliation!D345)</f>
        <v/>
      </c>
      <c r="E344" s="31" t="str">
        <f aca="false">IF(R344="","",Reconciliation!E345)</f>
        <v/>
      </c>
      <c r="F344" s="30" t="str">
        <f aca="false">IF(R344="","",Reconciliation!F345)</f>
        <v/>
      </c>
      <c r="G344" s="30" t="str">
        <f aca="false">IF(R344="","",Reconciliation!G345)</f>
        <v/>
      </c>
      <c r="H344" s="30" t="str">
        <f aca="false">IF(R344="","",Reconciliation!H345)</f>
        <v/>
      </c>
      <c r="I344" s="30" t="str">
        <f aca="false">IF(R344="","",Reconciliation!I345)</f>
        <v/>
      </c>
      <c r="J344" s="31" t="str">
        <f aca="false">IF(R344="","",Reconciliation!J345)</f>
        <v/>
      </c>
      <c r="K344" s="30" t="str">
        <f aca="false">IF(R344="","",Reconciliation!K345)</f>
        <v/>
      </c>
      <c r="L344" s="30" t="str">
        <f aca="false">IF(R344="","",Reconciliation!L345)</f>
        <v/>
      </c>
      <c r="M344" s="32" t="str">
        <f aca="false">IF(R344="","",Reconciliation!M345)</f>
        <v/>
      </c>
      <c r="N344" s="32" t="str">
        <f aca="false">IF(R344="","",Reconciliation!N345)</f>
        <v/>
      </c>
      <c r="O344" s="32" t="str">
        <f aca="false">IF(R344="","",Reconciliation!O345)</f>
        <v/>
      </c>
      <c r="P344" s="32" t="str">
        <f aca="false">IF(R344="","",Reconciliation!P345)</f>
        <v/>
      </c>
      <c r="Q344" s="32" t="str">
        <f aca="false">IF(R344="","",Reconciliation!Q345)</f>
        <v/>
      </c>
      <c r="R344" s="33" t="str">
        <f aca="false">IF(OR(Reconciliation!R345="✅ MATCH",Reconciliation!R345=""),"",Reconciliation!R345)</f>
        <v/>
      </c>
    </row>
    <row r="345" customFormat="false" ht="15" hidden="false" customHeight="true" outlineLevel="0" collapsed="false">
      <c r="A345" s="29" t="str">
        <f aca="false">IF(R345="","",Reconciliation!A346)</f>
        <v/>
      </c>
      <c r="B345" s="30" t="str">
        <f aca="false">IF(R345="","",Reconciliation!B346)</f>
        <v/>
      </c>
      <c r="C345" s="30" t="str">
        <f aca="false">IF(R345="","",Reconciliation!C346)</f>
        <v/>
      </c>
      <c r="D345" s="30" t="str">
        <f aca="false">IF(R345="","",Reconciliation!D346)</f>
        <v/>
      </c>
      <c r="E345" s="31" t="str">
        <f aca="false">IF(R345="","",Reconciliation!E346)</f>
        <v/>
      </c>
      <c r="F345" s="30" t="str">
        <f aca="false">IF(R345="","",Reconciliation!F346)</f>
        <v/>
      </c>
      <c r="G345" s="30" t="str">
        <f aca="false">IF(R345="","",Reconciliation!G346)</f>
        <v/>
      </c>
      <c r="H345" s="30" t="str">
        <f aca="false">IF(R345="","",Reconciliation!H346)</f>
        <v/>
      </c>
      <c r="I345" s="30" t="str">
        <f aca="false">IF(R345="","",Reconciliation!I346)</f>
        <v/>
      </c>
      <c r="J345" s="31" t="str">
        <f aca="false">IF(R345="","",Reconciliation!J346)</f>
        <v/>
      </c>
      <c r="K345" s="30" t="str">
        <f aca="false">IF(R345="","",Reconciliation!K346)</f>
        <v/>
      </c>
      <c r="L345" s="30" t="str">
        <f aca="false">IF(R345="","",Reconciliation!L346)</f>
        <v/>
      </c>
      <c r="M345" s="32" t="str">
        <f aca="false">IF(R345="","",Reconciliation!M346)</f>
        <v/>
      </c>
      <c r="N345" s="32" t="str">
        <f aca="false">IF(R345="","",Reconciliation!N346)</f>
        <v/>
      </c>
      <c r="O345" s="32" t="str">
        <f aca="false">IF(R345="","",Reconciliation!O346)</f>
        <v/>
      </c>
      <c r="P345" s="32" t="str">
        <f aca="false">IF(R345="","",Reconciliation!P346)</f>
        <v/>
      </c>
      <c r="Q345" s="32" t="str">
        <f aca="false">IF(R345="","",Reconciliation!Q346)</f>
        <v/>
      </c>
      <c r="R345" s="33" t="str">
        <f aca="false">IF(OR(Reconciliation!R346="✅ MATCH",Reconciliation!R346=""),"",Reconciliation!R346)</f>
        <v/>
      </c>
    </row>
    <row r="346" customFormat="false" ht="15" hidden="false" customHeight="true" outlineLevel="0" collapsed="false">
      <c r="A346" s="29" t="str">
        <f aca="false">IF(R346="","",Reconciliation!A347)</f>
        <v/>
      </c>
      <c r="B346" s="30" t="str">
        <f aca="false">IF(R346="","",Reconciliation!B347)</f>
        <v/>
      </c>
      <c r="C346" s="30" t="str">
        <f aca="false">IF(R346="","",Reconciliation!C347)</f>
        <v/>
      </c>
      <c r="D346" s="30" t="str">
        <f aca="false">IF(R346="","",Reconciliation!D347)</f>
        <v/>
      </c>
      <c r="E346" s="31" t="str">
        <f aca="false">IF(R346="","",Reconciliation!E347)</f>
        <v/>
      </c>
      <c r="F346" s="30" t="str">
        <f aca="false">IF(R346="","",Reconciliation!F347)</f>
        <v/>
      </c>
      <c r="G346" s="30" t="str">
        <f aca="false">IF(R346="","",Reconciliation!G347)</f>
        <v/>
      </c>
      <c r="H346" s="30" t="str">
        <f aca="false">IF(R346="","",Reconciliation!H347)</f>
        <v/>
      </c>
      <c r="I346" s="30" t="str">
        <f aca="false">IF(R346="","",Reconciliation!I347)</f>
        <v/>
      </c>
      <c r="J346" s="31" t="str">
        <f aca="false">IF(R346="","",Reconciliation!J347)</f>
        <v/>
      </c>
      <c r="K346" s="30" t="str">
        <f aca="false">IF(R346="","",Reconciliation!K347)</f>
        <v/>
      </c>
      <c r="L346" s="30" t="str">
        <f aca="false">IF(R346="","",Reconciliation!L347)</f>
        <v/>
      </c>
      <c r="M346" s="32" t="str">
        <f aca="false">IF(R346="","",Reconciliation!M347)</f>
        <v/>
      </c>
      <c r="N346" s="32" t="str">
        <f aca="false">IF(R346="","",Reconciliation!N347)</f>
        <v/>
      </c>
      <c r="O346" s="32" t="str">
        <f aca="false">IF(R346="","",Reconciliation!O347)</f>
        <v/>
      </c>
      <c r="P346" s="32" t="str">
        <f aca="false">IF(R346="","",Reconciliation!P347)</f>
        <v/>
      </c>
      <c r="Q346" s="32" t="str">
        <f aca="false">IF(R346="","",Reconciliation!Q347)</f>
        <v/>
      </c>
      <c r="R346" s="33" t="str">
        <f aca="false">IF(OR(Reconciliation!R347="✅ MATCH",Reconciliation!R347=""),"",Reconciliation!R347)</f>
        <v/>
      </c>
    </row>
    <row r="347" customFormat="false" ht="15" hidden="false" customHeight="true" outlineLevel="0" collapsed="false">
      <c r="A347" s="29" t="str">
        <f aca="false">IF(R347="","",Reconciliation!A348)</f>
        <v/>
      </c>
      <c r="B347" s="30" t="str">
        <f aca="false">IF(R347="","",Reconciliation!B348)</f>
        <v/>
      </c>
      <c r="C347" s="30" t="str">
        <f aca="false">IF(R347="","",Reconciliation!C348)</f>
        <v/>
      </c>
      <c r="D347" s="30" t="str">
        <f aca="false">IF(R347="","",Reconciliation!D348)</f>
        <v/>
      </c>
      <c r="E347" s="31" t="str">
        <f aca="false">IF(R347="","",Reconciliation!E348)</f>
        <v/>
      </c>
      <c r="F347" s="30" t="str">
        <f aca="false">IF(R347="","",Reconciliation!F348)</f>
        <v/>
      </c>
      <c r="G347" s="30" t="str">
        <f aca="false">IF(R347="","",Reconciliation!G348)</f>
        <v/>
      </c>
      <c r="H347" s="30" t="str">
        <f aca="false">IF(R347="","",Reconciliation!H348)</f>
        <v/>
      </c>
      <c r="I347" s="30" t="str">
        <f aca="false">IF(R347="","",Reconciliation!I348)</f>
        <v/>
      </c>
      <c r="J347" s="31" t="str">
        <f aca="false">IF(R347="","",Reconciliation!J348)</f>
        <v/>
      </c>
      <c r="K347" s="30" t="str">
        <f aca="false">IF(R347="","",Reconciliation!K348)</f>
        <v/>
      </c>
      <c r="L347" s="30" t="str">
        <f aca="false">IF(R347="","",Reconciliation!L348)</f>
        <v/>
      </c>
      <c r="M347" s="32" t="str">
        <f aca="false">IF(R347="","",Reconciliation!M348)</f>
        <v/>
      </c>
      <c r="N347" s="32" t="str">
        <f aca="false">IF(R347="","",Reconciliation!N348)</f>
        <v/>
      </c>
      <c r="O347" s="32" t="str">
        <f aca="false">IF(R347="","",Reconciliation!O348)</f>
        <v/>
      </c>
      <c r="P347" s="32" t="str">
        <f aca="false">IF(R347="","",Reconciliation!P348)</f>
        <v/>
      </c>
      <c r="Q347" s="32" t="str">
        <f aca="false">IF(R347="","",Reconciliation!Q348)</f>
        <v/>
      </c>
      <c r="R347" s="33" t="str">
        <f aca="false">IF(OR(Reconciliation!R348="✅ MATCH",Reconciliation!R348=""),"",Reconciliation!R348)</f>
        <v/>
      </c>
    </row>
    <row r="348" customFormat="false" ht="15" hidden="false" customHeight="true" outlineLevel="0" collapsed="false">
      <c r="A348" s="29" t="str">
        <f aca="false">IF(R348="","",Reconciliation!A349)</f>
        <v/>
      </c>
      <c r="B348" s="30" t="str">
        <f aca="false">IF(R348="","",Reconciliation!B349)</f>
        <v/>
      </c>
      <c r="C348" s="30" t="str">
        <f aca="false">IF(R348="","",Reconciliation!C349)</f>
        <v/>
      </c>
      <c r="D348" s="30" t="str">
        <f aca="false">IF(R348="","",Reconciliation!D349)</f>
        <v/>
      </c>
      <c r="E348" s="31" t="str">
        <f aca="false">IF(R348="","",Reconciliation!E349)</f>
        <v/>
      </c>
      <c r="F348" s="30" t="str">
        <f aca="false">IF(R348="","",Reconciliation!F349)</f>
        <v/>
      </c>
      <c r="G348" s="30" t="str">
        <f aca="false">IF(R348="","",Reconciliation!G349)</f>
        <v/>
      </c>
      <c r="H348" s="30" t="str">
        <f aca="false">IF(R348="","",Reconciliation!H349)</f>
        <v/>
      </c>
      <c r="I348" s="30" t="str">
        <f aca="false">IF(R348="","",Reconciliation!I349)</f>
        <v/>
      </c>
      <c r="J348" s="31" t="str">
        <f aca="false">IF(R348="","",Reconciliation!J349)</f>
        <v/>
      </c>
      <c r="K348" s="30" t="str">
        <f aca="false">IF(R348="","",Reconciliation!K349)</f>
        <v/>
      </c>
      <c r="L348" s="30" t="str">
        <f aca="false">IF(R348="","",Reconciliation!L349)</f>
        <v/>
      </c>
      <c r="M348" s="32" t="str">
        <f aca="false">IF(R348="","",Reconciliation!M349)</f>
        <v/>
      </c>
      <c r="N348" s="32" t="str">
        <f aca="false">IF(R348="","",Reconciliation!N349)</f>
        <v/>
      </c>
      <c r="O348" s="32" t="str">
        <f aca="false">IF(R348="","",Reconciliation!O349)</f>
        <v/>
      </c>
      <c r="P348" s="32" t="str">
        <f aca="false">IF(R348="","",Reconciliation!P349)</f>
        <v/>
      </c>
      <c r="Q348" s="32" t="str">
        <f aca="false">IF(R348="","",Reconciliation!Q349)</f>
        <v/>
      </c>
      <c r="R348" s="33" t="str">
        <f aca="false">IF(OR(Reconciliation!R349="✅ MATCH",Reconciliation!R349=""),"",Reconciliation!R349)</f>
        <v/>
      </c>
    </row>
    <row r="349" customFormat="false" ht="15" hidden="false" customHeight="true" outlineLevel="0" collapsed="false">
      <c r="A349" s="29" t="str">
        <f aca="false">IF(R349="","",Reconciliation!A350)</f>
        <v/>
      </c>
      <c r="B349" s="30" t="str">
        <f aca="false">IF(R349="","",Reconciliation!B350)</f>
        <v/>
      </c>
      <c r="C349" s="30" t="str">
        <f aca="false">IF(R349="","",Reconciliation!C350)</f>
        <v/>
      </c>
      <c r="D349" s="30" t="str">
        <f aca="false">IF(R349="","",Reconciliation!D350)</f>
        <v/>
      </c>
      <c r="E349" s="31" t="str">
        <f aca="false">IF(R349="","",Reconciliation!E350)</f>
        <v/>
      </c>
      <c r="F349" s="30" t="str">
        <f aca="false">IF(R349="","",Reconciliation!F350)</f>
        <v/>
      </c>
      <c r="G349" s="30" t="str">
        <f aca="false">IF(R349="","",Reconciliation!G350)</f>
        <v/>
      </c>
      <c r="H349" s="30" t="str">
        <f aca="false">IF(R349="","",Reconciliation!H350)</f>
        <v/>
      </c>
      <c r="I349" s="30" t="str">
        <f aca="false">IF(R349="","",Reconciliation!I350)</f>
        <v/>
      </c>
      <c r="J349" s="31" t="str">
        <f aca="false">IF(R349="","",Reconciliation!J350)</f>
        <v/>
      </c>
      <c r="K349" s="30" t="str">
        <f aca="false">IF(R349="","",Reconciliation!K350)</f>
        <v/>
      </c>
      <c r="L349" s="30" t="str">
        <f aca="false">IF(R349="","",Reconciliation!L350)</f>
        <v/>
      </c>
      <c r="M349" s="32" t="str">
        <f aca="false">IF(R349="","",Reconciliation!M350)</f>
        <v/>
      </c>
      <c r="N349" s="32" t="str">
        <f aca="false">IF(R349="","",Reconciliation!N350)</f>
        <v/>
      </c>
      <c r="O349" s="32" t="str">
        <f aca="false">IF(R349="","",Reconciliation!O350)</f>
        <v/>
      </c>
      <c r="P349" s="32" t="str">
        <f aca="false">IF(R349="","",Reconciliation!P350)</f>
        <v/>
      </c>
      <c r="Q349" s="32" t="str">
        <f aca="false">IF(R349="","",Reconciliation!Q350)</f>
        <v/>
      </c>
      <c r="R349" s="33" t="str">
        <f aca="false">IF(OR(Reconciliation!R350="✅ MATCH",Reconciliation!R350=""),"",Reconciliation!R350)</f>
        <v/>
      </c>
    </row>
    <row r="350" customFormat="false" ht="15" hidden="false" customHeight="true" outlineLevel="0" collapsed="false">
      <c r="A350" s="29" t="str">
        <f aca="false">IF(R350="","",Reconciliation!A351)</f>
        <v/>
      </c>
      <c r="B350" s="30" t="str">
        <f aca="false">IF(R350="","",Reconciliation!B351)</f>
        <v/>
      </c>
      <c r="C350" s="30" t="str">
        <f aca="false">IF(R350="","",Reconciliation!C351)</f>
        <v/>
      </c>
      <c r="D350" s="30" t="str">
        <f aca="false">IF(R350="","",Reconciliation!D351)</f>
        <v/>
      </c>
      <c r="E350" s="31" t="str">
        <f aca="false">IF(R350="","",Reconciliation!E351)</f>
        <v/>
      </c>
      <c r="F350" s="30" t="str">
        <f aca="false">IF(R350="","",Reconciliation!F351)</f>
        <v/>
      </c>
      <c r="G350" s="30" t="str">
        <f aca="false">IF(R350="","",Reconciliation!G351)</f>
        <v/>
      </c>
      <c r="H350" s="30" t="str">
        <f aca="false">IF(R350="","",Reconciliation!H351)</f>
        <v/>
      </c>
      <c r="I350" s="30" t="str">
        <f aca="false">IF(R350="","",Reconciliation!I351)</f>
        <v/>
      </c>
      <c r="J350" s="31" t="str">
        <f aca="false">IF(R350="","",Reconciliation!J351)</f>
        <v/>
      </c>
      <c r="K350" s="30" t="str">
        <f aca="false">IF(R350="","",Reconciliation!K351)</f>
        <v/>
      </c>
      <c r="L350" s="30" t="str">
        <f aca="false">IF(R350="","",Reconciliation!L351)</f>
        <v/>
      </c>
      <c r="M350" s="32" t="str">
        <f aca="false">IF(R350="","",Reconciliation!M351)</f>
        <v/>
      </c>
      <c r="N350" s="32" t="str">
        <f aca="false">IF(R350="","",Reconciliation!N351)</f>
        <v/>
      </c>
      <c r="O350" s="32" t="str">
        <f aca="false">IF(R350="","",Reconciliation!O351)</f>
        <v/>
      </c>
      <c r="P350" s="32" t="str">
        <f aca="false">IF(R350="","",Reconciliation!P351)</f>
        <v/>
      </c>
      <c r="Q350" s="32" t="str">
        <f aca="false">IF(R350="","",Reconciliation!Q351)</f>
        <v/>
      </c>
      <c r="R350" s="33" t="str">
        <f aca="false">IF(OR(Reconciliation!R351="✅ MATCH",Reconciliation!R351=""),"",Reconciliation!R351)</f>
        <v/>
      </c>
    </row>
    <row r="351" customFormat="false" ht="15" hidden="false" customHeight="true" outlineLevel="0" collapsed="false">
      <c r="A351" s="29" t="str">
        <f aca="false">IF(R351="","",Reconciliation!A352)</f>
        <v/>
      </c>
      <c r="B351" s="30" t="str">
        <f aca="false">IF(R351="","",Reconciliation!B352)</f>
        <v/>
      </c>
      <c r="C351" s="30" t="str">
        <f aca="false">IF(R351="","",Reconciliation!C352)</f>
        <v/>
      </c>
      <c r="D351" s="30" t="str">
        <f aca="false">IF(R351="","",Reconciliation!D352)</f>
        <v/>
      </c>
      <c r="E351" s="31" t="str">
        <f aca="false">IF(R351="","",Reconciliation!E352)</f>
        <v/>
      </c>
      <c r="F351" s="30" t="str">
        <f aca="false">IF(R351="","",Reconciliation!F352)</f>
        <v/>
      </c>
      <c r="G351" s="30" t="str">
        <f aca="false">IF(R351="","",Reconciliation!G352)</f>
        <v/>
      </c>
      <c r="H351" s="30" t="str">
        <f aca="false">IF(R351="","",Reconciliation!H352)</f>
        <v/>
      </c>
      <c r="I351" s="30" t="str">
        <f aca="false">IF(R351="","",Reconciliation!I352)</f>
        <v/>
      </c>
      <c r="J351" s="31" t="str">
        <f aca="false">IF(R351="","",Reconciliation!J352)</f>
        <v/>
      </c>
      <c r="K351" s="30" t="str">
        <f aca="false">IF(R351="","",Reconciliation!K352)</f>
        <v/>
      </c>
      <c r="L351" s="30" t="str">
        <f aca="false">IF(R351="","",Reconciliation!L352)</f>
        <v/>
      </c>
      <c r="M351" s="32" t="str">
        <f aca="false">IF(R351="","",Reconciliation!M352)</f>
        <v/>
      </c>
      <c r="N351" s="32" t="str">
        <f aca="false">IF(R351="","",Reconciliation!N352)</f>
        <v/>
      </c>
      <c r="O351" s="32" t="str">
        <f aca="false">IF(R351="","",Reconciliation!O352)</f>
        <v/>
      </c>
      <c r="P351" s="32" t="str">
        <f aca="false">IF(R351="","",Reconciliation!P352)</f>
        <v/>
      </c>
      <c r="Q351" s="32" t="str">
        <f aca="false">IF(R351="","",Reconciliation!Q352)</f>
        <v/>
      </c>
      <c r="R351" s="33" t="str">
        <f aca="false">IF(OR(Reconciliation!R352="✅ MATCH",Reconciliation!R352=""),"",Reconciliation!R352)</f>
        <v/>
      </c>
    </row>
    <row r="352" customFormat="false" ht="15" hidden="false" customHeight="true" outlineLevel="0" collapsed="false">
      <c r="A352" s="29" t="str">
        <f aca="false">IF(R352="","",Reconciliation!A353)</f>
        <v/>
      </c>
      <c r="B352" s="30" t="str">
        <f aca="false">IF(R352="","",Reconciliation!B353)</f>
        <v/>
      </c>
      <c r="C352" s="30" t="str">
        <f aca="false">IF(R352="","",Reconciliation!C353)</f>
        <v/>
      </c>
      <c r="D352" s="30" t="str">
        <f aca="false">IF(R352="","",Reconciliation!D353)</f>
        <v/>
      </c>
      <c r="E352" s="31" t="str">
        <f aca="false">IF(R352="","",Reconciliation!E353)</f>
        <v/>
      </c>
      <c r="F352" s="30" t="str">
        <f aca="false">IF(R352="","",Reconciliation!F353)</f>
        <v/>
      </c>
      <c r="G352" s="30" t="str">
        <f aca="false">IF(R352="","",Reconciliation!G353)</f>
        <v/>
      </c>
      <c r="H352" s="30" t="str">
        <f aca="false">IF(R352="","",Reconciliation!H353)</f>
        <v/>
      </c>
      <c r="I352" s="30" t="str">
        <f aca="false">IF(R352="","",Reconciliation!I353)</f>
        <v/>
      </c>
      <c r="J352" s="31" t="str">
        <f aca="false">IF(R352="","",Reconciliation!J353)</f>
        <v/>
      </c>
      <c r="K352" s="30" t="str">
        <f aca="false">IF(R352="","",Reconciliation!K353)</f>
        <v/>
      </c>
      <c r="L352" s="30" t="str">
        <f aca="false">IF(R352="","",Reconciliation!L353)</f>
        <v/>
      </c>
      <c r="M352" s="32" t="str">
        <f aca="false">IF(R352="","",Reconciliation!M353)</f>
        <v/>
      </c>
      <c r="N352" s="32" t="str">
        <f aca="false">IF(R352="","",Reconciliation!N353)</f>
        <v/>
      </c>
      <c r="O352" s="32" t="str">
        <f aca="false">IF(R352="","",Reconciliation!O353)</f>
        <v/>
      </c>
      <c r="P352" s="32" t="str">
        <f aca="false">IF(R352="","",Reconciliation!P353)</f>
        <v/>
      </c>
      <c r="Q352" s="32" t="str">
        <f aca="false">IF(R352="","",Reconciliation!Q353)</f>
        <v/>
      </c>
      <c r="R352" s="33" t="str">
        <f aca="false">IF(OR(Reconciliation!R353="✅ MATCH",Reconciliation!R353=""),"",Reconciliation!R353)</f>
        <v/>
      </c>
    </row>
    <row r="353" customFormat="false" ht="15" hidden="false" customHeight="true" outlineLevel="0" collapsed="false">
      <c r="A353" s="29" t="str">
        <f aca="false">IF(R353="","",Reconciliation!A354)</f>
        <v/>
      </c>
      <c r="B353" s="30" t="str">
        <f aca="false">IF(R353="","",Reconciliation!B354)</f>
        <v/>
      </c>
      <c r="C353" s="30" t="str">
        <f aca="false">IF(R353="","",Reconciliation!C354)</f>
        <v/>
      </c>
      <c r="D353" s="30" t="str">
        <f aca="false">IF(R353="","",Reconciliation!D354)</f>
        <v/>
      </c>
      <c r="E353" s="31" t="str">
        <f aca="false">IF(R353="","",Reconciliation!E354)</f>
        <v/>
      </c>
      <c r="F353" s="30" t="str">
        <f aca="false">IF(R353="","",Reconciliation!F354)</f>
        <v/>
      </c>
      <c r="G353" s="30" t="str">
        <f aca="false">IF(R353="","",Reconciliation!G354)</f>
        <v/>
      </c>
      <c r="H353" s="30" t="str">
        <f aca="false">IF(R353="","",Reconciliation!H354)</f>
        <v/>
      </c>
      <c r="I353" s="30" t="str">
        <f aca="false">IF(R353="","",Reconciliation!I354)</f>
        <v/>
      </c>
      <c r="J353" s="31" t="str">
        <f aca="false">IF(R353="","",Reconciliation!J354)</f>
        <v/>
      </c>
      <c r="K353" s="30" t="str">
        <f aca="false">IF(R353="","",Reconciliation!K354)</f>
        <v/>
      </c>
      <c r="L353" s="30" t="str">
        <f aca="false">IF(R353="","",Reconciliation!L354)</f>
        <v/>
      </c>
      <c r="M353" s="32" t="str">
        <f aca="false">IF(R353="","",Reconciliation!M354)</f>
        <v/>
      </c>
      <c r="N353" s="32" t="str">
        <f aca="false">IF(R353="","",Reconciliation!N354)</f>
        <v/>
      </c>
      <c r="O353" s="32" t="str">
        <f aca="false">IF(R353="","",Reconciliation!O354)</f>
        <v/>
      </c>
      <c r="P353" s="32" t="str">
        <f aca="false">IF(R353="","",Reconciliation!P354)</f>
        <v/>
      </c>
      <c r="Q353" s="32" t="str">
        <f aca="false">IF(R353="","",Reconciliation!Q354)</f>
        <v/>
      </c>
      <c r="R353" s="33" t="str">
        <f aca="false">IF(OR(Reconciliation!R354="✅ MATCH",Reconciliation!R354=""),"",Reconciliation!R354)</f>
        <v/>
      </c>
    </row>
    <row r="354" customFormat="false" ht="15" hidden="false" customHeight="true" outlineLevel="0" collapsed="false">
      <c r="A354" s="29" t="str">
        <f aca="false">IF(R354="","",Reconciliation!A355)</f>
        <v/>
      </c>
      <c r="B354" s="30" t="str">
        <f aca="false">IF(R354="","",Reconciliation!B355)</f>
        <v/>
      </c>
      <c r="C354" s="30" t="str">
        <f aca="false">IF(R354="","",Reconciliation!C355)</f>
        <v/>
      </c>
      <c r="D354" s="30" t="str">
        <f aca="false">IF(R354="","",Reconciliation!D355)</f>
        <v/>
      </c>
      <c r="E354" s="31" t="str">
        <f aca="false">IF(R354="","",Reconciliation!E355)</f>
        <v/>
      </c>
      <c r="F354" s="30" t="str">
        <f aca="false">IF(R354="","",Reconciliation!F355)</f>
        <v/>
      </c>
      <c r="G354" s="30" t="str">
        <f aca="false">IF(R354="","",Reconciliation!G355)</f>
        <v/>
      </c>
      <c r="H354" s="30" t="str">
        <f aca="false">IF(R354="","",Reconciliation!H355)</f>
        <v/>
      </c>
      <c r="I354" s="30" t="str">
        <f aca="false">IF(R354="","",Reconciliation!I355)</f>
        <v/>
      </c>
      <c r="J354" s="31" t="str">
        <f aca="false">IF(R354="","",Reconciliation!J355)</f>
        <v/>
      </c>
      <c r="K354" s="30" t="str">
        <f aca="false">IF(R354="","",Reconciliation!K355)</f>
        <v/>
      </c>
      <c r="L354" s="30" t="str">
        <f aca="false">IF(R354="","",Reconciliation!L355)</f>
        <v/>
      </c>
      <c r="M354" s="32" t="str">
        <f aca="false">IF(R354="","",Reconciliation!M355)</f>
        <v/>
      </c>
      <c r="N354" s="32" t="str">
        <f aca="false">IF(R354="","",Reconciliation!N355)</f>
        <v/>
      </c>
      <c r="O354" s="32" t="str">
        <f aca="false">IF(R354="","",Reconciliation!O355)</f>
        <v/>
      </c>
      <c r="P354" s="32" t="str">
        <f aca="false">IF(R354="","",Reconciliation!P355)</f>
        <v/>
      </c>
      <c r="Q354" s="32" t="str">
        <f aca="false">IF(R354="","",Reconciliation!Q355)</f>
        <v/>
      </c>
      <c r="R354" s="33" t="str">
        <f aca="false">IF(OR(Reconciliation!R355="✅ MATCH",Reconciliation!R355=""),"",Reconciliation!R355)</f>
        <v/>
      </c>
    </row>
    <row r="355" customFormat="false" ht="15" hidden="false" customHeight="true" outlineLevel="0" collapsed="false">
      <c r="A355" s="29" t="str">
        <f aca="false">IF(R355="","",Reconciliation!A356)</f>
        <v/>
      </c>
      <c r="B355" s="30" t="str">
        <f aca="false">IF(R355="","",Reconciliation!B356)</f>
        <v/>
      </c>
      <c r="C355" s="30" t="str">
        <f aca="false">IF(R355="","",Reconciliation!C356)</f>
        <v/>
      </c>
      <c r="D355" s="30" t="str">
        <f aca="false">IF(R355="","",Reconciliation!D356)</f>
        <v/>
      </c>
      <c r="E355" s="31" t="str">
        <f aca="false">IF(R355="","",Reconciliation!E356)</f>
        <v/>
      </c>
      <c r="F355" s="30" t="str">
        <f aca="false">IF(R355="","",Reconciliation!F356)</f>
        <v/>
      </c>
      <c r="G355" s="30" t="str">
        <f aca="false">IF(R355="","",Reconciliation!G356)</f>
        <v/>
      </c>
      <c r="H355" s="30" t="str">
        <f aca="false">IF(R355="","",Reconciliation!H356)</f>
        <v/>
      </c>
      <c r="I355" s="30" t="str">
        <f aca="false">IF(R355="","",Reconciliation!I356)</f>
        <v/>
      </c>
      <c r="J355" s="31" t="str">
        <f aca="false">IF(R355="","",Reconciliation!J356)</f>
        <v/>
      </c>
      <c r="K355" s="30" t="str">
        <f aca="false">IF(R355="","",Reconciliation!K356)</f>
        <v/>
      </c>
      <c r="L355" s="30" t="str">
        <f aca="false">IF(R355="","",Reconciliation!L356)</f>
        <v/>
      </c>
      <c r="M355" s="32" t="str">
        <f aca="false">IF(R355="","",Reconciliation!M356)</f>
        <v/>
      </c>
      <c r="N355" s="32" t="str">
        <f aca="false">IF(R355="","",Reconciliation!N356)</f>
        <v/>
      </c>
      <c r="O355" s="32" t="str">
        <f aca="false">IF(R355="","",Reconciliation!O356)</f>
        <v/>
      </c>
      <c r="P355" s="32" t="str">
        <f aca="false">IF(R355="","",Reconciliation!P356)</f>
        <v/>
      </c>
      <c r="Q355" s="32" t="str">
        <f aca="false">IF(R355="","",Reconciliation!Q356)</f>
        <v/>
      </c>
      <c r="R355" s="33" t="str">
        <f aca="false">IF(OR(Reconciliation!R356="✅ MATCH",Reconciliation!R356=""),"",Reconciliation!R356)</f>
        <v/>
      </c>
    </row>
    <row r="356" customFormat="false" ht="15" hidden="false" customHeight="true" outlineLevel="0" collapsed="false">
      <c r="A356" s="29" t="str">
        <f aca="false">IF(R356="","",Reconciliation!A357)</f>
        <v/>
      </c>
      <c r="B356" s="30" t="str">
        <f aca="false">IF(R356="","",Reconciliation!B357)</f>
        <v/>
      </c>
      <c r="C356" s="30" t="str">
        <f aca="false">IF(R356="","",Reconciliation!C357)</f>
        <v/>
      </c>
      <c r="D356" s="30" t="str">
        <f aca="false">IF(R356="","",Reconciliation!D357)</f>
        <v/>
      </c>
      <c r="E356" s="31" t="str">
        <f aca="false">IF(R356="","",Reconciliation!E357)</f>
        <v/>
      </c>
      <c r="F356" s="30" t="str">
        <f aca="false">IF(R356="","",Reconciliation!F357)</f>
        <v/>
      </c>
      <c r="G356" s="30" t="str">
        <f aca="false">IF(R356="","",Reconciliation!G357)</f>
        <v/>
      </c>
      <c r="H356" s="30" t="str">
        <f aca="false">IF(R356="","",Reconciliation!H357)</f>
        <v/>
      </c>
      <c r="I356" s="30" t="str">
        <f aca="false">IF(R356="","",Reconciliation!I357)</f>
        <v/>
      </c>
      <c r="J356" s="31" t="str">
        <f aca="false">IF(R356="","",Reconciliation!J357)</f>
        <v/>
      </c>
      <c r="K356" s="30" t="str">
        <f aca="false">IF(R356="","",Reconciliation!K357)</f>
        <v/>
      </c>
      <c r="L356" s="30" t="str">
        <f aca="false">IF(R356="","",Reconciliation!L357)</f>
        <v/>
      </c>
      <c r="M356" s="32" t="str">
        <f aca="false">IF(R356="","",Reconciliation!M357)</f>
        <v/>
      </c>
      <c r="N356" s="32" t="str">
        <f aca="false">IF(R356="","",Reconciliation!N357)</f>
        <v/>
      </c>
      <c r="O356" s="32" t="str">
        <f aca="false">IF(R356="","",Reconciliation!O357)</f>
        <v/>
      </c>
      <c r="P356" s="32" t="str">
        <f aca="false">IF(R356="","",Reconciliation!P357)</f>
        <v/>
      </c>
      <c r="Q356" s="32" t="str">
        <f aca="false">IF(R356="","",Reconciliation!Q357)</f>
        <v/>
      </c>
      <c r="R356" s="33" t="str">
        <f aca="false">IF(OR(Reconciliation!R357="✅ MATCH",Reconciliation!R357=""),"",Reconciliation!R357)</f>
        <v/>
      </c>
    </row>
    <row r="357" customFormat="false" ht="15" hidden="false" customHeight="true" outlineLevel="0" collapsed="false">
      <c r="A357" s="29" t="str">
        <f aca="false">IF(R357="","",Reconciliation!A358)</f>
        <v/>
      </c>
      <c r="B357" s="30" t="str">
        <f aca="false">IF(R357="","",Reconciliation!B358)</f>
        <v/>
      </c>
      <c r="C357" s="30" t="str">
        <f aca="false">IF(R357="","",Reconciliation!C358)</f>
        <v/>
      </c>
      <c r="D357" s="30" t="str">
        <f aca="false">IF(R357="","",Reconciliation!D358)</f>
        <v/>
      </c>
      <c r="E357" s="31" t="str">
        <f aca="false">IF(R357="","",Reconciliation!E358)</f>
        <v/>
      </c>
      <c r="F357" s="30" t="str">
        <f aca="false">IF(R357="","",Reconciliation!F358)</f>
        <v/>
      </c>
      <c r="G357" s="30" t="str">
        <f aca="false">IF(R357="","",Reconciliation!G358)</f>
        <v/>
      </c>
      <c r="H357" s="30" t="str">
        <f aca="false">IF(R357="","",Reconciliation!H358)</f>
        <v/>
      </c>
      <c r="I357" s="30" t="str">
        <f aca="false">IF(R357="","",Reconciliation!I358)</f>
        <v/>
      </c>
      <c r="J357" s="31" t="str">
        <f aca="false">IF(R357="","",Reconciliation!J358)</f>
        <v/>
      </c>
      <c r="K357" s="30" t="str">
        <f aca="false">IF(R357="","",Reconciliation!K358)</f>
        <v/>
      </c>
      <c r="L357" s="30" t="str">
        <f aca="false">IF(R357="","",Reconciliation!L358)</f>
        <v/>
      </c>
      <c r="M357" s="32" t="str">
        <f aca="false">IF(R357="","",Reconciliation!M358)</f>
        <v/>
      </c>
      <c r="N357" s="32" t="str">
        <f aca="false">IF(R357="","",Reconciliation!N358)</f>
        <v/>
      </c>
      <c r="O357" s="32" t="str">
        <f aca="false">IF(R357="","",Reconciliation!O358)</f>
        <v/>
      </c>
      <c r="P357" s="32" t="str">
        <f aca="false">IF(R357="","",Reconciliation!P358)</f>
        <v/>
      </c>
      <c r="Q357" s="32" t="str">
        <f aca="false">IF(R357="","",Reconciliation!Q358)</f>
        <v/>
      </c>
      <c r="R357" s="33" t="str">
        <f aca="false">IF(OR(Reconciliation!R358="✅ MATCH",Reconciliation!R358=""),"",Reconciliation!R358)</f>
        <v/>
      </c>
    </row>
    <row r="358" customFormat="false" ht="15" hidden="false" customHeight="true" outlineLevel="0" collapsed="false">
      <c r="A358" s="29" t="str">
        <f aca="false">IF(R358="","",Reconciliation!A359)</f>
        <v/>
      </c>
      <c r="B358" s="30" t="str">
        <f aca="false">IF(R358="","",Reconciliation!B359)</f>
        <v/>
      </c>
      <c r="C358" s="30" t="str">
        <f aca="false">IF(R358="","",Reconciliation!C359)</f>
        <v/>
      </c>
      <c r="D358" s="30" t="str">
        <f aca="false">IF(R358="","",Reconciliation!D359)</f>
        <v/>
      </c>
      <c r="E358" s="31" t="str">
        <f aca="false">IF(R358="","",Reconciliation!E359)</f>
        <v/>
      </c>
      <c r="F358" s="30" t="str">
        <f aca="false">IF(R358="","",Reconciliation!F359)</f>
        <v/>
      </c>
      <c r="G358" s="30" t="str">
        <f aca="false">IF(R358="","",Reconciliation!G359)</f>
        <v/>
      </c>
      <c r="H358" s="30" t="str">
        <f aca="false">IF(R358="","",Reconciliation!H359)</f>
        <v/>
      </c>
      <c r="I358" s="30" t="str">
        <f aca="false">IF(R358="","",Reconciliation!I359)</f>
        <v/>
      </c>
      <c r="J358" s="31" t="str">
        <f aca="false">IF(R358="","",Reconciliation!J359)</f>
        <v/>
      </c>
      <c r="K358" s="30" t="str">
        <f aca="false">IF(R358="","",Reconciliation!K359)</f>
        <v/>
      </c>
      <c r="L358" s="30" t="str">
        <f aca="false">IF(R358="","",Reconciliation!L359)</f>
        <v/>
      </c>
      <c r="M358" s="32" t="str">
        <f aca="false">IF(R358="","",Reconciliation!M359)</f>
        <v/>
      </c>
      <c r="N358" s="32" t="str">
        <f aca="false">IF(R358="","",Reconciliation!N359)</f>
        <v/>
      </c>
      <c r="O358" s="32" t="str">
        <f aca="false">IF(R358="","",Reconciliation!O359)</f>
        <v/>
      </c>
      <c r="P358" s="32" t="str">
        <f aca="false">IF(R358="","",Reconciliation!P359)</f>
        <v/>
      </c>
      <c r="Q358" s="32" t="str">
        <f aca="false">IF(R358="","",Reconciliation!Q359)</f>
        <v/>
      </c>
      <c r="R358" s="33" t="str">
        <f aca="false">IF(OR(Reconciliation!R359="✅ MATCH",Reconciliation!R359=""),"",Reconciliation!R359)</f>
        <v/>
      </c>
    </row>
    <row r="359" customFormat="false" ht="15" hidden="false" customHeight="true" outlineLevel="0" collapsed="false">
      <c r="A359" s="29" t="str">
        <f aca="false">IF(R359="","",Reconciliation!A360)</f>
        <v/>
      </c>
      <c r="B359" s="30" t="str">
        <f aca="false">IF(R359="","",Reconciliation!B360)</f>
        <v/>
      </c>
      <c r="C359" s="30" t="str">
        <f aca="false">IF(R359="","",Reconciliation!C360)</f>
        <v/>
      </c>
      <c r="D359" s="30" t="str">
        <f aca="false">IF(R359="","",Reconciliation!D360)</f>
        <v/>
      </c>
      <c r="E359" s="31" t="str">
        <f aca="false">IF(R359="","",Reconciliation!E360)</f>
        <v/>
      </c>
      <c r="F359" s="30" t="str">
        <f aca="false">IF(R359="","",Reconciliation!F360)</f>
        <v/>
      </c>
      <c r="G359" s="30" t="str">
        <f aca="false">IF(R359="","",Reconciliation!G360)</f>
        <v/>
      </c>
      <c r="H359" s="30" t="str">
        <f aca="false">IF(R359="","",Reconciliation!H360)</f>
        <v/>
      </c>
      <c r="I359" s="30" t="str">
        <f aca="false">IF(R359="","",Reconciliation!I360)</f>
        <v/>
      </c>
      <c r="J359" s="31" t="str">
        <f aca="false">IF(R359="","",Reconciliation!J360)</f>
        <v/>
      </c>
      <c r="K359" s="30" t="str">
        <f aca="false">IF(R359="","",Reconciliation!K360)</f>
        <v/>
      </c>
      <c r="L359" s="30" t="str">
        <f aca="false">IF(R359="","",Reconciliation!L360)</f>
        <v/>
      </c>
      <c r="M359" s="32" t="str">
        <f aca="false">IF(R359="","",Reconciliation!M360)</f>
        <v/>
      </c>
      <c r="N359" s="32" t="str">
        <f aca="false">IF(R359="","",Reconciliation!N360)</f>
        <v/>
      </c>
      <c r="O359" s="32" t="str">
        <f aca="false">IF(R359="","",Reconciliation!O360)</f>
        <v/>
      </c>
      <c r="P359" s="32" t="str">
        <f aca="false">IF(R359="","",Reconciliation!P360)</f>
        <v/>
      </c>
      <c r="Q359" s="32" t="str">
        <f aca="false">IF(R359="","",Reconciliation!Q360)</f>
        <v/>
      </c>
      <c r="R359" s="33" t="str">
        <f aca="false">IF(OR(Reconciliation!R360="✅ MATCH",Reconciliation!R360=""),"",Reconciliation!R360)</f>
        <v/>
      </c>
    </row>
    <row r="360" customFormat="false" ht="15" hidden="false" customHeight="true" outlineLevel="0" collapsed="false">
      <c r="A360" s="29" t="str">
        <f aca="false">IF(R360="","",Reconciliation!A361)</f>
        <v/>
      </c>
      <c r="B360" s="30" t="str">
        <f aca="false">IF(R360="","",Reconciliation!B361)</f>
        <v/>
      </c>
      <c r="C360" s="30" t="str">
        <f aca="false">IF(R360="","",Reconciliation!C361)</f>
        <v/>
      </c>
      <c r="D360" s="30" t="str">
        <f aca="false">IF(R360="","",Reconciliation!D361)</f>
        <v/>
      </c>
      <c r="E360" s="31" t="str">
        <f aca="false">IF(R360="","",Reconciliation!E361)</f>
        <v/>
      </c>
      <c r="F360" s="30" t="str">
        <f aca="false">IF(R360="","",Reconciliation!F361)</f>
        <v/>
      </c>
      <c r="G360" s="30" t="str">
        <f aca="false">IF(R360="","",Reconciliation!G361)</f>
        <v/>
      </c>
      <c r="H360" s="30" t="str">
        <f aca="false">IF(R360="","",Reconciliation!H361)</f>
        <v/>
      </c>
      <c r="I360" s="30" t="str">
        <f aca="false">IF(R360="","",Reconciliation!I361)</f>
        <v/>
      </c>
      <c r="J360" s="31" t="str">
        <f aca="false">IF(R360="","",Reconciliation!J361)</f>
        <v/>
      </c>
      <c r="K360" s="30" t="str">
        <f aca="false">IF(R360="","",Reconciliation!K361)</f>
        <v/>
      </c>
      <c r="L360" s="30" t="str">
        <f aca="false">IF(R360="","",Reconciliation!L361)</f>
        <v/>
      </c>
      <c r="M360" s="32" t="str">
        <f aca="false">IF(R360="","",Reconciliation!M361)</f>
        <v/>
      </c>
      <c r="N360" s="32" t="str">
        <f aca="false">IF(R360="","",Reconciliation!N361)</f>
        <v/>
      </c>
      <c r="O360" s="32" t="str">
        <f aca="false">IF(R360="","",Reconciliation!O361)</f>
        <v/>
      </c>
      <c r="P360" s="32" t="str">
        <f aca="false">IF(R360="","",Reconciliation!P361)</f>
        <v/>
      </c>
      <c r="Q360" s="32" t="str">
        <f aca="false">IF(R360="","",Reconciliation!Q361)</f>
        <v/>
      </c>
      <c r="R360" s="33" t="str">
        <f aca="false">IF(OR(Reconciliation!R361="✅ MATCH",Reconciliation!R361=""),"",Reconciliation!R361)</f>
        <v/>
      </c>
    </row>
    <row r="361" customFormat="false" ht="15" hidden="false" customHeight="true" outlineLevel="0" collapsed="false">
      <c r="A361" s="29" t="str">
        <f aca="false">IF(R361="","",Reconciliation!A362)</f>
        <v/>
      </c>
      <c r="B361" s="30" t="str">
        <f aca="false">IF(R361="","",Reconciliation!B362)</f>
        <v/>
      </c>
      <c r="C361" s="30" t="str">
        <f aca="false">IF(R361="","",Reconciliation!C362)</f>
        <v/>
      </c>
      <c r="D361" s="30" t="str">
        <f aca="false">IF(R361="","",Reconciliation!D362)</f>
        <v/>
      </c>
      <c r="E361" s="31" t="str">
        <f aca="false">IF(R361="","",Reconciliation!E362)</f>
        <v/>
      </c>
      <c r="F361" s="30" t="str">
        <f aca="false">IF(R361="","",Reconciliation!F362)</f>
        <v/>
      </c>
      <c r="G361" s="30" t="str">
        <f aca="false">IF(R361="","",Reconciliation!G362)</f>
        <v/>
      </c>
      <c r="H361" s="30" t="str">
        <f aca="false">IF(R361="","",Reconciliation!H362)</f>
        <v/>
      </c>
      <c r="I361" s="30" t="str">
        <f aca="false">IF(R361="","",Reconciliation!I362)</f>
        <v/>
      </c>
      <c r="J361" s="31" t="str">
        <f aca="false">IF(R361="","",Reconciliation!J362)</f>
        <v/>
      </c>
      <c r="K361" s="30" t="str">
        <f aca="false">IF(R361="","",Reconciliation!K362)</f>
        <v/>
      </c>
      <c r="L361" s="30" t="str">
        <f aca="false">IF(R361="","",Reconciliation!L362)</f>
        <v/>
      </c>
      <c r="M361" s="32" t="str">
        <f aca="false">IF(R361="","",Reconciliation!M362)</f>
        <v/>
      </c>
      <c r="N361" s="32" t="str">
        <f aca="false">IF(R361="","",Reconciliation!N362)</f>
        <v/>
      </c>
      <c r="O361" s="32" t="str">
        <f aca="false">IF(R361="","",Reconciliation!O362)</f>
        <v/>
      </c>
      <c r="P361" s="32" t="str">
        <f aca="false">IF(R361="","",Reconciliation!P362)</f>
        <v/>
      </c>
      <c r="Q361" s="32" t="str">
        <f aca="false">IF(R361="","",Reconciliation!Q362)</f>
        <v/>
      </c>
      <c r="R361" s="33" t="str">
        <f aca="false">IF(OR(Reconciliation!R362="✅ MATCH",Reconciliation!R362=""),"",Reconciliation!R362)</f>
        <v/>
      </c>
    </row>
    <row r="362" customFormat="false" ht="15" hidden="false" customHeight="true" outlineLevel="0" collapsed="false">
      <c r="A362" s="29" t="str">
        <f aca="false">IF(R362="","",Reconciliation!A363)</f>
        <v/>
      </c>
      <c r="B362" s="30" t="str">
        <f aca="false">IF(R362="","",Reconciliation!B363)</f>
        <v/>
      </c>
      <c r="C362" s="30" t="str">
        <f aca="false">IF(R362="","",Reconciliation!C363)</f>
        <v/>
      </c>
      <c r="D362" s="30" t="str">
        <f aca="false">IF(R362="","",Reconciliation!D363)</f>
        <v/>
      </c>
      <c r="E362" s="31" t="str">
        <f aca="false">IF(R362="","",Reconciliation!E363)</f>
        <v/>
      </c>
      <c r="F362" s="30" t="str">
        <f aca="false">IF(R362="","",Reconciliation!F363)</f>
        <v/>
      </c>
      <c r="G362" s="30" t="str">
        <f aca="false">IF(R362="","",Reconciliation!G363)</f>
        <v/>
      </c>
      <c r="H362" s="30" t="str">
        <f aca="false">IF(R362="","",Reconciliation!H363)</f>
        <v/>
      </c>
      <c r="I362" s="30" t="str">
        <f aca="false">IF(R362="","",Reconciliation!I363)</f>
        <v/>
      </c>
      <c r="J362" s="31" t="str">
        <f aca="false">IF(R362="","",Reconciliation!J363)</f>
        <v/>
      </c>
      <c r="K362" s="30" t="str">
        <f aca="false">IF(R362="","",Reconciliation!K363)</f>
        <v/>
      </c>
      <c r="L362" s="30" t="str">
        <f aca="false">IF(R362="","",Reconciliation!L363)</f>
        <v/>
      </c>
      <c r="M362" s="32" t="str">
        <f aca="false">IF(R362="","",Reconciliation!M363)</f>
        <v/>
      </c>
      <c r="N362" s="32" t="str">
        <f aca="false">IF(R362="","",Reconciliation!N363)</f>
        <v/>
      </c>
      <c r="O362" s="32" t="str">
        <f aca="false">IF(R362="","",Reconciliation!O363)</f>
        <v/>
      </c>
      <c r="P362" s="32" t="str">
        <f aca="false">IF(R362="","",Reconciliation!P363)</f>
        <v/>
      </c>
      <c r="Q362" s="32" t="str">
        <f aca="false">IF(R362="","",Reconciliation!Q363)</f>
        <v/>
      </c>
      <c r="R362" s="33" t="str">
        <f aca="false">IF(OR(Reconciliation!R363="✅ MATCH",Reconciliation!R363=""),"",Reconciliation!R363)</f>
        <v/>
      </c>
    </row>
    <row r="363" customFormat="false" ht="15" hidden="false" customHeight="true" outlineLevel="0" collapsed="false">
      <c r="A363" s="29" t="str">
        <f aca="false">IF(R363="","",Reconciliation!A364)</f>
        <v/>
      </c>
      <c r="B363" s="30" t="str">
        <f aca="false">IF(R363="","",Reconciliation!B364)</f>
        <v/>
      </c>
      <c r="C363" s="30" t="str">
        <f aca="false">IF(R363="","",Reconciliation!C364)</f>
        <v/>
      </c>
      <c r="D363" s="30" t="str">
        <f aca="false">IF(R363="","",Reconciliation!D364)</f>
        <v/>
      </c>
      <c r="E363" s="31" t="str">
        <f aca="false">IF(R363="","",Reconciliation!E364)</f>
        <v/>
      </c>
      <c r="F363" s="30" t="str">
        <f aca="false">IF(R363="","",Reconciliation!F364)</f>
        <v/>
      </c>
      <c r="G363" s="30" t="str">
        <f aca="false">IF(R363="","",Reconciliation!G364)</f>
        <v/>
      </c>
      <c r="H363" s="30" t="str">
        <f aca="false">IF(R363="","",Reconciliation!H364)</f>
        <v/>
      </c>
      <c r="I363" s="30" t="str">
        <f aca="false">IF(R363="","",Reconciliation!I364)</f>
        <v/>
      </c>
      <c r="J363" s="31" t="str">
        <f aca="false">IF(R363="","",Reconciliation!J364)</f>
        <v/>
      </c>
      <c r="K363" s="30" t="str">
        <f aca="false">IF(R363="","",Reconciliation!K364)</f>
        <v/>
      </c>
      <c r="L363" s="30" t="str">
        <f aca="false">IF(R363="","",Reconciliation!L364)</f>
        <v/>
      </c>
      <c r="M363" s="32" t="str">
        <f aca="false">IF(R363="","",Reconciliation!M364)</f>
        <v/>
      </c>
      <c r="N363" s="32" t="str">
        <f aca="false">IF(R363="","",Reconciliation!N364)</f>
        <v/>
      </c>
      <c r="O363" s="32" t="str">
        <f aca="false">IF(R363="","",Reconciliation!O364)</f>
        <v/>
      </c>
      <c r="P363" s="32" t="str">
        <f aca="false">IF(R363="","",Reconciliation!P364)</f>
        <v/>
      </c>
      <c r="Q363" s="32" t="str">
        <f aca="false">IF(R363="","",Reconciliation!Q364)</f>
        <v/>
      </c>
      <c r="R363" s="33" t="str">
        <f aca="false">IF(OR(Reconciliation!R364="✅ MATCH",Reconciliation!R364=""),"",Reconciliation!R364)</f>
        <v/>
      </c>
    </row>
    <row r="364" customFormat="false" ht="15" hidden="false" customHeight="true" outlineLevel="0" collapsed="false">
      <c r="A364" s="29" t="str">
        <f aca="false">IF(R364="","",Reconciliation!A365)</f>
        <v/>
      </c>
      <c r="B364" s="30" t="str">
        <f aca="false">IF(R364="","",Reconciliation!B365)</f>
        <v/>
      </c>
      <c r="C364" s="30" t="str">
        <f aca="false">IF(R364="","",Reconciliation!C365)</f>
        <v/>
      </c>
      <c r="D364" s="30" t="str">
        <f aca="false">IF(R364="","",Reconciliation!D365)</f>
        <v/>
      </c>
      <c r="E364" s="31" t="str">
        <f aca="false">IF(R364="","",Reconciliation!E365)</f>
        <v/>
      </c>
      <c r="F364" s="30" t="str">
        <f aca="false">IF(R364="","",Reconciliation!F365)</f>
        <v/>
      </c>
      <c r="G364" s="30" t="str">
        <f aca="false">IF(R364="","",Reconciliation!G365)</f>
        <v/>
      </c>
      <c r="H364" s="30" t="str">
        <f aca="false">IF(R364="","",Reconciliation!H365)</f>
        <v/>
      </c>
      <c r="I364" s="30" t="str">
        <f aca="false">IF(R364="","",Reconciliation!I365)</f>
        <v/>
      </c>
      <c r="J364" s="31" t="str">
        <f aca="false">IF(R364="","",Reconciliation!J365)</f>
        <v/>
      </c>
      <c r="K364" s="30" t="str">
        <f aca="false">IF(R364="","",Reconciliation!K365)</f>
        <v/>
      </c>
      <c r="L364" s="30" t="str">
        <f aca="false">IF(R364="","",Reconciliation!L365)</f>
        <v/>
      </c>
      <c r="M364" s="32" t="str">
        <f aca="false">IF(R364="","",Reconciliation!M365)</f>
        <v/>
      </c>
      <c r="N364" s="32" t="str">
        <f aca="false">IF(R364="","",Reconciliation!N365)</f>
        <v/>
      </c>
      <c r="O364" s="32" t="str">
        <f aca="false">IF(R364="","",Reconciliation!O365)</f>
        <v/>
      </c>
      <c r="P364" s="32" t="str">
        <f aca="false">IF(R364="","",Reconciliation!P365)</f>
        <v/>
      </c>
      <c r="Q364" s="32" t="str">
        <f aca="false">IF(R364="","",Reconciliation!Q365)</f>
        <v/>
      </c>
      <c r="R364" s="33" t="str">
        <f aca="false">IF(OR(Reconciliation!R365="✅ MATCH",Reconciliation!R365=""),"",Reconciliation!R365)</f>
        <v/>
      </c>
    </row>
    <row r="365" customFormat="false" ht="15" hidden="false" customHeight="true" outlineLevel="0" collapsed="false">
      <c r="A365" s="29" t="str">
        <f aca="false">IF(R365="","",Reconciliation!A366)</f>
        <v/>
      </c>
      <c r="B365" s="30" t="str">
        <f aca="false">IF(R365="","",Reconciliation!B366)</f>
        <v/>
      </c>
      <c r="C365" s="30" t="str">
        <f aca="false">IF(R365="","",Reconciliation!C366)</f>
        <v/>
      </c>
      <c r="D365" s="30" t="str">
        <f aca="false">IF(R365="","",Reconciliation!D366)</f>
        <v/>
      </c>
      <c r="E365" s="31" t="str">
        <f aca="false">IF(R365="","",Reconciliation!E366)</f>
        <v/>
      </c>
      <c r="F365" s="30" t="str">
        <f aca="false">IF(R365="","",Reconciliation!F366)</f>
        <v/>
      </c>
      <c r="G365" s="30" t="str">
        <f aca="false">IF(R365="","",Reconciliation!G366)</f>
        <v/>
      </c>
      <c r="H365" s="30" t="str">
        <f aca="false">IF(R365="","",Reconciliation!H366)</f>
        <v/>
      </c>
      <c r="I365" s="30" t="str">
        <f aca="false">IF(R365="","",Reconciliation!I366)</f>
        <v/>
      </c>
      <c r="J365" s="31" t="str">
        <f aca="false">IF(R365="","",Reconciliation!J366)</f>
        <v/>
      </c>
      <c r="K365" s="30" t="str">
        <f aca="false">IF(R365="","",Reconciliation!K366)</f>
        <v/>
      </c>
      <c r="L365" s="30" t="str">
        <f aca="false">IF(R365="","",Reconciliation!L366)</f>
        <v/>
      </c>
      <c r="M365" s="32" t="str">
        <f aca="false">IF(R365="","",Reconciliation!M366)</f>
        <v/>
      </c>
      <c r="N365" s="32" t="str">
        <f aca="false">IF(R365="","",Reconciliation!N366)</f>
        <v/>
      </c>
      <c r="O365" s="32" t="str">
        <f aca="false">IF(R365="","",Reconciliation!O366)</f>
        <v/>
      </c>
      <c r="P365" s="32" t="str">
        <f aca="false">IF(R365="","",Reconciliation!P366)</f>
        <v/>
      </c>
      <c r="Q365" s="32" t="str">
        <f aca="false">IF(R365="","",Reconciliation!Q366)</f>
        <v/>
      </c>
      <c r="R365" s="33" t="str">
        <f aca="false">IF(OR(Reconciliation!R366="✅ MATCH",Reconciliation!R366=""),"",Reconciliation!R366)</f>
        <v/>
      </c>
    </row>
    <row r="366" customFormat="false" ht="15" hidden="false" customHeight="true" outlineLevel="0" collapsed="false">
      <c r="A366" s="29" t="str">
        <f aca="false">IF(R366="","",Reconciliation!A367)</f>
        <v/>
      </c>
      <c r="B366" s="30" t="str">
        <f aca="false">IF(R366="","",Reconciliation!B367)</f>
        <v/>
      </c>
      <c r="C366" s="30" t="str">
        <f aca="false">IF(R366="","",Reconciliation!C367)</f>
        <v/>
      </c>
      <c r="D366" s="30" t="str">
        <f aca="false">IF(R366="","",Reconciliation!D367)</f>
        <v/>
      </c>
      <c r="E366" s="31" t="str">
        <f aca="false">IF(R366="","",Reconciliation!E367)</f>
        <v/>
      </c>
      <c r="F366" s="30" t="str">
        <f aca="false">IF(R366="","",Reconciliation!F367)</f>
        <v/>
      </c>
      <c r="G366" s="30" t="str">
        <f aca="false">IF(R366="","",Reconciliation!G367)</f>
        <v/>
      </c>
      <c r="H366" s="30" t="str">
        <f aca="false">IF(R366="","",Reconciliation!H367)</f>
        <v/>
      </c>
      <c r="I366" s="30" t="str">
        <f aca="false">IF(R366="","",Reconciliation!I367)</f>
        <v/>
      </c>
      <c r="J366" s="31" t="str">
        <f aca="false">IF(R366="","",Reconciliation!J367)</f>
        <v/>
      </c>
      <c r="K366" s="30" t="str">
        <f aca="false">IF(R366="","",Reconciliation!K367)</f>
        <v/>
      </c>
      <c r="L366" s="30" t="str">
        <f aca="false">IF(R366="","",Reconciliation!L367)</f>
        <v/>
      </c>
      <c r="M366" s="32" t="str">
        <f aca="false">IF(R366="","",Reconciliation!M367)</f>
        <v/>
      </c>
      <c r="N366" s="32" t="str">
        <f aca="false">IF(R366="","",Reconciliation!N367)</f>
        <v/>
      </c>
      <c r="O366" s="32" t="str">
        <f aca="false">IF(R366="","",Reconciliation!O367)</f>
        <v/>
      </c>
      <c r="P366" s="32" t="str">
        <f aca="false">IF(R366="","",Reconciliation!P367)</f>
        <v/>
      </c>
      <c r="Q366" s="32" t="str">
        <f aca="false">IF(R366="","",Reconciliation!Q367)</f>
        <v/>
      </c>
      <c r="R366" s="33" t="str">
        <f aca="false">IF(OR(Reconciliation!R367="✅ MATCH",Reconciliation!R367=""),"",Reconciliation!R367)</f>
        <v/>
      </c>
    </row>
    <row r="367" customFormat="false" ht="15" hidden="false" customHeight="true" outlineLevel="0" collapsed="false">
      <c r="A367" s="29" t="str">
        <f aca="false">IF(R367="","",Reconciliation!A368)</f>
        <v/>
      </c>
      <c r="B367" s="30" t="str">
        <f aca="false">IF(R367="","",Reconciliation!B368)</f>
        <v/>
      </c>
      <c r="C367" s="30" t="str">
        <f aca="false">IF(R367="","",Reconciliation!C368)</f>
        <v/>
      </c>
      <c r="D367" s="30" t="str">
        <f aca="false">IF(R367="","",Reconciliation!D368)</f>
        <v/>
      </c>
      <c r="E367" s="31" t="str">
        <f aca="false">IF(R367="","",Reconciliation!E368)</f>
        <v/>
      </c>
      <c r="F367" s="30" t="str">
        <f aca="false">IF(R367="","",Reconciliation!F368)</f>
        <v/>
      </c>
      <c r="G367" s="30" t="str">
        <f aca="false">IF(R367="","",Reconciliation!G368)</f>
        <v/>
      </c>
      <c r="H367" s="30" t="str">
        <f aca="false">IF(R367="","",Reconciliation!H368)</f>
        <v/>
      </c>
      <c r="I367" s="30" t="str">
        <f aca="false">IF(R367="","",Reconciliation!I368)</f>
        <v/>
      </c>
      <c r="J367" s="31" t="str">
        <f aca="false">IF(R367="","",Reconciliation!J368)</f>
        <v/>
      </c>
      <c r="K367" s="30" t="str">
        <f aca="false">IF(R367="","",Reconciliation!K368)</f>
        <v/>
      </c>
      <c r="L367" s="30" t="str">
        <f aca="false">IF(R367="","",Reconciliation!L368)</f>
        <v/>
      </c>
      <c r="M367" s="32" t="str">
        <f aca="false">IF(R367="","",Reconciliation!M368)</f>
        <v/>
      </c>
      <c r="N367" s="32" t="str">
        <f aca="false">IF(R367="","",Reconciliation!N368)</f>
        <v/>
      </c>
      <c r="O367" s="32" t="str">
        <f aca="false">IF(R367="","",Reconciliation!O368)</f>
        <v/>
      </c>
      <c r="P367" s="32" t="str">
        <f aca="false">IF(R367="","",Reconciliation!P368)</f>
        <v/>
      </c>
      <c r="Q367" s="32" t="str">
        <f aca="false">IF(R367="","",Reconciliation!Q368)</f>
        <v/>
      </c>
      <c r="R367" s="33" t="str">
        <f aca="false">IF(OR(Reconciliation!R368="✅ MATCH",Reconciliation!R368=""),"",Reconciliation!R368)</f>
        <v/>
      </c>
    </row>
    <row r="368" customFormat="false" ht="15" hidden="false" customHeight="true" outlineLevel="0" collapsed="false">
      <c r="A368" s="29" t="str">
        <f aca="false">IF(R368="","",Reconciliation!A369)</f>
        <v/>
      </c>
      <c r="B368" s="30" t="str">
        <f aca="false">IF(R368="","",Reconciliation!B369)</f>
        <v/>
      </c>
      <c r="C368" s="30" t="str">
        <f aca="false">IF(R368="","",Reconciliation!C369)</f>
        <v/>
      </c>
      <c r="D368" s="30" t="str">
        <f aca="false">IF(R368="","",Reconciliation!D369)</f>
        <v/>
      </c>
      <c r="E368" s="31" t="str">
        <f aca="false">IF(R368="","",Reconciliation!E369)</f>
        <v/>
      </c>
      <c r="F368" s="30" t="str">
        <f aca="false">IF(R368="","",Reconciliation!F369)</f>
        <v/>
      </c>
      <c r="G368" s="30" t="str">
        <f aca="false">IF(R368="","",Reconciliation!G369)</f>
        <v/>
      </c>
      <c r="H368" s="30" t="str">
        <f aca="false">IF(R368="","",Reconciliation!H369)</f>
        <v/>
      </c>
      <c r="I368" s="30" t="str">
        <f aca="false">IF(R368="","",Reconciliation!I369)</f>
        <v/>
      </c>
      <c r="J368" s="31" t="str">
        <f aca="false">IF(R368="","",Reconciliation!J369)</f>
        <v/>
      </c>
      <c r="K368" s="30" t="str">
        <f aca="false">IF(R368="","",Reconciliation!K369)</f>
        <v/>
      </c>
      <c r="L368" s="30" t="str">
        <f aca="false">IF(R368="","",Reconciliation!L369)</f>
        <v/>
      </c>
      <c r="M368" s="32" t="str">
        <f aca="false">IF(R368="","",Reconciliation!M369)</f>
        <v/>
      </c>
      <c r="N368" s="32" t="str">
        <f aca="false">IF(R368="","",Reconciliation!N369)</f>
        <v/>
      </c>
      <c r="O368" s="32" t="str">
        <f aca="false">IF(R368="","",Reconciliation!O369)</f>
        <v/>
      </c>
      <c r="P368" s="32" t="str">
        <f aca="false">IF(R368="","",Reconciliation!P369)</f>
        <v/>
      </c>
      <c r="Q368" s="32" t="str">
        <f aca="false">IF(R368="","",Reconciliation!Q369)</f>
        <v/>
      </c>
      <c r="R368" s="33" t="str">
        <f aca="false">IF(OR(Reconciliation!R369="✅ MATCH",Reconciliation!R369=""),"",Reconciliation!R369)</f>
        <v/>
      </c>
    </row>
    <row r="369" customFormat="false" ht="15" hidden="false" customHeight="true" outlineLevel="0" collapsed="false">
      <c r="A369" s="29" t="str">
        <f aca="false">IF(R369="","",Reconciliation!A370)</f>
        <v/>
      </c>
      <c r="B369" s="30" t="str">
        <f aca="false">IF(R369="","",Reconciliation!B370)</f>
        <v/>
      </c>
      <c r="C369" s="30" t="str">
        <f aca="false">IF(R369="","",Reconciliation!C370)</f>
        <v/>
      </c>
      <c r="D369" s="30" t="str">
        <f aca="false">IF(R369="","",Reconciliation!D370)</f>
        <v/>
      </c>
      <c r="E369" s="31" t="str">
        <f aca="false">IF(R369="","",Reconciliation!E370)</f>
        <v/>
      </c>
      <c r="F369" s="30" t="str">
        <f aca="false">IF(R369="","",Reconciliation!F370)</f>
        <v/>
      </c>
      <c r="G369" s="30" t="str">
        <f aca="false">IF(R369="","",Reconciliation!G370)</f>
        <v/>
      </c>
      <c r="H369" s="30" t="str">
        <f aca="false">IF(R369="","",Reconciliation!H370)</f>
        <v/>
      </c>
      <c r="I369" s="30" t="str">
        <f aca="false">IF(R369="","",Reconciliation!I370)</f>
        <v/>
      </c>
      <c r="J369" s="31" t="str">
        <f aca="false">IF(R369="","",Reconciliation!J370)</f>
        <v/>
      </c>
      <c r="K369" s="30" t="str">
        <f aca="false">IF(R369="","",Reconciliation!K370)</f>
        <v/>
      </c>
      <c r="L369" s="30" t="str">
        <f aca="false">IF(R369="","",Reconciliation!L370)</f>
        <v/>
      </c>
      <c r="M369" s="32" t="str">
        <f aca="false">IF(R369="","",Reconciliation!M370)</f>
        <v/>
      </c>
      <c r="N369" s="32" t="str">
        <f aca="false">IF(R369="","",Reconciliation!N370)</f>
        <v/>
      </c>
      <c r="O369" s="32" t="str">
        <f aca="false">IF(R369="","",Reconciliation!O370)</f>
        <v/>
      </c>
      <c r="P369" s="32" t="str">
        <f aca="false">IF(R369="","",Reconciliation!P370)</f>
        <v/>
      </c>
      <c r="Q369" s="32" t="str">
        <f aca="false">IF(R369="","",Reconciliation!Q370)</f>
        <v/>
      </c>
      <c r="R369" s="33" t="str">
        <f aca="false">IF(OR(Reconciliation!R370="✅ MATCH",Reconciliation!R370=""),"",Reconciliation!R370)</f>
        <v/>
      </c>
    </row>
    <row r="370" customFormat="false" ht="15" hidden="false" customHeight="true" outlineLevel="0" collapsed="false">
      <c r="A370" s="29" t="str">
        <f aca="false">IF(R370="","",Reconciliation!A371)</f>
        <v/>
      </c>
      <c r="B370" s="30" t="str">
        <f aca="false">IF(R370="","",Reconciliation!B371)</f>
        <v/>
      </c>
      <c r="C370" s="30" t="str">
        <f aca="false">IF(R370="","",Reconciliation!C371)</f>
        <v/>
      </c>
      <c r="D370" s="30" t="str">
        <f aca="false">IF(R370="","",Reconciliation!D371)</f>
        <v/>
      </c>
      <c r="E370" s="31" t="str">
        <f aca="false">IF(R370="","",Reconciliation!E371)</f>
        <v/>
      </c>
      <c r="F370" s="30" t="str">
        <f aca="false">IF(R370="","",Reconciliation!F371)</f>
        <v/>
      </c>
      <c r="G370" s="30" t="str">
        <f aca="false">IF(R370="","",Reconciliation!G371)</f>
        <v/>
      </c>
      <c r="H370" s="30" t="str">
        <f aca="false">IF(R370="","",Reconciliation!H371)</f>
        <v/>
      </c>
      <c r="I370" s="30" t="str">
        <f aca="false">IF(R370="","",Reconciliation!I371)</f>
        <v/>
      </c>
      <c r="J370" s="31" t="str">
        <f aca="false">IF(R370="","",Reconciliation!J371)</f>
        <v/>
      </c>
      <c r="K370" s="30" t="str">
        <f aca="false">IF(R370="","",Reconciliation!K371)</f>
        <v/>
      </c>
      <c r="L370" s="30" t="str">
        <f aca="false">IF(R370="","",Reconciliation!L371)</f>
        <v/>
      </c>
      <c r="M370" s="32" t="str">
        <f aca="false">IF(R370="","",Reconciliation!M371)</f>
        <v/>
      </c>
      <c r="N370" s="32" t="str">
        <f aca="false">IF(R370="","",Reconciliation!N371)</f>
        <v/>
      </c>
      <c r="O370" s="32" t="str">
        <f aca="false">IF(R370="","",Reconciliation!O371)</f>
        <v/>
      </c>
      <c r="P370" s="32" t="str">
        <f aca="false">IF(R370="","",Reconciliation!P371)</f>
        <v/>
      </c>
      <c r="Q370" s="32" t="str">
        <f aca="false">IF(R370="","",Reconciliation!Q371)</f>
        <v/>
      </c>
      <c r="R370" s="33" t="str">
        <f aca="false">IF(OR(Reconciliation!R371="✅ MATCH",Reconciliation!R371=""),"",Reconciliation!R371)</f>
        <v/>
      </c>
    </row>
    <row r="371" customFormat="false" ht="15" hidden="false" customHeight="true" outlineLevel="0" collapsed="false">
      <c r="A371" s="29" t="str">
        <f aca="false">IF(R371="","",Reconciliation!A372)</f>
        <v/>
      </c>
      <c r="B371" s="30" t="str">
        <f aca="false">IF(R371="","",Reconciliation!B372)</f>
        <v/>
      </c>
      <c r="C371" s="30" t="str">
        <f aca="false">IF(R371="","",Reconciliation!C372)</f>
        <v/>
      </c>
      <c r="D371" s="30" t="str">
        <f aca="false">IF(R371="","",Reconciliation!D372)</f>
        <v/>
      </c>
      <c r="E371" s="31" t="str">
        <f aca="false">IF(R371="","",Reconciliation!E372)</f>
        <v/>
      </c>
      <c r="F371" s="30" t="str">
        <f aca="false">IF(R371="","",Reconciliation!F372)</f>
        <v/>
      </c>
      <c r="G371" s="30" t="str">
        <f aca="false">IF(R371="","",Reconciliation!G372)</f>
        <v/>
      </c>
      <c r="H371" s="30" t="str">
        <f aca="false">IF(R371="","",Reconciliation!H372)</f>
        <v/>
      </c>
      <c r="I371" s="30" t="str">
        <f aca="false">IF(R371="","",Reconciliation!I372)</f>
        <v/>
      </c>
      <c r="J371" s="31" t="str">
        <f aca="false">IF(R371="","",Reconciliation!J372)</f>
        <v/>
      </c>
      <c r="K371" s="30" t="str">
        <f aca="false">IF(R371="","",Reconciliation!K372)</f>
        <v/>
      </c>
      <c r="L371" s="30" t="str">
        <f aca="false">IF(R371="","",Reconciliation!L372)</f>
        <v/>
      </c>
      <c r="M371" s="32" t="str">
        <f aca="false">IF(R371="","",Reconciliation!M372)</f>
        <v/>
      </c>
      <c r="N371" s="32" t="str">
        <f aca="false">IF(R371="","",Reconciliation!N372)</f>
        <v/>
      </c>
      <c r="O371" s="32" t="str">
        <f aca="false">IF(R371="","",Reconciliation!O372)</f>
        <v/>
      </c>
      <c r="P371" s="32" t="str">
        <f aca="false">IF(R371="","",Reconciliation!P372)</f>
        <v/>
      </c>
      <c r="Q371" s="32" t="str">
        <f aca="false">IF(R371="","",Reconciliation!Q372)</f>
        <v/>
      </c>
      <c r="R371" s="33" t="str">
        <f aca="false">IF(OR(Reconciliation!R372="✅ MATCH",Reconciliation!R372=""),"",Reconciliation!R372)</f>
        <v/>
      </c>
    </row>
    <row r="372" customFormat="false" ht="15" hidden="false" customHeight="true" outlineLevel="0" collapsed="false">
      <c r="A372" s="29" t="str">
        <f aca="false">IF(R372="","",Reconciliation!A373)</f>
        <v/>
      </c>
      <c r="B372" s="30" t="str">
        <f aca="false">IF(R372="","",Reconciliation!B373)</f>
        <v/>
      </c>
      <c r="C372" s="30" t="str">
        <f aca="false">IF(R372="","",Reconciliation!C373)</f>
        <v/>
      </c>
      <c r="D372" s="30" t="str">
        <f aca="false">IF(R372="","",Reconciliation!D373)</f>
        <v/>
      </c>
      <c r="E372" s="31" t="str">
        <f aca="false">IF(R372="","",Reconciliation!E373)</f>
        <v/>
      </c>
      <c r="F372" s="30" t="str">
        <f aca="false">IF(R372="","",Reconciliation!F373)</f>
        <v/>
      </c>
      <c r="G372" s="30" t="str">
        <f aca="false">IF(R372="","",Reconciliation!G373)</f>
        <v/>
      </c>
      <c r="H372" s="30" t="str">
        <f aca="false">IF(R372="","",Reconciliation!H373)</f>
        <v/>
      </c>
      <c r="I372" s="30" t="str">
        <f aca="false">IF(R372="","",Reconciliation!I373)</f>
        <v/>
      </c>
      <c r="J372" s="31" t="str">
        <f aca="false">IF(R372="","",Reconciliation!J373)</f>
        <v/>
      </c>
      <c r="K372" s="30" t="str">
        <f aca="false">IF(R372="","",Reconciliation!K373)</f>
        <v/>
      </c>
      <c r="L372" s="30" t="str">
        <f aca="false">IF(R372="","",Reconciliation!L373)</f>
        <v/>
      </c>
      <c r="M372" s="32" t="str">
        <f aca="false">IF(R372="","",Reconciliation!M373)</f>
        <v/>
      </c>
      <c r="N372" s="32" t="str">
        <f aca="false">IF(R372="","",Reconciliation!N373)</f>
        <v/>
      </c>
      <c r="O372" s="32" t="str">
        <f aca="false">IF(R372="","",Reconciliation!O373)</f>
        <v/>
      </c>
      <c r="P372" s="32" t="str">
        <f aca="false">IF(R372="","",Reconciliation!P373)</f>
        <v/>
      </c>
      <c r="Q372" s="32" t="str">
        <f aca="false">IF(R372="","",Reconciliation!Q373)</f>
        <v/>
      </c>
      <c r="R372" s="33" t="str">
        <f aca="false">IF(OR(Reconciliation!R373="✅ MATCH",Reconciliation!R373=""),"",Reconciliation!R373)</f>
        <v/>
      </c>
    </row>
    <row r="373" customFormat="false" ht="15" hidden="false" customHeight="true" outlineLevel="0" collapsed="false">
      <c r="A373" s="29" t="str">
        <f aca="false">IF(R373="","",Reconciliation!A374)</f>
        <v/>
      </c>
      <c r="B373" s="30" t="str">
        <f aca="false">IF(R373="","",Reconciliation!B374)</f>
        <v/>
      </c>
      <c r="C373" s="30" t="str">
        <f aca="false">IF(R373="","",Reconciliation!C374)</f>
        <v/>
      </c>
      <c r="D373" s="30" t="str">
        <f aca="false">IF(R373="","",Reconciliation!D374)</f>
        <v/>
      </c>
      <c r="E373" s="31" t="str">
        <f aca="false">IF(R373="","",Reconciliation!E374)</f>
        <v/>
      </c>
      <c r="F373" s="30" t="str">
        <f aca="false">IF(R373="","",Reconciliation!F374)</f>
        <v/>
      </c>
      <c r="G373" s="30" t="str">
        <f aca="false">IF(R373="","",Reconciliation!G374)</f>
        <v/>
      </c>
      <c r="H373" s="30" t="str">
        <f aca="false">IF(R373="","",Reconciliation!H374)</f>
        <v/>
      </c>
      <c r="I373" s="30" t="str">
        <f aca="false">IF(R373="","",Reconciliation!I374)</f>
        <v/>
      </c>
      <c r="J373" s="31" t="str">
        <f aca="false">IF(R373="","",Reconciliation!J374)</f>
        <v/>
      </c>
      <c r="K373" s="30" t="str">
        <f aca="false">IF(R373="","",Reconciliation!K374)</f>
        <v/>
      </c>
      <c r="L373" s="30" t="str">
        <f aca="false">IF(R373="","",Reconciliation!L374)</f>
        <v/>
      </c>
      <c r="M373" s="32" t="str">
        <f aca="false">IF(R373="","",Reconciliation!M374)</f>
        <v/>
      </c>
      <c r="N373" s="32" t="str">
        <f aca="false">IF(R373="","",Reconciliation!N374)</f>
        <v/>
      </c>
      <c r="O373" s="32" t="str">
        <f aca="false">IF(R373="","",Reconciliation!O374)</f>
        <v/>
      </c>
      <c r="P373" s="32" t="str">
        <f aca="false">IF(R373="","",Reconciliation!P374)</f>
        <v/>
      </c>
      <c r="Q373" s="32" t="str">
        <f aca="false">IF(R373="","",Reconciliation!Q374)</f>
        <v/>
      </c>
      <c r="R373" s="33" t="str">
        <f aca="false">IF(OR(Reconciliation!R374="✅ MATCH",Reconciliation!R374=""),"",Reconciliation!R374)</f>
        <v/>
      </c>
    </row>
    <row r="374" customFormat="false" ht="15" hidden="false" customHeight="true" outlineLevel="0" collapsed="false">
      <c r="A374" s="29" t="str">
        <f aca="false">IF(R374="","",Reconciliation!A375)</f>
        <v/>
      </c>
      <c r="B374" s="30" t="str">
        <f aca="false">IF(R374="","",Reconciliation!B375)</f>
        <v/>
      </c>
      <c r="C374" s="30" t="str">
        <f aca="false">IF(R374="","",Reconciliation!C375)</f>
        <v/>
      </c>
      <c r="D374" s="30" t="str">
        <f aca="false">IF(R374="","",Reconciliation!D375)</f>
        <v/>
      </c>
      <c r="E374" s="31" t="str">
        <f aca="false">IF(R374="","",Reconciliation!E375)</f>
        <v/>
      </c>
      <c r="F374" s="30" t="str">
        <f aca="false">IF(R374="","",Reconciliation!F375)</f>
        <v/>
      </c>
      <c r="G374" s="30" t="str">
        <f aca="false">IF(R374="","",Reconciliation!G375)</f>
        <v/>
      </c>
      <c r="H374" s="30" t="str">
        <f aca="false">IF(R374="","",Reconciliation!H375)</f>
        <v/>
      </c>
      <c r="I374" s="30" t="str">
        <f aca="false">IF(R374="","",Reconciliation!I375)</f>
        <v/>
      </c>
      <c r="J374" s="31" t="str">
        <f aca="false">IF(R374="","",Reconciliation!J375)</f>
        <v/>
      </c>
      <c r="K374" s="30" t="str">
        <f aca="false">IF(R374="","",Reconciliation!K375)</f>
        <v/>
      </c>
      <c r="L374" s="30" t="str">
        <f aca="false">IF(R374="","",Reconciliation!L375)</f>
        <v/>
      </c>
      <c r="M374" s="32" t="str">
        <f aca="false">IF(R374="","",Reconciliation!M375)</f>
        <v/>
      </c>
      <c r="N374" s="32" t="str">
        <f aca="false">IF(R374="","",Reconciliation!N375)</f>
        <v/>
      </c>
      <c r="O374" s="32" t="str">
        <f aca="false">IF(R374="","",Reconciliation!O375)</f>
        <v/>
      </c>
      <c r="P374" s="32" t="str">
        <f aca="false">IF(R374="","",Reconciliation!P375)</f>
        <v/>
      </c>
      <c r="Q374" s="32" t="str">
        <f aca="false">IF(R374="","",Reconciliation!Q375)</f>
        <v/>
      </c>
      <c r="R374" s="33" t="str">
        <f aca="false">IF(OR(Reconciliation!R375="✅ MATCH",Reconciliation!R375=""),"",Reconciliation!R375)</f>
        <v/>
      </c>
    </row>
    <row r="375" customFormat="false" ht="15" hidden="false" customHeight="true" outlineLevel="0" collapsed="false">
      <c r="A375" s="29" t="str">
        <f aca="false">IF(R375="","",Reconciliation!A376)</f>
        <v/>
      </c>
      <c r="B375" s="30" t="str">
        <f aca="false">IF(R375="","",Reconciliation!B376)</f>
        <v/>
      </c>
      <c r="C375" s="30" t="str">
        <f aca="false">IF(R375="","",Reconciliation!C376)</f>
        <v/>
      </c>
      <c r="D375" s="30" t="str">
        <f aca="false">IF(R375="","",Reconciliation!D376)</f>
        <v/>
      </c>
      <c r="E375" s="31" t="str">
        <f aca="false">IF(R375="","",Reconciliation!E376)</f>
        <v/>
      </c>
      <c r="F375" s="30" t="str">
        <f aca="false">IF(R375="","",Reconciliation!F376)</f>
        <v/>
      </c>
      <c r="G375" s="30" t="str">
        <f aca="false">IF(R375="","",Reconciliation!G376)</f>
        <v/>
      </c>
      <c r="H375" s="30" t="str">
        <f aca="false">IF(R375="","",Reconciliation!H376)</f>
        <v/>
      </c>
      <c r="I375" s="30" t="str">
        <f aca="false">IF(R375="","",Reconciliation!I376)</f>
        <v/>
      </c>
      <c r="J375" s="31" t="str">
        <f aca="false">IF(R375="","",Reconciliation!J376)</f>
        <v/>
      </c>
      <c r="K375" s="30" t="str">
        <f aca="false">IF(R375="","",Reconciliation!K376)</f>
        <v/>
      </c>
      <c r="L375" s="30" t="str">
        <f aca="false">IF(R375="","",Reconciliation!L376)</f>
        <v/>
      </c>
      <c r="M375" s="32" t="str">
        <f aca="false">IF(R375="","",Reconciliation!M376)</f>
        <v/>
      </c>
      <c r="N375" s="32" t="str">
        <f aca="false">IF(R375="","",Reconciliation!N376)</f>
        <v/>
      </c>
      <c r="O375" s="32" t="str">
        <f aca="false">IF(R375="","",Reconciliation!O376)</f>
        <v/>
      </c>
      <c r="P375" s="32" t="str">
        <f aca="false">IF(R375="","",Reconciliation!P376)</f>
        <v/>
      </c>
      <c r="Q375" s="32" t="str">
        <f aca="false">IF(R375="","",Reconciliation!Q376)</f>
        <v/>
      </c>
      <c r="R375" s="33" t="str">
        <f aca="false">IF(OR(Reconciliation!R376="✅ MATCH",Reconciliation!R376=""),"",Reconciliation!R376)</f>
        <v/>
      </c>
    </row>
    <row r="376" customFormat="false" ht="15" hidden="false" customHeight="true" outlineLevel="0" collapsed="false">
      <c r="A376" s="29" t="str">
        <f aca="false">IF(R376="","",Reconciliation!A377)</f>
        <v/>
      </c>
      <c r="B376" s="30" t="str">
        <f aca="false">IF(R376="","",Reconciliation!B377)</f>
        <v/>
      </c>
      <c r="C376" s="30" t="str">
        <f aca="false">IF(R376="","",Reconciliation!C377)</f>
        <v/>
      </c>
      <c r="D376" s="30" t="str">
        <f aca="false">IF(R376="","",Reconciliation!D377)</f>
        <v/>
      </c>
      <c r="E376" s="31" t="str">
        <f aca="false">IF(R376="","",Reconciliation!E377)</f>
        <v/>
      </c>
      <c r="F376" s="30" t="str">
        <f aca="false">IF(R376="","",Reconciliation!F377)</f>
        <v/>
      </c>
      <c r="G376" s="30" t="str">
        <f aca="false">IF(R376="","",Reconciliation!G377)</f>
        <v/>
      </c>
      <c r="H376" s="30" t="str">
        <f aca="false">IF(R376="","",Reconciliation!H377)</f>
        <v/>
      </c>
      <c r="I376" s="30" t="str">
        <f aca="false">IF(R376="","",Reconciliation!I377)</f>
        <v/>
      </c>
      <c r="J376" s="31" t="str">
        <f aca="false">IF(R376="","",Reconciliation!J377)</f>
        <v/>
      </c>
      <c r="K376" s="30" t="str">
        <f aca="false">IF(R376="","",Reconciliation!K377)</f>
        <v/>
      </c>
      <c r="L376" s="30" t="str">
        <f aca="false">IF(R376="","",Reconciliation!L377)</f>
        <v/>
      </c>
      <c r="M376" s="32" t="str">
        <f aca="false">IF(R376="","",Reconciliation!M377)</f>
        <v/>
      </c>
      <c r="N376" s="32" t="str">
        <f aca="false">IF(R376="","",Reconciliation!N377)</f>
        <v/>
      </c>
      <c r="O376" s="32" t="str">
        <f aca="false">IF(R376="","",Reconciliation!O377)</f>
        <v/>
      </c>
      <c r="P376" s="32" t="str">
        <f aca="false">IF(R376="","",Reconciliation!P377)</f>
        <v/>
      </c>
      <c r="Q376" s="32" t="str">
        <f aca="false">IF(R376="","",Reconciliation!Q377)</f>
        <v/>
      </c>
      <c r="R376" s="33" t="str">
        <f aca="false">IF(OR(Reconciliation!R377="✅ MATCH",Reconciliation!R377=""),"",Reconciliation!R377)</f>
        <v/>
      </c>
    </row>
    <row r="377" customFormat="false" ht="15" hidden="false" customHeight="true" outlineLevel="0" collapsed="false">
      <c r="A377" s="29" t="str">
        <f aca="false">IF(R377="","",Reconciliation!A378)</f>
        <v/>
      </c>
      <c r="B377" s="30" t="str">
        <f aca="false">IF(R377="","",Reconciliation!B378)</f>
        <v/>
      </c>
      <c r="C377" s="30" t="str">
        <f aca="false">IF(R377="","",Reconciliation!C378)</f>
        <v/>
      </c>
      <c r="D377" s="30" t="str">
        <f aca="false">IF(R377="","",Reconciliation!D378)</f>
        <v/>
      </c>
      <c r="E377" s="31" t="str">
        <f aca="false">IF(R377="","",Reconciliation!E378)</f>
        <v/>
      </c>
      <c r="F377" s="30" t="str">
        <f aca="false">IF(R377="","",Reconciliation!F378)</f>
        <v/>
      </c>
      <c r="G377" s="30" t="str">
        <f aca="false">IF(R377="","",Reconciliation!G378)</f>
        <v/>
      </c>
      <c r="H377" s="30" t="str">
        <f aca="false">IF(R377="","",Reconciliation!H378)</f>
        <v/>
      </c>
      <c r="I377" s="30" t="str">
        <f aca="false">IF(R377="","",Reconciliation!I378)</f>
        <v/>
      </c>
      <c r="J377" s="31" t="str">
        <f aca="false">IF(R377="","",Reconciliation!J378)</f>
        <v/>
      </c>
      <c r="K377" s="30" t="str">
        <f aca="false">IF(R377="","",Reconciliation!K378)</f>
        <v/>
      </c>
      <c r="L377" s="30" t="str">
        <f aca="false">IF(R377="","",Reconciliation!L378)</f>
        <v/>
      </c>
      <c r="M377" s="32" t="str">
        <f aca="false">IF(R377="","",Reconciliation!M378)</f>
        <v/>
      </c>
      <c r="N377" s="32" t="str">
        <f aca="false">IF(R377="","",Reconciliation!N378)</f>
        <v/>
      </c>
      <c r="O377" s="32" t="str">
        <f aca="false">IF(R377="","",Reconciliation!O378)</f>
        <v/>
      </c>
      <c r="P377" s="32" t="str">
        <f aca="false">IF(R377="","",Reconciliation!P378)</f>
        <v/>
      </c>
      <c r="Q377" s="32" t="str">
        <f aca="false">IF(R377="","",Reconciliation!Q378)</f>
        <v/>
      </c>
      <c r="R377" s="33" t="str">
        <f aca="false">IF(OR(Reconciliation!R378="✅ MATCH",Reconciliation!R378=""),"",Reconciliation!R378)</f>
        <v/>
      </c>
    </row>
    <row r="378" customFormat="false" ht="15" hidden="false" customHeight="true" outlineLevel="0" collapsed="false">
      <c r="A378" s="29" t="str">
        <f aca="false">IF(R378="","",Reconciliation!A379)</f>
        <v/>
      </c>
      <c r="B378" s="30" t="str">
        <f aca="false">IF(R378="","",Reconciliation!B379)</f>
        <v/>
      </c>
      <c r="C378" s="30" t="str">
        <f aca="false">IF(R378="","",Reconciliation!C379)</f>
        <v/>
      </c>
      <c r="D378" s="30" t="str">
        <f aca="false">IF(R378="","",Reconciliation!D379)</f>
        <v/>
      </c>
      <c r="E378" s="31" t="str">
        <f aca="false">IF(R378="","",Reconciliation!E379)</f>
        <v/>
      </c>
      <c r="F378" s="30" t="str">
        <f aca="false">IF(R378="","",Reconciliation!F379)</f>
        <v/>
      </c>
      <c r="G378" s="30" t="str">
        <f aca="false">IF(R378="","",Reconciliation!G379)</f>
        <v/>
      </c>
      <c r="H378" s="30" t="str">
        <f aca="false">IF(R378="","",Reconciliation!H379)</f>
        <v/>
      </c>
      <c r="I378" s="30" t="str">
        <f aca="false">IF(R378="","",Reconciliation!I379)</f>
        <v/>
      </c>
      <c r="J378" s="31" t="str">
        <f aca="false">IF(R378="","",Reconciliation!J379)</f>
        <v/>
      </c>
      <c r="K378" s="30" t="str">
        <f aca="false">IF(R378="","",Reconciliation!K379)</f>
        <v/>
      </c>
      <c r="L378" s="30" t="str">
        <f aca="false">IF(R378="","",Reconciliation!L379)</f>
        <v/>
      </c>
      <c r="M378" s="32" t="str">
        <f aca="false">IF(R378="","",Reconciliation!M379)</f>
        <v/>
      </c>
      <c r="N378" s="32" t="str">
        <f aca="false">IF(R378="","",Reconciliation!N379)</f>
        <v/>
      </c>
      <c r="O378" s="32" t="str">
        <f aca="false">IF(R378="","",Reconciliation!O379)</f>
        <v/>
      </c>
      <c r="P378" s="32" t="str">
        <f aca="false">IF(R378="","",Reconciliation!P379)</f>
        <v/>
      </c>
      <c r="Q378" s="32" t="str">
        <f aca="false">IF(R378="","",Reconciliation!Q379)</f>
        <v/>
      </c>
      <c r="R378" s="33" t="str">
        <f aca="false">IF(OR(Reconciliation!R379="✅ MATCH",Reconciliation!R379=""),"",Reconciliation!R379)</f>
        <v/>
      </c>
    </row>
    <row r="379" customFormat="false" ht="15" hidden="false" customHeight="true" outlineLevel="0" collapsed="false">
      <c r="A379" s="29" t="str">
        <f aca="false">IF(R379="","",Reconciliation!A380)</f>
        <v/>
      </c>
      <c r="B379" s="30" t="str">
        <f aca="false">IF(R379="","",Reconciliation!B380)</f>
        <v/>
      </c>
      <c r="C379" s="30" t="str">
        <f aca="false">IF(R379="","",Reconciliation!C380)</f>
        <v/>
      </c>
      <c r="D379" s="30" t="str">
        <f aca="false">IF(R379="","",Reconciliation!D380)</f>
        <v/>
      </c>
      <c r="E379" s="31" t="str">
        <f aca="false">IF(R379="","",Reconciliation!E380)</f>
        <v/>
      </c>
      <c r="F379" s="30" t="str">
        <f aca="false">IF(R379="","",Reconciliation!F380)</f>
        <v/>
      </c>
      <c r="G379" s="30" t="str">
        <f aca="false">IF(R379="","",Reconciliation!G380)</f>
        <v/>
      </c>
      <c r="H379" s="30" t="str">
        <f aca="false">IF(R379="","",Reconciliation!H380)</f>
        <v/>
      </c>
      <c r="I379" s="30" t="str">
        <f aca="false">IF(R379="","",Reconciliation!I380)</f>
        <v/>
      </c>
      <c r="J379" s="31" t="str">
        <f aca="false">IF(R379="","",Reconciliation!J380)</f>
        <v/>
      </c>
      <c r="K379" s="30" t="str">
        <f aca="false">IF(R379="","",Reconciliation!K380)</f>
        <v/>
      </c>
      <c r="L379" s="30" t="str">
        <f aca="false">IF(R379="","",Reconciliation!L380)</f>
        <v/>
      </c>
      <c r="M379" s="32" t="str">
        <f aca="false">IF(R379="","",Reconciliation!M380)</f>
        <v/>
      </c>
      <c r="N379" s="32" t="str">
        <f aca="false">IF(R379="","",Reconciliation!N380)</f>
        <v/>
      </c>
      <c r="O379" s="32" t="str">
        <f aca="false">IF(R379="","",Reconciliation!O380)</f>
        <v/>
      </c>
      <c r="P379" s="32" t="str">
        <f aca="false">IF(R379="","",Reconciliation!P380)</f>
        <v/>
      </c>
      <c r="Q379" s="32" t="str">
        <f aca="false">IF(R379="","",Reconciliation!Q380)</f>
        <v/>
      </c>
      <c r="R379" s="33" t="str">
        <f aca="false">IF(OR(Reconciliation!R380="✅ MATCH",Reconciliation!R380=""),"",Reconciliation!R380)</f>
        <v/>
      </c>
    </row>
    <row r="380" customFormat="false" ht="15" hidden="false" customHeight="true" outlineLevel="0" collapsed="false">
      <c r="A380" s="29" t="str">
        <f aca="false">IF(R380="","",Reconciliation!A381)</f>
        <v/>
      </c>
      <c r="B380" s="30" t="str">
        <f aca="false">IF(R380="","",Reconciliation!B381)</f>
        <v/>
      </c>
      <c r="C380" s="30" t="str">
        <f aca="false">IF(R380="","",Reconciliation!C381)</f>
        <v/>
      </c>
      <c r="D380" s="30" t="str">
        <f aca="false">IF(R380="","",Reconciliation!D381)</f>
        <v/>
      </c>
      <c r="E380" s="31" t="str">
        <f aca="false">IF(R380="","",Reconciliation!E381)</f>
        <v/>
      </c>
      <c r="F380" s="30" t="str">
        <f aca="false">IF(R380="","",Reconciliation!F381)</f>
        <v/>
      </c>
      <c r="G380" s="30" t="str">
        <f aca="false">IF(R380="","",Reconciliation!G381)</f>
        <v/>
      </c>
      <c r="H380" s="30" t="str">
        <f aca="false">IF(R380="","",Reconciliation!H381)</f>
        <v/>
      </c>
      <c r="I380" s="30" t="str">
        <f aca="false">IF(R380="","",Reconciliation!I381)</f>
        <v/>
      </c>
      <c r="J380" s="31" t="str">
        <f aca="false">IF(R380="","",Reconciliation!J381)</f>
        <v/>
      </c>
      <c r="K380" s="30" t="str">
        <f aca="false">IF(R380="","",Reconciliation!K381)</f>
        <v/>
      </c>
      <c r="L380" s="30" t="str">
        <f aca="false">IF(R380="","",Reconciliation!L381)</f>
        <v/>
      </c>
      <c r="M380" s="32" t="str">
        <f aca="false">IF(R380="","",Reconciliation!M381)</f>
        <v/>
      </c>
      <c r="N380" s="32" t="str">
        <f aca="false">IF(R380="","",Reconciliation!N381)</f>
        <v/>
      </c>
      <c r="O380" s="32" t="str">
        <f aca="false">IF(R380="","",Reconciliation!O381)</f>
        <v/>
      </c>
      <c r="P380" s="32" t="str">
        <f aca="false">IF(R380="","",Reconciliation!P381)</f>
        <v/>
      </c>
      <c r="Q380" s="32" t="str">
        <f aca="false">IF(R380="","",Reconciliation!Q381)</f>
        <v/>
      </c>
      <c r="R380" s="33" t="str">
        <f aca="false">IF(OR(Reconciliation!R381="✅ MATCH",Reconciliation!R381=""),"",Reconciliation!R381)</f>
        <v/>
      </c>
    </row>
    <row r="381" customFormat="false" ht="15" hidden="false" customHeight="true" outlineLevel="0" collapsed="false">
      <c r="A381" s="29" t="str">
        <f aca="false">IF(R381="","",Reconciliation!A382)</f>
        <v/>
      </c>
      <c r="B381" s="30" t="str">
        <f aca="false">IF(R381="","",Reconciliation!B382)</f>
        <v/>
      </c>
      <c r="C381" s="30" t="str">
        <f aca="false">IF(R381="","",Reconciliation!C382)</f>
        <v/>
      </c>
      <c r="D381" s="30" t="str">
        <f aca="false">IF(R381="","",Reconciliation!D382)</f>
        <v/>
      </c>
      <c r="E381" s="31" t="str">
        <f aca="false">IF(R381="","",Reconciliation!E382)</f>
        <v/>
      </c>
      <c r="F381" s="30" t="str">
        <f aca="false">IF(R381="","",Reconciliation!F382)</f>
        <v/>
      </c>
      <c r="G381" s="30" t="str">
        <f aca="false">IF(R381="","",Reconciliation!G382)</f>
        <v/>
      </c>
      <c r="H381" s="30" t="str">
        <f aca="false">IF(R381="","",Reconciliation!H382)</f>
        <v/>
      </c>
      <c r="I381" s="30" t="str">
        <f aca="false">IF(R381="","",Reconciliation!I382)</f>
        <v/>
      </c>
      <c r="J381" s="31" t="str">
        <f aca="false">IF(R381="","",Reconciliation!J382)</f>
        <v/>
      </c>
      <c r="K381" s="30" t="str">
        <f aca="false">IF(R381="","",Reconciliation!K382)</f>
        <v/>
      </c>
      <c r="L381" s="30" t="str">
        <f aca="false">IF(R381="","",Reconciliation!L382)</f>
        <v/>
      </c>
      <c r="M381" s="32" t="str">
        <f aca="false">IF(R381="","",Reconciliation!M382)</f>
        <v/>
      </c>
      <c r="N381" s="32" t="str">
        <f aca="false">IF(R381="","",Reconciliation!N382)</f>
        <v/>
      </c>
      <c r="O381" s="32" t="str">
        <f aca="false">IF(R381="","",Reconciliation!O382)</f>
        <v/>
      </c>
      <c r="P381" s="32" t="str">
        <f aca="false">IF(R381="","",Reconciliation!P382)</f>
        <v/>
      </c>
      <c r="Q381" s="32" t="str">
        <f aca="false">IF(R381="","",Reconciliation!Q382)</f>
        <v/>
      </c>
      <c r="R381" s="33" t="str">
        <f aca="false">IF(OR(Reconciliation!R382="✅ MATCH",Reconciliation!R382=""),"",Reconciliation!R382)</f>
        <v/>
      </c>
    </row>
    <row r="382" customFormat="false" ht="15" hidden="false" customHeight="true" outlineLevel="0" collapsed="false">
      <c r="A382" s="29" t="str">
        <f aca="false">IF(R382="","",Reconciliation!A383)</f>
        <v/>
      </c>
      <c r="B382" s="30" t="str">
        <f aca="false">IF(R382="","",Reconciliation!B383)</f>
        <v/>
      </c>
      <c r="C382" s="30" t="str">
        <f aca="false">IF(R382="","",Reconciliation!C383)</f>
        <v/>
      </c>
      <c r="D382" s="30" t="str">
        <f aca="false">IF(R382="","",Reconciliation!D383)</f>
        <v/>
      </c>
      <c r="E382" s="31" t="str">
        <f aca="false">IF(R382="","",Reconciliation!E383)</f>
        <v/>
      </c>
      <c r="F382" s="30" t="str">
        <f aca="false">IF(R382="","",Reconciliation!F383)</f>
        <v/>
      </c>
      <c r="G382" s="30" t="str">
        <f aca="false">IF(R382="","",Reconciliation!G383)</f>
        <v/>
      </c>
      <c r="H382" s="30" t="str">
        <f aca="false">IF(R382="","",Reconciliation!H383)</f>
        <v/>
      </c>
      <c r="I382" s="30" t="str">
        <f aca="false">IF(R382="","",Reconciliation!I383)</f>
        <v/>
      </c>
      <c r="J382" s="31" t="str">
        <f aca="false">IF(R382="","",Reconciliation!J383)</f>
        <v/>
      </c>
      <c r="K382" s="30" t="str">
        <f aca="false">IF(R382="","",Reconciliation!K383)</f>
        <v/>
      </c>
      <c r="L382" s="30" t="str">
        <f aca="false">IF(R382="","",Reconciliation!L383)</f>
        <v/>
      </c>
      <c r="M382" s="32" t="str">
        <f aca="false">IF(R382="","",Reconciliation!M383)</f>
        <v/>
      </c>
      <c r="N382" s="32" t="str">
        <f aca="false">IF(R382="","",Reconciliation!N383)</f>
        <v/>
      </c>
      <c r="O382" s="32" t="str">
        <f aca="false">IF(R382="","",Reconciliation!O383)</f>
        <v/>
      </c>
      <c r="P382" s="32" t="str">
        <f aca="false">IF(R382="","",Reconciliation!P383)</f>
        <v/>
      </c>
      <c r="Q382" s="32" t="str">
        <f aca="false">IF(R382="","",Reconciliation!Q383)</f>
        <v/>
      </c>
      <c r="R382" s="33" t="str">
        <f aca="false">IF(OR(Reconciliation!R383="✅ MATCH",Reconciliation!R383=""),"",Reconciliation!R383)</f>
        <v/>
      </c>
    </row>
    <row r="383" customFormat="false" ht="15" hidden="false" customHeight="true" outlineLevel="0" collapsed="false">
      <c r="A383" s="29" t="str">
        <f aca="false">IF(R383="","",Reconciliation!A384)</f>
        <v/>
      </c>
      <c r="B383" s="30" t="str">
        <f aca="false">IF(R383="","",Reconciliation!B384)</f>
        <v/>
      </c>
      <c r="C383" s="30" t="str">
        <f aca="false">IF(R383="","",Reconciliation!C384)</f>
        <v/>
      </c>
      <c r="D383" s="30" t="str">
        <f aca="false">IF(R383="","",Reconciliation!D384)</f>
        <v/>
      </c>
      <c r="E383" s="31" t="str">
        <f aca="false">IF(R383="","",Reconciliation!E384)</f>
        <v/>
      </c>
      <c r="F383" s="30" t="str">
        <f aca="false">IF(R383="","",Reconciliation!F384)</f>
        <v/>
      </c>
      <c r="G383" s="30" t="str">
        <f aca="false">IF(R383="","",Reconciliation!G384)</f>
        <v/>
      </c>
      <c r="H383" s="30" t="str">
        <f aca="false">IF(R383="","",Reconciliation!H384)</f>
        <v/>
      </c>
      <c r="I383" s="30" t="str">
        <f aca="false">IF(R383="","",Reconciliation!I384)</f>
        <v/>
      </c>
      <c r="J383" s="31" t="str">
        <f aca="false">IF(R383="","",Reconciliation!J384)</f>
        <v/>
      </c>
      <c r="K383" s="30" t="str">
        <f aca="false">IF(R383="","",Reconciliation!K384)</f>
        <v/>
      </c>
      <c r="L383" s="30" t="str">
        <f aca="false">IF(R383="","",Reconciliation!L384)</f>
        <v/>
      </c>
      <c r="M383" s="32" t="str">
        <f aca="false">IF(R383="","",Reconciliation!M384)</f>
        <v/>
      </c>
      <c r="N383" s="32" t="str">
        <f aca="false">IF(R383="","",Reconciliation!N384)</f>
        <v/>
      </c>
      <c r="O383" s="32" t="str">
        <f aca="false">IF(R383="","",Reconciliation!O384)</f>
        <v/>
      </c>
      <c r="P383" s="32" t="str">
        <f aca="false">IF(R383="","",Reconciliation!P384)</f>
        <v/>
      </c>
      <c r="Q383" s="32" t="str">
        <f aca="false">IF(R383="","",Reconciliation!Q384)</f>
        <v/>
      </c>
      <c r="R383" s="33" t="str">
        <f aca="false">IF(OR(Reconciliation!R384="✅ MATCH",Reconciliation!R384=""),"",Reconciliation!R384)</f>
        <v/>
      </c>
    </row>
    <row r="384" customFormat="false" ht="15" hidden="false" customHeight="true" outlineLevel="0" collapsed="false">
      <c r="A384" s="29" t="str">
        <f aca="false">IF(R384="","",Reconciliation!A385)</f>
        <v/>
      </c>
      <c r="B384" s="30" t="str">
        <f aca="false">IF(R384="","",Reconciliation!B385)</f>
        <v/>
      </c>
      <c r="C384" s="30" t="str">
        <f aca="false">IF(R384="","",Reconciliation!C385)</f>
        <v/>
      </c>
      <c r="D384" s="30" t="str">
        <f aca="false">IF(R384="","",Reconciliation!D385)</f>
        <v/>
      </c>
      <c r="E384" s="31" t="str">
        <f aca="false">IF(R384="","",Reconciliation!E385)</f>
        <v/>
      </c>
      <c r="F384" s="30" t="str">
        <f aca="false">IF(R384="","",Reconciliation!F385)</f>
        <v/>
      </c>
      <c r="G384" s="30" t="str">
        <f aca="false">IF(R384="","",Reconciliation!G385)</f>
        <v/>
      </c>
      <c r="H384" s="30" t="str">
        <f aca="false">IF(R384="","",Reconciliation!H385)</f>
        <v/>
      </c>
      <c r="I384" s="30" t="str">
        <f aca="false">IF(R384="","",Reconciliation!I385)</f>
        <v/>
      </c>
      <c r="J384" s="31" t="str">
        <f aca="false">IF(R384="","",Reconciliation!J385)</f>
        <v/>
      </c>
      <c r="K384" s="30" t="str">
        <f aca="false">IF(R384="","",Reconciliation!K385)</f>
        <v/>
      </c>
      <c r="L384" s="30" t="str">
        <f aca="false">IF(R384="","",Reconciliation!L385)</f>
        <v/>
      </c>
      <c r="M384" s="32" t="str">
        <f aca="false">IF(R384="","",Reconciliation!M385)</f>
        <v/>
      </c>
      <c r="N384" s="32" t="str">
        <f aca="false">IF(R384="","",Reconciliation!N385)</f>
        <v/>
      </c>
      <c r="O384" s="32" t="str">
        <f aca="false">IF(R384="","",Reconciliation!O385)</f>
        <v/>
      </c>
      <c r="P384" s="32" t="str">
        <f aca="false">IF(R384="","",Reconciliation!P385)</f>
        <v/>
      </c>
      <c r="Q384" s="32" t="str">
        <f aca="false">IF(R384="","",Reconciliation!Q385)</f>
        <v/>
      </c>
      <c r="R384" s="33" t="str">
        <f aca="false">IF(OR(Reconciliation!R385="✅ MATCH",Reconciliation!R385=""),"",Reconciliation!R385)</f>
        <v/>
      </c>
    </row>
    <row r="385" customFormat="false" ht="15" hidden="false" customHeight="true" outlineLevel="0" collapsed="false">
      <c r="A385" s="29" t="str">
        <f aca="false">IF(R385="","",Reconciliation!A386)</f>
        <v/>
      </c>
      <c r="B385" s="30" t="str">
        <f aca="false">IF(R385="","",Reconciliation!B386)</f>
        <v/>
      </c>
      <c r="C385" s="30" t="str">
        <f aca="false">IF(R385="","",Reconciliation!C386)</f>
        <v/>
      </c>
      <c r="D385" s="30" t="str">
        <f aca="false">IF(R385="","",Reconciliation!D386)</f>
        <v/>
      </c>
      <c r="E385" s="31" t="str">
        <f aca="false">IF(R385="","",Reconciliation!E386)</f>
        <v/>
      </c>
      <c r="F385" s="30" t="str">
        <f aca="false">IF(R385="","",Reconciliation!F386)</f>
        <v/>
      </c>
      <c r="G385" s="30" t="str">
        <f aca="false">IF(R385="","",Reconciliation!G386)</f>
        <v/>
      </c>
      <c r="H385" s="30" t="str">
        <f aca="false">IF(R385="","",Reconciliation!H386)</f>
        <v/>
      </c>
      <c r="I385" s="30" t="str">
        <f aca="false">IF(R385="","",Reconciliation!I386)</f>
        <v/>
      </c>
      <c r="J385" s="31" t="str">
        <f aca="false">IF(R385="","",Reconciliation!J386)</f>
        <v/>
      </c>
      <c r="K385" s="30" t="str">
        <f aca="false">IF(R385="","",Reconciliation!K386)</f>
        <v/>
      </c>
      <c r="L385" s="30" t="str">
        <f aca="false">IF(R385="","",Reconciliation!L386)</f>
        <v/>
      </c>
      <c r="M385" s="32" t="str">
        <f aca="false">IF(R385="","",Reconciliation!M386)</f>
        <v/>
      </c>
      <c r="N385" s="32" t="str">
        <f aca="false">IF(R385="","",Reconciliation!N386)</f>
        <v/>
      </c>
      <c r="O385" s="32" t="str">
        <f aca="false">IF(R385="","",Reconciliation!O386)</f>
        <v/>
      </c>
      <c r="P385" s="32" t="str">
        <f aca="false">IF(R385="","",Reconciliation!P386)</f>
        <v/>
      </c>
      <c r="Q385" s="32" t="str">
        <f aca="false">IF(R385="","",Reconciliation!Q386)</f>
        <v/>
      </c>
      <c r="R385" s="33" t="str">
        <f aca="false">IF(OR(Reconciliation!R386="✅ MATCH",Reconciliation!R386=""),"",Reconciliation!R386)</f>
        <v/>
      </c>
    </row>
    <row r="386" customFormat="false" ht="15" hidden="false" customHeight="true" outlineLevel="0" collapsed="false">
      <c r="A386" s="29" t="str">
        <f aca="false">IF(R386="","",Reconciliation!A387)</f>
        <v/>
      </c>
      <c r="B386" s="30" t="str">
        <f aca="false">IF(R386="","",Reconciliation!B387)</f>
        <v/>
      </c>
      <c r="C386" s="30" t="str">
        <f aca="false">IF(R386="","",Reconciliation!C387)</f>
        <v/>
      </c>
      <c r="D386" s="30" t="str">
        <f aca="false">IF(R386="","",Reconciliation!D387)</f>
        <v/>
      </c>
      <c r="E386" s="31" t="str">
        <f aca="false">IF(R386="","",Reconciliation!E387)</f>
        <v/>
      </c>
      <c r="F386" s="30" t="str">
        <f aca="false">IF(R386="","",Reconciliation!F387)</f>
        <v/>
      </c>
      <c r="G386" s="30" t="str">
        <f aca="false">IF(R386="","",Reconciliation!G387)</f>
        <v/>
      </c>
      <c r="H386" s="30" t="str">
        <f aca="false">IF(R386="","",Reconciliation!H387)</f>
        <v/>
      </c>
      <c r="I386" s="30" t="str">
        <f aca="false">IF(R386="","",Reconciliation!I387)</f>
        <v/>
      </c>
      <c r="J386" s="31" t="str">
        <f aca="false">IF(R386="","",Reconciliation!J387)</f>
        <v/>
      </c>
      <c r="K386" s="30" t="str">
        <f aca="false">IF(R386="","",Reconciliation!K387)</f>
        <v/>
      </c>
      <c r="L386" s="30" t="str">
        <f aca="false">IF(R386="","",Reconciliation!L387)</f>
        <v/>
      </c>
      <c r="M386" s="32" t="str">
        <f aca="false">IF(R386="","",Reconciliation!M387)</f>
        <v/>
      </c>
      <c r="N386" s="32" t="str">
        <f aca="false">IF(R386="","",Reconciliation!N387)</f>
        <v/>
      </c>
      <c r="O386" s="32" t="str">
        <f aca="false">IF(R386="","",Reconciliation!O387)</f>
        <v/>
      </c>
      <c r="P386" s="32" t="str">
        <f aca="false">IF(R386="","",Reconciliation!P387)</f>
        <v/>
      </c>
      <c r="Q386" s="32" t="str">
        <f aca="false">IF(R386="","",Reconciliation!Q387)</f>
        <v/>
      </c>
      <c r="R386" s="33" t="str">
        <f aca="false">IF(OR(Reconciliation!R387="✅ MATCH",Reconciliation!R387=""),"",Reconciliation!R387)</f>
        <v/>
      </c>
    </row>
    <row r="387" customFormat="false" ht="15" hidden="false" customHeight="true" outlineLevel="0" collapsed="false">
      <c r="A387" s="29" t="str">
        <f aca="false">IF(R387="","",Reconciliation!A388)</f>
        <v/>
      </c>
      <c r="B387" s="30" t="str">
        <f aca="false">IF(R387="","",Reconciliation!B388)</f>
        <v/>
      </c>
      <c r="C387" s="30" t="str">
        <f aca="false">IF(R387="","",Reconciliation!C388)</f>
        <v/>
      </c>
      <c r="D387" s="30" t="str">
        <f aca="false">IF(R387="","",Reconciliation!D388)</f>
        <v/>
      </c>
      <c r="E387" s="31" t="str">
        <f aca="false">IF(R387="","",Reconciliation!E388)</f>
        <v/>
      </c>
      <c r="F387" s="30" t="str">
        <f aca="false">IF(R387="","",Reconciliation!F388)</f>
        <v/>
      </c>
      <c r="G387" s="30" t="str">
        <f aca="false">IF(R387="","",Reconciliation!G388)</f>
        <v/>
      </c>
      <c r="H387" s="30" t="str">
        <f aca="false">IF(R387="","",Reconciliation!H388)</f>
        <v/>
      </c>
      <c r="I387" s="30" t="str">
        <f aca="false">IF(R387="","",Reconciliation!I388)</f>
        <v/>
      </c>
      <c r="J387" s="31" t="str">
        <f aca="false">IF(R387="","",Reconciliation!J388)</f>
        <v/>
      </c>
      <c r="K387" s="30" t="str">
        <f aca="false">IF(R387="","",Reconciliation!K388)</f>
        <v/>
      </c>
      <c r="L387" s="30" t="str">
        <f aca="false">IF(R387="","",Reconciliation!L388)</f>
        <v/>
      </c>
      <c r="M387" s="32" t="str">
        <f aca="false">IF(R387="","",Reconciliation!M388)</f>
        <v/>
      </c>
      <c r="N387" s="32" t="str">
        <f aca="false">IF(R387="","",Reconciliation!N388)</f>
        <v/>
      </c>
      <c r="O387" s="32" t="str">
        <f aca="false">IF(R387="","",Reconciliation!O388)</f>
        <v/>
      </c>
      <c r="P387" s="32" t="str">
        <f aca="false">IF(R387="","",Reconciliation!P388)</f>
        <v/>
      </c>
      <c r="Q387" s="32" t="str">
        <f aca="false">IF(R387="","",Reconciliation!Q388)</f>
        <v/>
      </c>
      <c r="R387" s="33" t="str">
        <f aca="false">IF(OR(Reconciliation!R388="✅ MATCH",Reconciliation!R388=""),"",Reconciliation!R388)</f>
        <v/>
      </c>
    </row>
    <row r="388" customFormat="false" ht="15" hidden="false" customHeight="true" outlineLevel="0" collapsed="false">
      <c r="A388" s="29" t="str">
        <f aca="false">IF(R388="","",Reconciliation!A389)</f>
        <v/>
      </c>
      <c r="B388" s="30" t="str">
        <f aca="false">IF(R388="","",Reconciliation!B389)</f>
        <v/>
      </c>
      <c r="C388" s="30" t="str">
        <f aca="false">IF(R388="","",Reconciliation!C389)</f>
        <v/>
      </c>
      <c r="D388" s="30" t="str">
        <f aca="false">IF(R388="","",Reconciliation!D389)</f>
        <v/>
      </c>
      <c r="E388" s="31" t="str">
        <f aca="false">IF(R388="","",Reconciliation!E389)</f>
        <v/>
      </c>
      <c r="F388" s="30" t="str">
        <f aca="false">IF(R388="","",Reconciliation!F389)</f>
        <v/>
      </c>
      <c r="G388" s="30" t="str">
        <f aca="false">IF(R388="","",Reconciliation!G389)</f>
        <v/>
      </c>
      <c r="H388" s="30" t="str">
        <f aca="false">IF(R388="","",Reconciliation!H389)</f>
        <v/>
      </c>
      <c r="I388" s="30" t="str">
        <f aca="false">IF(R388="","",Reconciliation!I389)</f>
        <v/>
      </c>
      <c r="J388" s="31" t="str">
        <f aca="false">IF(R388="","",Reconciliation!J389)</f>
        <v/>
      </c>
      <c r="K388" s="30" t="str">
        <f aca="false">IF(R388="","",Reconciliation!K389)</f>
        <v/>
      </c>
      <c r="L388" s="30" t="str">
        <f aca="false">IF(R388="","",Reconciliation!L389)</f>
        <v/>
      </c>
      <c r="M388" s="32" t="str">
        <f aca="false">IF(R388="","",Reconciliation!M389)</f>
        <v/>
      </c>
      <c r="N388" s="32" t="str">
        <f aca="false">IF(R388="","",Reconciliation!N389)</f>
        <v/>
      </c>
      <c r="O388" s="32" t="str">
        <f aca="false">IF(R388="","",Reconciliation!O389)</f>
        <v/>
      </c>
      <c r="P388" s="32" t="str">
        <f aca="false">IF(R388="","",Reconciliation!P389)</f>
        <v/>
      </c>
      <c r="Q388" s="32" t="str">
        <f aca="false">IF(R388="","",Reconciliation!Q389)</f>
        <v/>
      </c>
      <c r="R388" s="33" t="str">
        <f aca="false">IF(OR(Reconciliation!R389="✅ MATCH",Reconciliation!R389=""),"",Reconciliation!R389)</f>
        <v/>
      </c>
    </row>
    <row r="389" customFormat="false" ht="15" hidden="false" customHeight="true" outlineLevel="0" collapsed="false">
      <c r="A389" s="29" t="str">
        <f aca="false">IF(R389="","",Reconciliation!A390)</f>
        <v/>
      </c>
      <c r="B389" s="30" t="str">
        <f aca="false">IF(R389="","",Reconciliation!B390)</f>
        <v/>
      </c>
      <c r="C389" s="30" t="str">
        <f aca="false">IF(R389="","",Reconciliation!C390)</f>
        <v/>
      </c>
      <c r="D389" s="30" t="str">
        <f aca="false">IF(R389="","",Reconciliation!D390)</f>
        <v/>
      </c>
      <c r="E389" s="31" t="str">
        <f aca="false">IF(R389="","",Reconciliation!E390)</f>
        <v/>
      </c>
      <c r="F389" s="30" t="str">
        <f aca="false">IF(R389="","",Reconciliation!F390)</f>
        <v/>
      </c>
      <c r="G389" s="30" t="str">
        <f aca="false">IF(R389="","",Reconciliation!G390)</f>
        <v/>
      </c>
      <c r="H389" s="30" t="str">
        <f aca="false">IF(R389="","",Reconciliation!H390)</f>
        <v/>
      </c>
      <c r="I389" s="30" t="str">
        <f aca="false">IF(R389="","",Reconciliation!I390)</f>
        <v/>
      </c>
      <c r="J389" s="31" t="str">
        <f aca="false">IF(R389="","",Reconciliation!J390)</f>
        <v/>
      </c>
      <c r="K389" s="30" t="str">
        <f aca="false">IF(R389="","",Reconciliation!K390)</f>
        <v/>
      </c>
      <c r="L389" s="30" t="str">
        <f aca="false">IF(R389="","",Reconciliation!L390)</f>
        <v/>
      </c>
      <c r="M389" s="32" t="str">
        <f aca="false">IF(R389="","",Reconciliation!M390)</f>
        <v/>
      </c>
      <c r="N389" s="32" t="str">
        <f aca="false">IF(R389="","",Reconciliation!N390)</f>
        <v/>
      </c>
      <c r="O389" s="32" t="str">
        <f aca="false">IF(R389="","",Reconciliation!O390)</f>
        <v/>
      </c>
      <c r="P389" s="32" t="str">
        <f aca="false">IF(R389="","",Reconciliation!P390)</f>
        <v/>
      </c>
      <c r="Q389" s="32" t="str">
        <f aca="false">IF(R389="","",Reconciliation!Q390)</f>
        <v/>
      </c>
      <c r="R389" s="33" t="str">
        <f aca="false">IF(OR(Reconciliation!R390="✅ MATCH",Reconciliation!R390=""),"",Reconciliation!R390)</f>
        <v/>
      </c>
    </row>
    <row r="390" customFormat="false" ht="15" hidden="false" customHeight="true" outlineLevel="0" collapsed="false">
      <c r="A390" s="29" t="str">
        <f aca="false">IF(R390="","",Reconciliation!A391)</f>
        <v/>
      </c>
      <c r="B390" s="30" t="str">
        <f aca="false">IF(R390="","",Reconciliation!B391)</f>
        <v/>
      </c>
      <c r="C390" s="30" t="str">
        <f aca="false">IF(R390="","",Reconciliation!C391)</f>
        <v/>
      </c>
      <c r="D390" s="30" t="str">
        <f aca="false">IF(R390="","",Reconciliation!D391)</f>
        <v/>
      </c>
      <c r="E390" s="31" t="str">
        <f aca="false">IF(R390="","",Reconciliation!E391)</f>
        <v/>
      </c>
      <c r="F390" s="30" t="str">
        <f aca="false">IF(R390="","",Reconciliation!F391)</f>
        <v/>
      </c>
      <c r="G390" s="30" t="str">
        <f aca="false">IF(R390="","",Reconciliation!G391)</f>
        <v/>
      </c>
      <c r="H390" s="30" t="str">
        <f aca="false">IF(R390="","",Reconciliation!H391)</f>
        <v/>
      </c>
      <c r="I390" s="30" t="str">
        <f aca="false">IF(R390="","",Reconciliation!I391)</f>
        <v/>
      </c>
      <c r="J390" s="31" t="str">
        <f aca="false">IF(R390="","",Reconciliation!J391)</f>
        <v/>
      </c>
      <c r="K390" s="30" t="str">
        <f aca="false">IF(R390="","",Reconciliation!K391)</f>
        <v/>
      </c>
      <c r="L390" s="30" t="str">
        <f aca="false">IF(R390="","",Reconciliation!L391)</f>
        <v/>
      </c>
      <c r="M390" s="32" t="str">
        <f aca="false">IF(R390="","",Reconciliation!M391)</f>
        <v/>
      </c>
      <c r="N390" s="32" t="str">
        <f aca="false">IF(R390="","",Reconciliation!N391)</f>
        <v/>
      </c>
      <c r="O390" s="32" t="str">
        <f aca="false">IF(R390="","",Reconciliation!O391)</f>
        <v/>
      </c>
      <c r="P390" s="32" t="str">
        <f aca="false">IF(R390="","",Reconciliation!P391)</f>
        <v/>
      </c>
      <c r="Q390" s="32" t="str">
        <f aca="false">IF(R390="","",Reconciliation!Q391)</f>
        <v/>
      </c>
      <c r="R390" s="33" t="str">
        <f aca="false">IF(OR(Reconciliation!R391="✅ MATCH",Reconciliation!R391=""),"",Reconciliation!R391)</f>
        <v/>
      </c>
    </row>
    <row r="391" customFormat="false" ht="15" hidden="false" customHeight="true" outlineLevel="0" collapsed="false">
      <c r="A391" s="29" t="str">
        <f aca="false">IF(R391="","",Reconciliation!A392)</f>
        <v/>
      </c>
      <c r="B391" s="30" t="str">
        <f aca="false">IF(R391="","",Reconciliation!B392)</f>
        <v/>
      </c>
      <c r="C391" s="30" t="str">
        <f aca="false">IF(R391="","",Reconciliation!C392)</f>
        <v/>
      </c>
      <c r="D391" s="30" t="str">
        <f aca="false">IF(R391="","",Reconciliation!D392)</f>
        <v/>
      </c>
      <c r="E391" s="31" t="str">
        <f aca="false">IF(R391="","",Reconciliation!E392)</f>
        <v/>
      </c>
      <c r="F391" s="30" t="str">
        <f aca="false">IF(R391="","",Reconciliation!F392)</f>
        <v/>
      </c>
      <c r="G391" s="30" t="str">
        <f aca="false">IF(R391="","",Reconciliation!G392)</f>
        <v/>
      </c>
      <c r="H391" s="30" t="str">
        <f aca="false">IF(R391="","",Reconciliation!H392)</f>
        <v/>
      </c>
      <c r="I391" s="30" t="str">
        <f aca="false">IF(R391="","",Reconciliation!I392)</f>
        <v/>
      </c>
      <c r="J391" s="31" t="str">
        <f aca="false">IF(R391="","",Reconciliation!J392)</f>
        <v/>
      </c>
      <c r="K391" s="30" t="str">
        <f aca="false">IF(R391="","",Reconciliation!K392)</f>
        <v/>
      </c>
      <c r="L391" s="30" t="str">
        <f aca="false">IF(R391="","",Reconciliation!L392)</f>
        <v/>
      </c>
      <c r="M391" s="32" t="str">
        <f aca="false">IF(R391="","",Reconciliation!M392)</f>
        <v/>
      </c>
      <c r="N391" s="32" t="str">
        <f aca="false">IF(R391="","",Reconciliation!N392)</f>
        <v/>
      </c>
      <c r="O391" s="32" t="str">
        <f aca="false">IF(R391="","",Reconciliation!O392)</f>
        <v/>
      </c>
      <c r="P391" s="32" t="str">
        <f aca="false">IF(R391="","",Reconciliation!P392)</f>
        <v/>
      </c>
      <c r="Q391" s="32" t="str">
        <f aca="false">IF(R391="","",Reconciliation!Q392)</f>
        <v/>
      </c>
      <c r="R391" s="33" t="str">
        <f aca="false">IF(OR(Reconciliation!R392="✅ MATCH",Reconciliation!R392=""),"",Reconciliation!R392)</f>
        <v/>
      </c>
    </row>
    <row r="392" customFormat="false" ht="15" hidden="false" customHeight="true" outlineLevel="0" collapsed="false">
      <c r="A392" s="29" t="str">
        <f aca="false">IF(R392="","",Reconciliation!A393)</f>
        <v/>
      </c>
      <c r="B392" s="30" t="str">
        <f aca="false">IF(R392="","",Reconciliation!B393)</f>
        <v/>
      </c>
      <c r="C392" s="30" t="str">
        <f aca="false">IF(R392="","",Reconciliation!C393)</f>
        <v/>
      </c>
      <c r="D392" s="30" t="str">
        <f aca="false">IF(R392="","",Reconciliation!D393)</f>
        <v/>
      </c>
      <c r="E392" s="31" t="str">
        <f aca="false">IF(R392="","",Reconciliation!E393)</f>
        <v/>
      </c>
      <c r="F392" s="30" t="str">
        <f aca="false">IF(R392="","",Reconciliation!F393)</f>
        <v/>
      </c>
      <c r="G392" s="30" t="str">
        <f aca="false">IF(R392="","",Reconciliation!G393)</f>
        <v/>
      </c>
      <c r="H392" s="30" t="str">
        <f aca="false">IF(R392="","",Reconciliation!H393)</f>
        <v/>
      </c>
      <c r="I392" s="30" t="str">
        <f aca="false">IF(R392="","",Reconciliation!I393)</f>
        <v/>
      </c>
      <c r="J392" s="31" t="str">
        <f aca="false">IF(R392="","",Reconciliation!J393)</f>
        <v/>
      </c>
      <c r="K392" s="30" t="str">
        <f aca="false">IF(R392="","",Reconciliation!K393)</f>
        <v/>
      </c>
      <c r="L392" s="30" t="str">
        <f aca="false">IF(R392="","",Reconciliation!L393)</f>
        <v/>
      </c>
      <c r="M392" s="32" t="str">
        <f aca="false">IF(R392="","",Reconciliation!M393)</f>
        <v/>
      </c>
      <c r="N392" s="32" t="str">
        <f aca="false">IF(R392="","",Reconciliation!N393)</f>
        <v/>
      </c>
      <c r="O392" s="32" t="str">
        <f aca="false">IF(R392="","",Reconciliation!O393)</f>
        <v/>
      </c>
      <c r="P392" s="32" t="str">
        <f aca="false">IF(R392="","",Reconciliation!P393)</f>
        <v/>
      </c>
      <c r="Q392" s="32" t="str">
        <f aca="false">IF(R392="","",Reconciliation!Q393)</f>
        <v/>
      </c>
      <c r="R392" s="33" t="str">
        <f aca="false">IF(OR(Reconciliation!R393="✅ MATCH",Reconciliation!R393=""),"",Reconciliation!R393)</f>
        <v/>
      </c>
    </row>
    <row r="393" customFormat="false" ht="15" hidden="false" customHeight="true" outlineLevel="0" collapsed="false">
      <c r="A393" s="29" t="str">
        <f aca="false">IF(R393="","",Reconciliation!A394)</f>
        <v/>
      </c>
      <c r="B393" s="30" t="str">
        <f aca="false">IF(R393="","",Reconciliation!B394)</f>
        <v/>
      </c>
      <c r="C393" s="30" t="str">
        <f aca="false">IF(R393="","",Reconciliation!C394)</f>
        <v/>
      </c>
      <c r="D393" s="30" t="str">
        <f aca="false">IF(R393="","",Reconciliation!D394)</f>
        <v/>
      </c>
      <c r="E393" s="31" t="str">
        <f aca="false">IF(R393="","",Reconciliation!E394)</f>
        <v/>
      </c>
      <c r="F393" s="30" t="str">
        <f aca="false">IF(R393="","",Reconciliation!F394)</f>
        <v/>
      </c>
      <c r="G393" s="30" t="str">
        <f aca="false">IF(R393="","",Reconciliation!G394)</f>
        <v/>
      </c>
      <c r="H393" s="30" t="str">
        <f aca="false">IF(R393="","",Reconciliation!H394)</f>
        <v/>
      </c>
      <c r="I393" s="30" t="str">
        <f aca="false">IF(R393="","",Reconciliation!I394)</f>
        <v/>
      </c>
      <c r="J393" s="31" t="str">
        <f aca="false">IF(R393="","",Reconciliation!J394)</f>
        <v/>
      </c>
      <c r="K393" s="30" t="str">
        <f aca="false">IF(R393="","",Reconciliation!K394)</f>
        <v/>
      </c>
      <c r="L393" s="30" t="str">
        <f aca="false">IF(R393="","",Reconciliation!L394)</f>
        <v/>
      </c>
      <c r="M393" s="32" t="str">
        <f aca="false">IF(R393="","",Reconciliation!M394)</f>
        <v/>
      </c>
      <c r="N393" s="32" t="str">
        <f aca="false">IF(R393="","",Reconciliation!N394)</f>
        <v/>
      </c>
      <c r="O393" s="32" t="str">
        <f aca="false">IF(R393="","",Reconciliation!O394)</f>
        <v/>
      </c>
      <c r="P393" s="32" t="str">
        <f aca="false">IF(R393="","",Reconciliation!P394)</f>
        <v/>
      </c>
      <c r="Q393" s="32" t="str">
        <f aca="false">IF(R393="","",Reconciliation!Q394)</f>
        <v/>
      </c>
      <c r="R393" s="33" t="str">
        <f aca="false">IF(OR(Reconciliation!R394="✅ MATCH",Reconciliation!R394=""),"",Reconciliation!R394)</f>
        <v/>
      </c>
    </row>
    <row r="394" customFormat="false" ht="15" hidden="false" customHeight="true" outlineLevel="0" collapsed="false">
      <c r="A394" s="29" t="str">
        <f aca="false">IF(R394="","",Reconciliation!A395)</f>
        <v/>
      </c>
      <c r="B394" s="30" t="str">
        <f aca="false">IF(R394="","",Reconciliation!B395)</f>
        <v/>
      </c>
      <c r="C394" s="30" t="str">
        <f aca="false">IF(R394="","",Reconciliation!C395)</f>
        <v/>
      </c>
      <c r="D394" s="30" t="str">
        <f aca="false">IF(R394="","",Reconciliation!D395)</f>
        <v/>
      </c>
      <c r="E394" s="31" t="str">
        <f aca="false">IF(R394="","",Reconciliation!E395)</f>
        <v/>
      </c>
      <c r="F394" s="30" t="str">
        <f aca="false">IF(R394="","",Reconciliation!F395)</f>
        <v/>
      </c>
      <c r="G394" s="30" t="str">
        <f aca="false">IF(R394="","",Reconciliation!G395)</f>
        <v/>
      </c>
      <c r="H394" s="30" t="str">
        <f aca="false">IF(R394="","",Reconciliation!H395)</f>
        <v/>
      </c>
      <c r="I394" s="30" t="str">
        <f aca="false">IF(R394="","",Reconciliation!I395)</f>
        <v/>
      </c>
      <c r="J394" s="31" t="str">
        <f aca="false">IF(R394="","",Reconciliation!J395)</f>
        <v/>
      </c>
      <c r="K394" s="30" t="str">
        <f aca="false">IF(R394="","",Reconciliation!K395)</f>
        <v/>
      </c>
      <c r="L394" s="30" t="str">
        <f aca="false">IF(R394="","",Reconciliation!L395)</f>
        <v/>
      </c>
      <c r="M394" s="32" t="str">
        <f aca="false">IF(R394="","",Reconciliation!M395)</f>
        <v/>
      </c>
      <c r="N394" s="32" t="str">
        <f aca="false">IF(R394="","",Reconciliation!N395)</f>
        <v/>
      </c>
      <c r="O394" s="32" t="str">
        <f aca="false">IF(R394="","",Reconciliation!O395)</f>
        <v/>
      </c>
      <c r="P394" s="32" t="str">
        <f aca="false">IF(R394="","",Reconciliation!P395)</f>
        <v/>
      </c>
      <c r="Q394" s="32" t="str">
        <f aca="false">IF(R394="","",Reconciliation!Q395)</f>
        <v/>
      </c>
      <c r="R394" s="33" t="str">
        <f aca="false">IF(OR(Reconciliation!R395="✅ MATCH",Reconciliation!R395=""),"",Reconciliation!R395)</f>
        <v/>
      </c>
    </row>
    <row r="395" customFormat="false" ht="15" hidden="false" customHeight="true" outlineLevel="0" collapsed="false">
      <c r="A395" s="29" t="str">
        <f aca="false">IF(R395="","",Reconciliation!A396)</f>
        <v/>
      </c>
      <c r="B395" s="30" t="str">
        <f aca="false">IF(R395="","",Reconciliation!B396)</f>
        <v/>
      </c>
      <c r="C395" s="30" t="str">
        <f aca="false">IF(R395="","",Reconciliation!C396)</f>
        <v/>
      </c>
      <c r="D395" s="30" t="str">
        <f aca="false">IF(R395="","",Reconciliation!D396)</f>
        <v/>
      </c>
      <c r="E395" s="31" t="str">
        <f aca="false">IF(R395="","",Reconciliation!E396)</f>
        <v/>
      </c>
      <c r="F395" s="30" t="str">
        <f aca="false">IF(R395="","",Reconciliation!F396)</f>
        <v/>
      </c>
      <c r="G395" s="30" t="str">
        <f aca="false">IF(R395="","",Reconciliation!G396)</f>
        <v/>
      </c>
      <c r="H395" s="30" t="str">
        <f aca="false">IF(R395="","",Reconciliation!H396)</f>
        <v/>
      </c>
      <c r="I395" s="30" t="str">
        <f aca="false">IF(R395="","",Reconciliation!I396)</f>
        <v/>
      </c>
      <c r="J395" s="31" t="str">
        <f aca="false">IF(R395="","",Reconciliation!J396)</f>
        <v/>
      </c>
      <c r="K395" s="30" t="str">
        <f aca="false">IF(R395="","",Reconciliation!K396)</f>
        <v/>
      </c>
      <c r="L395" s="30" t="str">
        <f aca="false">IF(R395="","",Reconciliation!L396)</f>
        <v/>
      </c>
      <c r="M395" s="32" t="str">
        <f aca="false">IF(R395="","",Reconciliation!M396)</f>
        <v/>
      </c>
      <c r="N395" s="32" t="str">
        <f aca="false">IF(R395="","",Reconciliation!N396)</f>
        <v/>
      </c>
      <c r="O395" s="32" t="str">
        <f aca="false">IF(R395="","",Reconciliation!O396)</f>
        <v/>
      </c>
      <c r="P395" s="32" t="str">
        <f aca="false">IF(R395="","",Reconciliation!P396)</f>
        <v/>
      </c>
      <c r="Q395" s="32" t="str">
        <f aca="false">IF(R395="","",Reconciliation!Q396)</f>
        <v/>
      </c>
      <c r="R395" s="33" t="str">
        <f aca="false">IF(OR(Reconciliation!R396="✅ MATCH",Reconciliation!R396=""),"",Reconciliation!R396)</f>
        <v/>
      </c>
    </row>
    <row r="396" customFormat="false" ht="15" hidden="false" customHeight="true" outlineLevel="0" collapsed="false">
      <c r="A396" s="29" t="str">
        <f aca="false">IF(R396="","",Reconciliation!A397)</f>
        <v/>
      </c>
      <c r="B396" s="30" t="str">
        <f aca="false">IF(R396="","",Reconciliation!B397)</f>
        <v/>
      </c>
      <c r="C396" s="30" t="str">
        <f aca="false">IF(R396="","",Reconciliation!C397)</f>
        <v/>
      </c>
      <c r="D396" s="30" t="str">
        <f aca="false">IF(R396="","",Reconciliation!D397)</f>
        <v/>
      </c>
      <c r="E396" s="31" t="str">
        <f aca="false">IF(R396="","",Reconciliation!E397)</f>
        <v/>
      </c>
      <c r="F396" s="30" t="str">
        <f aca="false">IF(R396="","",Reconciliation!F397)</f>
        <v/>
      </c>
      <c r="G396" s="30" t="str">
        <f aca="false">IF(R396="","",Reconciliation!G397)</f>
        <v/>
      </c>
      <c r="H396" s="30" t="str">
        <f aca="false">IF(R396="","",Reconciliation!H397)</f>
        <v/>
      </c>
      <c r="I396" s="30" t="str">
        <f aca="false">IF(R396="","",Reconciliation!I397)</f>
        <v/>
      </c>
      <c r="J396" s="31" t="str">
        <f aca="false">IF(R396="","",Reconciliation!J397)</f>
        <v/>
      </c>
      <c r="K396" s="30" t="str">
        <f aca="false">IF(R396="","",Reconciliation!K397)</f>
        <v/>
      </c>
      <c r="L396" s="30" t="str">
        <f aca="false">IF(R396="","",Reconciliation!L397)</f>
        <v/>
      </c>
      <c r="M396" s="32" t="str">
        <f aca="false">IF(R396="","",Reconciliation!M397)</f>
        <v/>
      </c>
      <c r="N396" s="32" t="str">
        <f aca="false">IF(R396="","",Reconciliation!N397)</f>
        <v/>
      </c>
      <c r="O396" s="32" t="str">
        <f aca="false">IF(R396="","",Reconciliation!O397)</f>
        <v/>
      </c>
      <c r="P396" s="32" t="str">
        <f aca="false">IF(R396="","",Reconciliation!P397)</f>
        <v/>
      </c>
      <c r="Q396" s="32" t="str">
        <f aca="false">IF(R396="","",Reconciliation!Q397)</f>
        <v/>
      </c>
      <c r="R396" s="33" t="str">
        <f aca="false">IF(OR(Reconciliation!R397="✅ MATCH",Reconciliation!R397=""),"",Reconciliation!R397)</f>
        <v/>
      </c>
    </row>
    <row r="397" customFormat="false" ht="15" hidden="false" customHeight="true" outlineLevel="0" collapsed="false">
      <c r="A397" s="29" t="str">
        <f aca="false">IF(R397="","",Reconciliation!A398)</f>
        <v/>
      </c>
      <c r="B397" s="30" t="str">
        <f aca="false">IF(R397="","",Reconciliation!B398)</f>
        <v/>
      </c>
      <c r="C397" s="30" t="str">
        <f aca="false">IF(R397="","",Reconciliation!C398)</f>
        <v/>
      </c>
      <c r="D397" s="30" t="str">
        <f aca="false">IF(R397="","",Reconciliation!D398)</f>
        <v/>
      </c>
      <c r="E397" s="31" t="str">
        <f aca="false">IF(R397="","",Reconciliation!E398)</f>
        <v/>
      </c>
      <c r="F397" s="30" t="str">
        <f aca="false">IF(R397="","",Reconciliation!F398)</f>
        <v/>
      </c>
      <c r="G397" s="30" t="str">
        <f aca="false">IF(R397="","",Reconciliation!G398)</f>
        <v/>
      </c>
      <c r="H397" s="30" t="str">
        <f aca="false">IF(R397="","",Reconciliation!H398)</f>
        <v/>
      </c>
      <c r="I397" s="30" t="str">
        <f aca="false">IF(R397="","",Reconciliation!I398)</f>
        <v/>
      </c>
      <c r="J397" s="31" t="str">
        <f aca="false">IF(R397="","",Reconciliation!J398)</f>
        <v/>
      </c>
      <c r="K397" s="30" t="str">
        <f aca="false">IF(R397="","",Reconciliation!K398)</f>
        <v/>
      </c>
      <c r="L397" s="30" t="str">
        <f aca="false">IF(R397="","",Reconciliation!L398)</f>
        <v/>
      </c>
      <c r="M397" s="32" t="str">
        <f aca="false">IF(R397="","",Reconciliation!M398)</f>
        <v/>
      </c>
      <c r="N397" s="32" t="str">
        <f aca="false">IF(R397="","",Reconciliation!N398)</f>
        <v/>
      </c>
      <c r="O397" s="32" t="str">
        <f aca="false">IF(R397="","",Reconciliation!O398)</f>
        <v/>
      </c>
      <c r="P397" s="32" t="str">
        <f aca="false">IF(R397="","",Reconciliation!P398)</f>
        <v/>
      </c>
      <c r="Q397" s="32" t="str">
        <f aca="false">IF(R397="","",Reconciliation!Q398)</f>
        <v/>
      </c>
      <c r="R397" s="33" t="str">
        <f aca="false">IF(OR(Reconciliation!R398="✅ MATCH",Reconciliation!R398=""),"",Reconciliation!R398)</f>
        <v/>
      </c>
    </row>
    <row r="398" customFormat="false" ht="15" hidden="false" customHeight="true" outlineLevel="0" collapsed="false">
      <c r="A398" s="29" t="str">
        <f aca="false">IF(R398="","",Reconciliation!A399)</f>
        <v/>
      </c>
      <c r="B398" s="30" t="str">
        <f aca="false">IF(R398="","",Reconciliation!B399)</f>
        <v/>
      </c>
      <c r="C398" s="30" t="str">
        <f aca="false">IF(R398="","",Reconciliation!C399)</f>
        <v/>
      </c>
      <c r="D398" s="30" t="str">
        <f aca="false">IF(R398="","",Reconciliation!D399)</f>
        <v/>
      </c>
      <c r="E398" s="31" t="str">
        <f aca="false">IF(R398="","",Reconciliation!E399)</f>
        <v/>
      </c>
      <c r="F398" s="30" t="str">
        <f aca="false">IF(R398="","",Reconciliation!F399)</f>
        <v/>
      </c>
      <c r="G398" s="30" t="str">
        <f aca="false">IF(R398="","",Reconciliation!G399)</f>
        <v/>
      </c>
      <c r="H398" s="30" t="str">
        <f aca="false">IF(R398="","",Reconciliation!H399)</f>
        <v/>
      </c>
      <c r="I398" s="30" t="str">
        <f aca="false">IF(R398="","",Reconciliation!I399)</f>
        <v/>
      </c>
      <c r="J398" s="31" t="str">
        <f aca="false">IF(R398="","",Reconciliation!J399)</f>
        <v/>
      </c>
      <c r="K398" s="30" t="str">
        <f aca="false">IF(R398="","",Reconciliation!K399)</f>
        <v/>
      </c>
      <c r="L398" s="30" t="str">
        <f aca="false">IF(R398="","",Reconciliation!L399)</f>
        <v/>
      </c>
      <c r="M398" s="32" t="str">
        <f aca="false">IF(R398="","",Reconciliation!M399)</f>
        <v/>
      </c>
      <c r="N398" s="32" t="str">
        <f aca="false">IF(R398="","",Reconciliation!N399)</f>
        <v/>
      </c>
      <c r="O398" s="32" t="str">
        <f aca="false">IF(R398="","",Reconciliation!O399)</f>
        <v/>
      </c>
      <c r="P398" s="32" t="str">
        <f aca="false">IF(R398="","",Reconciliation!P399)</f>
        <v/>
      </c>
      <c r="Q398" s="32" t="str">
        <f aca="false">IF(R398="","",Reconciliation!Q399)</f>
        <v/>
      </c>
      <c r="R398" s="33" t="str">
        <f aca="false">IF(OR(Reconciliation!R399="✅ MATCH",Reconciliation!R399=""),"",Reconciliation!R399)</f>
        <v/>
      </c>
    </row>
    <row r="399" customFormat="false" ht="15" hidden="false" customHeight="true" outlineLevel="0" collapsed="false">
      <c r="A399" s="29" t="str">
        <f aca="false">IF(R399="","",Reconciliation!A400)</f>
        <v/>
      </c>
      <c r="B399" s="30" t="str">
        <f aca="false">IF(R399="","",Reconciliation!B400)</f>
        <v/>
      </c>
      <c r="C399" s="30" t="str">
        <f aca="false">IF(R399="","",Reconciliation!C400)</f>
        <v/>
      </c>
      <c r="D399" s="30" t="str">
        <f aca="false">IF(R399="","",Reconciliation!D400)</f>
        <v/>
      </c>
      <c r="E399" s="31" t="str">
        <f aca="false">IF(R399="","",Reconciliation!E400)</f>
        <v/>
      </c>
      <c r="F399" s="30" t="str">
        <f aca="false">IF(R399="","",Reconciliation!F400)</f>
        <v/>
      </c>
      <c r="G399" s="30" t="str">
        <f aca="false">IF(R399="","",Reconciliation!G400)</f>
        <v/>
      </c>
      <c r="H399" s="30" t="str">
        <f aca="false">IF(R399="","",Reconciliation!H400)</f>
        <v/>
      </c>
      <c r="I399" s="30" t="str">
        <f aca="false">IF(R399="","",Reconciliation!I400)</f>
        <v/>
      </c>
      <c r="J399" s="31" t="str">
        <f aca="false">IF(R399="","",Reconciliation!J400)</f>
        <v/>
      </c>
      <c r="K399" s="30" t="str">
        <f aca="false">IF(R399="","",Reconciliation!K400)</f>
        <v/>
      </c>
      <c r="L399" s="30" t="str">
        <f aca="false">IF(R399="","",Reconciliation!L400)</f>
        <v/>
      </c>
      <c r="M399" s="32" t="str">
        <f aca="false">IF(R399="","",Reconciliation!M400)</f>
        <v/>
      </c>
      <c r="N399" s="32" t="str">
        <f aca="false">IF(R399="","",Reconciliation!N400)</f>
        <v/>
      </c>
      <c r="O399" s="32" t="str">
        <f aca="false">IF(R399="","",Reconciliation!O400)</f>
        <v/>
      </c>
      <c r="P399" s="32" t="str">
        <f aca="false">IF(R399="","",Reconciliation!P400)</f>
        <v/>
      </c>
      <c r="Q399" s="32" t="str">
        <f aca="false">IF(R399="","",Reconciliation!Q400)</f>
        <v/>
      </c>
      <c r="R399" s="33" t="str">
        <f aca="false">IF(OR(Reconciliation!R400="✅ MATCH",Reconciliation!R400=""),"",Reconciliation!R400)</f>
        <v/>
      </c>
    </row>
    <row r="400" customFormat="false" ht="15" hidden="false" customHeight="true" outlineLevel="0" collapsed="false">
      <c r="A400" s="29" t="str">
        <f aca="false">IF(R400="","",Reconciliation!A401)</f>
        <v/>
      </c>
      <c r="B400" s="30" t="str">
        <f aca="false">IF(R400="","",Reconciliation!B401)</f>
        <v/>
      </c>
      <c r="C400" s="30" t="str">
        <f aca="false">IF(R400="","",Reconciliation!C401)</f>
        <v/>
      </c>
      <c r="D400" s="30" t="str">
        <f aca="false">IF(R400="","",Reconciliation!D401)</f>
        <v/>
      </c>
      <c r="E400" s="31" t="str">
        <f aca="false">IF(R400="","",Reconciliation!E401)</f>
        <v/>
      </c>
      <c r="F400" s="30" t="str">
        <f aca="false">IF(R400="","",Reconciliation!F401)</f>
        <v/>
      </c>
      <c r="G400" s="30" t="str">
        <f aca="false">IF(R400="","",Reconciliation!G401)</f>
        <v/>
      </c>
      <c r="H400" s="30" t="str">
        <f aca="false">IF(R400="","",Reconciliation!H401)</f>
        <v/>
      </c>
      <c r="I400" s="30" t="str">
        <f aca="false">IF(R400="","",Reconciliation!I401)</f>
        <v/>
      </c>
      <c r="J400" s="31" t="str">
        <f aca="false">IF(R400="","",Reconciliation!J401)</f>
        <v/>
      </c>
      <c r="K400" s="30" t="str">
        <f aca="false">IF(R400="","",Reconciliation!K401)</f>
        <v/>
      </c>
      <c r="L400" s="30" t="str">
        <f aca="false">IF(R400="","",Reconciliation!L401)</f>
        <v/>
      </c>
      <c r="M400" s="32" t="str">
        <f aca="false">IF(R400="","",Reconciliation!M401)</f>
        <v/>
      </c>
      <c r="N400" s="32" t="str">
        <f aca="false">IF(R400="","",Reconciliation!N401)</f>
        <v/>
      </c>
      <c r="O400" s="32" t="str">
        <f aca="false">IF(R400="","",Reconciliation!O401)</f>
        <v/>
      </c>
      <c r="P400" s="32" t="str">
        <f aca="false">IF(R400="","",Reconciliation!P401)</f>
        <v/>
      </c>
      <c r="Q400" s="32" t="str">
        <f aca="false">IF(R400="","",Reconciliation!Q401)</f>
        <v/>
      </c>
      <c r="R400" s="33" t="str">
        <f aca="false">IF(OR(Reconciliation!R401="✅ MATCH",Reconciliation!R401=""),"",Reconciliation!R401)</f>
        <v/>
      </c>
    </row>
    <row r="401" customFormat="false" ht="15" hidden="false" customHeight="true" outlineLevel="0" collapsed="false">
      <c r="A401" s="29" t="str">
        <f aca="false">IF(R401="","",Reconciliation!A402)</f>
        <v/>
      </c>
      <c r="B401" s="30" t="str">
        <f aca="false">IF(R401="","",Reconciliation!B402)</f>
        <v/>
      </c>
      <c r="C401" s="30" t="str">
        <f aca="false">IF(R401="","",Reconciliation!C402)</f>
        <v/>
      </c>
      <c r="D401" s="30" t="str">
        <f aca="false">IF(R401="","",Reconciliation!D402)</f>
        <v/>
      </c>
      <c r="E401" s="31" t="str">
        <f aca="false">IF(R401="","",Reconciliation!E402)</f>
        <v/>
      </c>
      <c r="F401" s="30" t="str">
        <f aca="false">IF(R401="","",Reconciliation!F402)</f>
        <v/>
      </c>
      <c r="G401" s="30" t="str">
        <f aca="false">IF(R401="","",Reconciliation!G402)</f>
        <v/>
      </c>
      <c r="H401" s="30" t="str">
        <f aca="false">IF(R401="","",Reconciliation!H402)</f>
        <v/>
      </c>
      <c r="I401" s="30" t="str">
        <f aca="false">IF(R401="","",Reconciliation!I402)</f>
        <v/>
      </c>
      <c r="J401" s="31" t="str">
        <f aca="false">IF(R401="","",Reconciliation!J402)</f>
        <v/>
      </c>
      <c r="K401" s="30" t="str">
        <f aca="false">IF(R401="","",Reconciliation!K402)</f>
        <v/>
      </c>
      <c r="L401" s="30" t="str">
        <f aca="false">IF(R401="","",Reconciliation!L402)</f>
        <v/>
      </c>
      <c r="M401" s="32" t="str">
        <f aca="false">IF(R401="","",Reconciliation!M402)</f>
        <v/>
      </c>
      <c r="N401" s="32" t="str">
        <f aca="false">IF(R401="","",Reconciliation!N402)</f>
        <v/>
      </c>
      <c r="O401" s="32" t="str">
        <f aca="false">IF(R401="","",Reconciliation!O402)</f>
        <v/>
      </c>
      <c r="P401" s="32" t="str">
        <f aca="false">IF(R401="","",Reconciliation!P402)</f>
        <v/>
      </c>
      <c r="Q401" s="32" t="str">
        <f aca="false">IF(R401="","",Reconciliation!Q402)</f>
        <v/>
      </c>
      <c r="R401" s="33" t="str">
        <f aca="false">IF(OR(Reconciliation!R402="✅ MATCH",Reconciliation!R402=""),"",Reconciliation!R402)</f>
        <v/>
      </c>
    </row>
    <row r="402" customFormat="false" ht="15" hidden="false" customHeight="true" outlineLevel="0" collapsed="false">
      <c r="A402" s="29" t="str">
        <f aca="false">IF(R402="","",Reconciliation!A403)</f>
        <v/>
      </c>
      <c r="B402" s="30" t="str">
        <f aca="false">IF(R402="","",Reconciliation!B403)</f>
        <v/>
      </c>
      <c r="C402" s="30" t="str">
        <f aca="false">IF(R402="","",Reconciliation!C403)</f>
        <v/>
      </c>
      <c r="D402" s="30" t="str">
        <f aca="false">IF(R402="","",Reconciliation!D403)</f>
        <v/>
      </c>
      <c r="E402" s="31" t="str">
        <f aca="false">IF(R402="","",Reconciliation!E403)</f>
        <v/>
      </c>
      <c r="F402" s="30" t="str">
        <f aca="false">IF(R402="","",Reconciliation!F403)</f>
        <v/>
      </c>
      <c r="G402" s="30" t="str">
        <f aca="false">IF(R402="","",Reconciliation!G403)</f>
        <v/>
      </c>
      <c r="H402" s="30" t="str">
        <f aca="false">IF(R402="","",Reconciliation!H403)</f>
        <v/>
      </c>
      <c r="I402" s="30" t="str">
        <f aca="false">IF(R402="","",Reconciliation!I403)</f>
        <v/>
      </c>
      <c r="J402" s="31" t="str">
        <f aca="false">IF(R402="","",Reconciliation!J403)</f>
        <v/>
      </c>
      <c r="K402" s="30" t="str">
        <f aca="false">IF(R402="","",Reconciliation!K403)</f>
        <v/>
      </c>
      <c r="L402" s="30" t="str">
        <f aca="false">IF(R402="","",Reconciliation!L403)</f>
        <v/>
      </c>
      <c r="M402" s="32" t="str">
        <f aca="false">IF(R402="","",Reconciliation!M403)</f>
        <v/>
      </c>
      <c r="N402" s="32" t="str">
        <f aca="false">IF(R402="","",Reconciliation!N403)</f>
        <v/>
      </c>
      <c r="O402" s="32" t="str">
        <f aca="false">IF(R402="","",Reconciliation!O403)</f>
        <v/>
      </c>
      <c r="P402" s="32" t="str">
        <f aca="false">IF(R402="","",Reconciliation!P403)</f>
        <v/>
      </c>
      <c r="Q402" s="32" t="str">
        <f aca="false">IF(R402="","",Reconciliation!Q403)</f>
        <v/>
      </c>
      <c r="R402" s="33" t="str">
        <f aca="false">IF(OR(Reconciliation!R403="✅ MATCH",Reconciliation!R403=""),"",Reconciliation!R403)</f>
        <v/>
      </c>
    </row>
    <row r="403" customFormat="false" ht="15" hidden="false" customHeight="true" outlineLevel="0" collapsed="false">
      <c r="A403" s="29" t="str">
        <f aca="false">IF(R403="","",Reconciliation!A404)</f>
        <v/>
      </c>
      <c r="B403" s="30" t="str">
        <f aca="false">IF(R403="","",Reconciliation!B404)</f>
        <v/>
      </c>
      <c r="C403" s="30" t="str">
        <f aca="false">IF(R403="","",Reconciliation!C404)</f>
        <v/>
      </c>
      <c r="D403" s="30" t="str">
        <f aca="false">IF(R403="","",Reconciliation!D404)</f>
        <v/>
      </c>
      <c r="E403" s="31" t="str">
        <f aca="false">IF(R403="","",Reconciliation!E404)</f>
        <v/>
      </c>
      <c r="F403" s="30" t="str">
        <f aca="false">IF(R403="","",Reconciliation!F404)</f>
        <v/>
      </c>
      <c r="G403" s="30" t="str">
        <f aca="false">IF(R403="","",Reconciliation!G404)</f>
        <v/>
      </c>
      <c r="H403" s="30" t="str">
        <f aca="false">IF(R403="","",Reconciliation!H404)</f>
        <v/>
      </c>
      <c r="I403" s="30" t="str">
        <f aca="false">IF(R403="","",Reconciliation!I404)</f>
        <v/>
      </c>
      <c r="J403" s="31" t="str">
        <f aca="false">IF(R403="","",Reconciliation!J404)</f>
        <v/>
      </c>
      <c r="K403" s="30" t="str">
        <f aca="false">IF(R403="","",Reconciliation!K404)</f>
        <v/>
      </c>
      <c r="L403" s="30" t="str">
        <f aca="false">IF(R403="","",Reconciliation!L404)</f>
        <v/>
      </c>
      <c r="M403" s="32" t="str">
        <f aca="false">IF(R403="","",Reconciliation!M404)</f>
        <v/>
      </c>
      <c r="N403" s="32" t="str">
        <f aca="false">IF(R403="","",Reconciliation!N404)</f>
        <v/>
      </c>
      <c r="O403" s="32" t="str">
        <f aca="false">IF(R403="","",Reconciliation!O404)</f>
        <v/>
      </c>
      <c r="P403" s="32" t="str">
        <f aca="false">IF(R403="","",Reconciliation!P404)</f>
        <v/>
      </c>
      <c r="Q403" s="32" t="str">
        <f aca="false">IF(R403="","",Reconciliation!Q404)</f>
        <v/>
      </c>
      <c r="R403" s="33" t="str">
        <f aca="false">IF(OR(Reconciliation!R404="✅ MATCH",Reconciliation!R404=""),"",Reconciliation!R404)</f>
        <v/>
      </c>
    </row>
    <row r="404" customFormat="false" ht="15" hidden="false" customHeight="true" outlineLevel="0" collapsed="false">
      <c r="A404" s="29" t="str">
        <f aca="false">IF(R404="","",Reconciliation!A405)</f>
        <v/>
      </c>
      <c r="B404" s="30" t="str">
        <f aca="false">IF(R404="","",Reconciliation!B405)</f>
        <v/>
      </c>
      <c r="C404" s="30" t="str">
        <f aca="false">IF(R404="","",Reconciliation!C405)</f>
        <v/>
      </c>
      <c r="D404" s="30" t="str">
        <f aca="false">IF(R404="","",Reconciliation!D405)</f>
        <v/>
      </c>
      <c r="E404" s="31" t="str">
        <f aca="false">IF(R404="","",Reconciliation!E405)</f>
        <v/>
      </c>
      <c r="F404" s="30" t="str">
        <f aca="false">IF(R404="","",Reconciliation!F405)</f>
        <v/>
      </c>
      <c r="G404" s="30" t="str">
        <f aca="false">IF(R404="","",Reconciliation!G405)</f>
        <v/>
      </c>
      <c r="H404" s="30" t="str">
        <f aca="false">IF(R404="","",Reconciliation!H405)</f>
        <v/>
      </c>
      <c r="I404" s="30" t="str">
        <f aca="false">IF(R404="","",Reconciliation!I405)</f>
        <v/>
      </c>
      <c r="J404" s="31" t="str">
        <f aca="false">IF(R404="","",Reconciliation!J405)</f>
        <v/>
      </c>
      <c r="K404" s="30" t="str">
        <f aca="false">IF(R404="","",Reconciliation!K405)</f>
        <v/>
      </c>
      <c r="L404" s="30" t="str">
        <f aca="false">IF(R404="","",Reconciliation!L405)</f>
        <v/>
      </c>
      <c r="M404" s="32" t="str">
        <f aca="false">IF(R404="","",Reconciliation!M405)</f>
        <v/>
      </c>
      <c r="N404" s="32" t="str">
        <f aca="false">IF(R404="","",Reconciliation!N405)</f>
        <v/>
      </c>
      <c r="O404" s="32" t="str">
        <f aca="false">IF(R404="","",Reconciliation!O405)</f>
        <v/>
      </c>
      <c r="P404" s="32" t="str">
        <f aca="false">IF(R404="","",Reconciliation!P405)</f>
        <v/>
      </c>
      <c r="Q404" s="32" t="str">
        <f aca="false">IF(R404="","",Reconciliation!Q405)</f>
        <v/>
      </c>
      <c r="R404" s="33" t="str">
        <f aca="false">IF(OR(Reconciliation!R405="✅ MATCH",Reconciliation!R405=""),"",Reconciliation!R405)</f>
        <v/>
      </c>
    </row>
    <row r="405" customFormat="false" ht="15" hidden="false" customHeight="true" outlineLevel="0" collapsed="false">
      <c r="A405" s="29" t="str">
        <f aca="false">IF(R405="","",Reconciliation!A406)</f>
        <v/>
      </c>
      <c r="B405" s="30" t="str">
        <f aca="false">IF(R405="","",Reconciliation!B406)</f>
        <v/>
      </c>
      <c r="C405" s="30" t="str">
        <f aca="false">IF(R405="","",Reconciliation!C406)</f>
        <v/>
      </c>
      <c r="D405" s="30" t="str">
        <f aca="false">IF(R405="","",Reconciliation!D406)</f>
        <v/>
      </c>
      <c r="E405" s="31" t="str">
        <f aca="false">IF(R405="","",Reconciliation!E406)</f>
        <v/>
      </c>
      <c r="F405" s="30" t="str">
        <f aca="false">IF(R405="","",Reconciliation!F406)</f>
        <v/>
      </c>
      <c r="G405" s="30" t="str">
        <f aca="false">IF(R405="","",Reconciliation!G406)</f>
        <v/>
      </c>
      <c r="H405" s="30" t="str">
        <f aca="false">IF(R405="","",Reconciliation!H406)</f>
        <v/>
      </c>
      <c r="I405" s="30" t="str">
        <f aca="false">IF(R405="","",Reconciliation!I406)</f>
        <v/>
      </c>
      <c r="J405" s="31" t="str">
        <f aca="false">IF(R405="","",Reconciliation!J406)</f>
        <v/>
      </c>
      <c r="K405" s="30" t="str">
        <f aca="false">IF(R405="","",Reconciliation!K406)</f>
        <v/>
      </c>
      <c r="L405" s="30" t="str">
        <f aca="false">IF(R405="","",Reconciliation!L406)</f>
        <v/>
      </c>
      <c r="M405" s="32" t="str">
        <f aca="false">IF(R405="","",Reconciliation!M406)</f>
        <v/>
      </c>
      <c r="N405" s="32" t="str">
        <f aca="false">IF(R405="","",Reconciliation!N406)</f>
        <v/>
      </c>
      <c r="O405" s="32" t="str">
        <f aca="false">IF(R405="","",Reconciliation!O406)</f>
        <v/>
      </c>
      <c r="P405" s="32" t="str">
        <f aca="false">IF(R405="","",Reconciliation!P406)</f>
        <v/>
      </c>
      <c r="Q405" s="32" t="str">
        <f aca="false">IF(R405="","",Reconciliation!Q406)</f>
        <v/>
      </c>
      <c r="R405" s="33" t="str">
        <f aca="false">IF(OR(Reconciliation!R406="✅ MATCH",Reconciliation!R406=""),"",Reconciliation!R406)</f>
        <v/>
      </c>
    </row>
    <row r="406" customFormat="false" ht="15" hidden="false" customHeight="true" outlineLevel="0" collapsed="false">
      <c r="A406" s="29" t="str">
        <f aca="false">IF(R406="","",Reconciliation!A407)</f>
        <v/>
      </c>
      <c r="B406" s="30" t="str">
        <f aca="false">IF(R406="","",Reconciliation!B407)</f>
        <v/>
      </c>
      <c r="C406" s="30" t="str">
        <f aca="false">IF(R406="","",Reconciliation!C407)</f>
        <v/>
      </c>
      <c r="D406" s="30" t="str">
        <f aca="false">IF(R406="","",Reconciliation!D407)</f>
        <v/>
      </c>
      <c r="E406" s="31" t="str">
        <f aca="false">IF(R406="","",Reconciliation!E407)</f>
        <v/>
      </c>
      <c r="F406" s="30" t="str">
        <f aca="false">IF(R406="","",Reconciliation!F407)</f>
        <v/>
      </c>
      <c r="G406" s="30" t="str">
        <f aca="false">IF(R406="","",Reconciliation!G407)</f>
        <v/>
      </c>
      <c r="H406" s="30" t="str">
        <f aca="false">IF(R406="","",Reconciliation!H407)</f>
        <v/>
      </c>
      <c r="I406" s="30" t="str">
        <f aca="false">IF(R406="","",Reconciliation!I407)</f>
        <v/>
      </c>
      <c r="J406" s="31" t="str">
        <f aca="false">IF(R406="","",Reconciliation!J407)</f>
        <v/>
      </c>
      <c r="K406" s="30" t="str">
        <f aca="false">IF(R406="","",Reconciliation!K407)</f>
        <v/>
      </c>
      <c r="L406" s="30" t="str">
        <f aca="false">IF(R406="","",Reconciliation!L407)</f>
        <v/>
      </c>
      <c r="M406" s="32" t="str">
        <f aca="false">IF(R406="","",Reconciliation!M407)</f>
        <v/>
      </c>
      <c r="N406" s="32" t="str">
        <f aca="false">IF(R406="","",Reconciliation!N407)</f>
        <v/>
      </c>
      <c r="O406" s="32" t="str">
        <f aca="false">IF(R406="","",Reconciliation!O407)</f>
        <v/>
      </c>
      <c r="P406" s="32" t="str">
        <f aca="false">IF(R406="","",Reconciliation!P407)</f>
        <v/>
      </c>
      <c r="Q406" s="32" t="str">
        <f aca="false">IF(R406="","",Reconciliation!Q407)</f>
        <v/>
      </c>
      <c r="R406" s="33" t="str">
        <f aca="false">IF(OR(Reconciliation!R407="✅ MATCH",Reconciliation!R407=""),"",Reconciliation!R407)</f>
        <v/>
      </c>
    </row>
    <row r="407" customFormat="false" ht="15" hidden="false" customHeight="true" outlineLevel="0" collapsed="false">
      <c r="A407" s="29" t="str">
        <f aca="false">IF(R407="","",Reconciliation!A408)</f>
        <v/>
      </c>
      <c r="B407" s="30" t="str">
        <f aca="false">IF(R407="","",Reconciliation!B408)</f>
        <v/>
      </c>
      <c r="C407" s="30" t="str">
        <f aca="false">IF(R407="","",Reconciliation!C408)</f>
        <v/>
      </c>
      <c r="D407" s="30" t="str">
        <f aca="false">IF(R407="","",Reconciliation!D408)</f>
        <v/>
      </c>
      <c r="E407" s="31" t="str">
        <f aca="false">IF(R407="","",Reconciliation!E408)</f>
        <v/>
      </c>
      <c r="F407" s="30" t="str">
        <f aca="false">IF(R407="","",Reconciliation!F408)</f>
        <v/>
      </c>
      <c r="G407" s="30" t="str">
        <f aca="false">IF(R407="","",Reconciliation!G408)</f>
        <v/>
      </c>
      <c r="H407" s="30" t="str">
        <f aca="false">IF(R407="","",Reconciliation!H408)</f>
        <v/>
      </c>
      <c r="I407" s="30" t="str">
        <f aca="false">IF(R407="","",Reconciliation!I408)</f>
        <v/>
      </c>
      <c r="J407" s="31" t="str">
        <f aca="false">IF(R407="","",Reconciliation!J408)</f>
        <v/>
      </c>
      <c r="K407" s="30" t="str">
        <f aca="false">IF(R407="","",Reconciliation!K408)</f>
        <v/>
      </c>
      <c r="L407" s="30" t="str">
        <f aca="false">IF(R407="","",Reconciliation!L408)</f>
        <v/>
      </c>
      <c r="M407" s="32" t="str">
        <f aca="false">IF(R407="","",Reconciliation!M408)</f>
        <v/>
      </c>
      <c r="N407" s="32" t="str">
        <f aca="false">IF(R407="","",Reconciliation!N408)</f>
        <v/>
      </c>
      <c r="O407" s="32" t="str">
        <f aca="false">IF(R407="","",Reconciliation!O408)</f>
        <v/>
      </c>
      <c r="P407" s="32" t="str">
        <f aca="false">IF(R407="","",Reconciliation!P408)</f>
        <v/>
      </c>
      <c r="Q407" s="32" t="str">
        <f aca="false">IF(R407="","",Reconciliation!Q408)</f>
        <v/>
      </c>
      <c r="R407" s="33" t="str">
        <f aca="false">IF(OR(Reconciliation!R408="✅ MATCH",Reconciliation!R408=""),"",Reconciliation!R408)</f>
        <v/>
      </c>
    </row>
    <row r="408" customFormat="false" ht="15" hidden="false" customHeight="true" outlineLevel="0" collapsed="false">
      <c r="A408" s="29" t="str">
        <f aca="false">IF(R408="","",Reconciliation!A409)</f>
        <v/>
      </c>
      <c r="B408" s="30" t="str">
        <f aca="false">IF(R408="","",Reconciliation!B409)</f>
        <v/>
      </c>
      <c r="C408" s="30" t="str">
        <f aca="false">IF(R408="","",Reconciliation!C409)</f>
        <v/>
      </c>
      <c r="D408" s="30" t="str">
        <f aca="false">IF(R408="","",Reconciliation!D409)</f>
        <v/>
      </c>
      <c r="E408" s="31" t="str">
        <f aca="false">IF(R408="","",Reconciliation!E409)</f>
        <v/>
      </c>
      <c r="F408" s="30" t="str">
        <f aca="false">IF(R408="","",Reconciliation!F409)</f>
        <v/>
      </c>
      <c r="G408" s="30" t="str">
        <f aca="false">IF(R408="","",Reconciliation!G409)</f>
        <v/>
      </c>
      <c r="H408" s="30" t="str">
        <f aca="false">IF(R408="","",Reconciliation!H409)</f>
        <v/>
      </c>
      <c r="I408" s="30" t="str">
        <f aca="false">IF(R408="","",Reconciliation!I409)</f>
        <v/>
      </c>
      <c r="J408" s="31" t="str">
        <f aca="false">IF(R408="","",Reconciliation!J409)</f>
        <v/>
      </c>
      <c r="K408" s="30" t="str">
        <f aca="false">IF(R408="","",Reconciliation!K409)</f>
        <v/>
      </c>
      <c r="L408" s="30" t="str">
        <f aca="false">IF(R408="","",Reconciliation!L409)</f>
        <v/>
      </c>
      <c r="M408" s="32" t="str">
        <f aca="false">IF(R408="","",Reconciliation!M409)</f>
        <v/>
      </c>
      <c r="N408" s="32" t="str">
        <f aca="false">IF(R408="","",Reconciliation!N409)</f>
        <v/>
      </c>
      <c r="O408" s="32" t="str">
        <f aca="false">IF(R408="","",Reconciliation!O409)</f>
        <v/>
      </c>
      <c r="P408" s="32" t="str">
        <f aca="false">IF(R408="","",Reconciliation!P409)</f>
        <v/>
      </c>
      <c r="Q408" s="32" t="str">
        <f aca="false">IF(R408="","",Reconciliation!Q409)</f>
        <v/>
      </c>
      <c r="R408" s="33" t="str">
        <f aca="false">IF(OR(Reconciliation!R409="✅ MATCH",Reconciliation!R409=""),"",Reconciliation!R409)</f>
        <v/>
      </c>
    </row>
    <row r="409" customFormat="false" ht="15" hidden="false" customHeight="true" outlineLevel="0" collapsed="false">
      <c r="A409" s="29" t="str">
        <f aca="false">IF(R409="","",Reconciliation!A410)</f>
        <v/>
      </c>
      <c r="B409" s="30" t="str">
        <f aca="false">IF(R409="","",Reconciliation!B410)</f>
        <v/>
      </c>
      <c r="C409" s="30" t="str">
        <f aca="false">IF(R409="","",Reconciliation!C410)</f>
        <v/>
      </c>
      <c r="D409" s="30" t="str">
        <f aca="false">IF(R409="","",Reconciliation!D410)</f>
        <v/>
      </c>
      <c r="E409" s="31" t="str">
        <f aca="false">IF(R409="","",Reconciliation!E410)</f>
        <v/>
      </c>
      <c r="F409" s="30" t="str">
        <f aca="false">IF(R409="","",Reconciliation!F410)</f>
        <v/>
      </c>
      <c r="G409" s="30" t="str">
        <f aca="false">IF(R409="","",Reconciliation!G410)</f>
        <v/>
      </c>
      <c r="H409" s="30" t="str">
        <f aca="false">IF(R409="","",Reconciliation!H410)</f>
        <v/>
      </c>
      <c r="I409" s="30" t="str">
        <f aca="false">IF(R409="","",Reconciliation!I410)</f>
        <v/>
      </c>
      <c r="J409" s="31" t="str">
        <f aca="false">IF(R409="","",Reconciliation!J410)</f>
        <v/>
      </c>
      <c r="K409" s="30" t="str">
        <f aca="false">IF(R409="","",Reconciliation!K410)</f>
        <v/>
      </c>
      <c r="L409" s="30" t="str">
        <f aca="false">IF(R409="","",Reconciliation!L410)</f>
        <v/>
      </c>
      <c r="M409" s="32" t="str">
        <f aca="false">IF(R409="","",Reconciliation!M410)</f>
        <v/>
      </c>
      <c r="N409" s="32" t="str">
        <f aca="false">IF(R409="","",Reconciliation!N410)</f>
        <v/>
      </c>
      <c r="O409" s="32" t="str">
        <f aca="false">IF(R409="","",Reconciliation!O410)</f>
        <v/>
      </c>
      <c r="P409" s="32" t="str">
        <f aca="false">IF(R409="","",Reconciliation!P410)</f>
        <v/>
      </c>
      <c r="Q409" s="32" t="str">
        <f aca="false">IF(R409="","",Reconciliation!Q410)</f>
        <v/>
      </c>
      <c r="R409" s="33" t="str">
        <f aca="false">IF(OR(Reconciliation!R410="✅ MATCH",Reconciliation!R410=""),"",Reconciliation!R410)</f>
        <v/>
      </c>
    </row>
    <row r="410" customFormat="false" ht="15" hidden="false" customHeight="true" outlineLevel="0" collapsed="false">
      <c r="A410" s="29" t="str">
        <f aca="false">IF(R410="","",Reconciliation!A411)</f>
        <v/>
      </c>
      <c r="B410" s="30" t="str">
        <f aca="false">IF(R410="","",Reconciliation!B411)</f>
        <v/>
      </c>
      <c r="C410" s="30" t="str">
        <f aca="false">IF(R410="","",Reconciliation!C411)</f>
        <v/>
      </c>
      <c r="D410" s="30" t="str">
        <f aca="false">IF(R410="","",Reconciliation!D411)</f>
        <v/>
      </c>
      <c r="E410" s="31" t="str">
        <f aca="false">IF(R410="","",Reconciliation!E411)</f>
        <v/>
      </c>
      <c r="F410" s="30" t="str">
        <f aca="false">IF(R410="","",Reconciliation!F411)</f>
        <v/>
      </c>
      <c r="G410" s="30" t="str">
        <f aca="false">IF(R410="","",Reconciliation!G411)</f>
        <v/>
      </c>
      <c r="H410" s="30" t="str">
        <f aca="false">IF(R410="","",Reconciliation!H411)</f>
        <v/>
      </c>
      <c r="I410" s="30" t="str">
        <f aca="false">IF(R410="","",Reconciliation!I411)</f>
        <v/>
      </c>
      <c r="J410" s="31" t="str">
        <f aca="false">IF(R410="","",Reconciliation!J411)</f>
        <v/>
      </c>
      <c r="K410" s="30" t="str">
        <f aca="false">IF(R410="","",Reconciliation!K411)</f>
        <v/>
      </c>
      <c r="L410" s="30" t="str">
        <f aca="false">IF(R410="","",Reconciliation!L411)</f>
        <v/>
      </c>
      <c r="M410" s="32" t="str">
        <f aca="false">IF(R410="","",Reconciliation!M411)</f>
        <v/>
      </c>
      <c r="N410" s="32" t="str">
        <f aca="false">IF(R410="","",Reconciliation!N411)</f>
        <v/>
      </c>
      <c r="O410" s="32" t="str">
        <f aca="false">IF(R410="","",Reconciliation!O411)</f>
        <v/>
      </c>
      <c r="P410" s="32" t="str">
        <f aca="false">IF(R410="","",Reconciliation!P411)</f>
        <v/>
      </c>
      <c r="Q410" s="32" t="str">
        <f aca="false">IF(R410="","",Reconciliation!Q411)</f>
        <v/>
      </c>
      <c r="R410" s="33" t="str">
        <f aca="false">IF(OR(Reconciliation!R411="✅ MATCH",Reconciliation!R411=""),"",Reconciliation!R411)</f>
        <v/>
      </c>
    </row>
    <row r="411" customFormat="false" ht="15" hidden="false" customHeight="true" outlineLevel="0" collapsed="false">
      <c r="A411" s="29" t="str">
        <f aca="false">IF(R411="","",Reconciliation!A412)</f>
        <v/>
      </c>
      <c r="B411" s="30" t="str">
        <f aca="false">IF(R411="","",Reconciliation!B412)</f>
        <v/>
      </c>
      <c r="C411" s="30" t="str">
        <f aca="false">IF(R411="","",Reconciliation!C412)</f>
        <v/>
      </c>
      <c r="D411" s="30" t="str">
        <f aca="false">IF(R411="","",Reconciliation!D412)</f>
        <v/>
      </c>
      <c r="E411" s="31" t="str">
        <f aca="false">IF(R411="","",Reconciliation!E412)</f>
        <v/>
      </c>
      <c r="F411" s="30" t="str">
        <f aca="false">IF(R411="","",Reconciliation!F412)</f>
        <v/>
      </c>
      <c r="G411" s="30" t="str">
        <f aca="false">IF(R411="","",Reconciliation!G412)</f>
        <v/>
      </c>
      <c r="H411" s="30" t="str">
        <f aca="false">IF(R411="","",Reconciliation!H412)</f>
        <v/>
      </c>
      <c r="I411" s="30" t="str">
        <f aca="false">IF(R411="","",Reconciliation!I412)</f>
        <v/>
      </c>
      <c r="J411" s="31" t="str">
        <f aca="false">IF(R411="","",Reconciliation!J412)</f>
        <v/>
      </c>
      <c r="K411" s="30" t="str">
        <f aca="false">IF(R411="","",Reconciliation!K412)</f>
        <v/>
      </c>
      <c r="L411" s="30" t="str">
        <f aca="false">IF(R411="","",Reconciliation!L412)</f>
        <v/>
      </c>
      <c r="M411" s="32" t="str">
        <f aca="false">IF(R411="","",Reconciliation!M412)</f>
        <v/>
      </c>
      <c r="N411" s="32" t="str">
        <f aca="false">IF(R411="","",Reconciliation!N412)</f>
        <v/>
      </c>
      <c r="O411" s="32" t="str">
        <f aca="false">IF(R411="","",Reconciliation!O412)</f>
        <v/>
      </c>
      <c r="P411" s="32" t="str">
        <f aca="false">IF(R411="","",Reconciliation!P412)</f>
        <v/>
      </c>
      <c r="Q411" s="32" t="str">
        <f aca="false">IF(R411="","",Reconciliation!Q412)</f>
        <v/>
      </c>
      <c r="R411" s="33" t="str">
        <f aca="false">IF(OR(Reconciliation!R412="✅ MATCH",Reconciliation!R412=""),"",Reconciliation!R412)</f>
        <v/>
      </c>
    </row>
    <row r="412" customFormat="false" ht="15" hidden="false" customHeight="true" outlineLevel="0" collapsed="false">
      <c r="A412" s="29" t="str">
        <f aca="false">IF(R412="","",Reconciliation!A413)</f>
        <v/>
      </c>
      <c r="B412" s="30" t="str">
        <f aca="false">IF(R412="","",Reconciliation!B413)</f>
        <v/>
      </c>
      <c r="C412" s="30" t="str">
        <f aca="false">IF(R412="","",Reconciliation!C413)</f>
        <v/>
      </c>
      <c r="D412" s="30" t="str">
        <f aca="false">IF(R412="","",Reconciliation!D413)</f>
        <v/>
      </c>
      <c r="E412" s="31" t="str">
        <f aca="false">IF(R412="","",Reconciliation!E413)</f>
        <v/>
      </c>
      <c r="F412" s="30" t="str">
        <f aca="false">IF(R412="","",Reconciliation!F413)</f>
        <v/>
      </c>
      <c r="G412" s="30" t="str">
        <f aca="false">IF(R412="","",Reconciliation!G413)</f>
        <v/>
      </c>
      <c r="H412" s="30" t="str">
        <f aca="false">IF(R412="","",Reconciliation!H413)</f>
        <v/>
      </c>
      <c r="I412" s="30" t="str">
        <f aca="false">IF(R412="","",Reconciliation!I413)</f>
        <v/>
      </c>
      <c r="J412" s="31" t="str">
        <f aca="false">IF(R412="","",Reconciliation!J413)</f>
        <v/>
      </c>
      <c r="K412" s="30" t="str">
        <f aca="false">IF(R412="","",Reconciliation!K413)</f>
        <v/>
      </c>
      <c r="L412" s="30" t="str">
        <f aca="false">IF(R412="","",Reconciliation!L413)</f>
        <v/>
      </c>
      <c r="M412" s="32" t="str">
        <f aca="false">IF(R412="","",Reconciliation!M413)</f>
        <v/>
      </c>
      <c r="N412" s="32" t="str">
        <f aca="false">IF(R412="","",Reconciliation!N413)</f>
        <v/>
      </c>
      <c r="O412" s="32" t="str">
        <f aca="false">IF(R412="","",Reconciliation!O413)</f>
        <v/>
      </c>
      <c r="P412" s="32" t="str">
        <f aca="false">IF(R412="","",Reconciliation!P413)</f>
        <v/>
      </c>
      <c r="Q412" s="32" t="str">
        <f aca="false">IF(R412="","",Reconciliation!Q413)</f>
        <v/>
      </c>
      <c r="R412" s="33" t="str">
        <f aca="false">IF(OR(Reconciliation!R413="✅ MATCH",Reconciliation!R413=""),"",Reconciliation!R413)</f>
        <v/>
      </c>
    </row>
    <row r="413" customFormat="false" ht="15" hidden="false" customHeight="true" outlineLevel="0" collapsed="false">
      <c r="A413" s="29" t="str">
        <f aca="false">IF(R413="","",Reconciliation!A414)</f>
        <v/>
      </c>
      <c r="B413" s="30" t="str">
        <f aca="false">IF(R413="","",Reconciliation!B414)</f>
        <v/>
      </c>
      <c r="C413" s="30" t="str">
        <f aca="false">IF(R413="","",Reconciliation!C414)</f>
        <v/>
      </c>
      <c r="D413" s="30" t="str">
        <f aca="false">IF(R413="","",Reconciliation!D414)</f>
        <v/>
      </c>
      <c r="E413" s="31" t="str">
        <f aca="false">IF(R413="","",Reconciliation!E414)</f>
        <v/>
      </c>
      <c r="F413" s="30" t="str">
        <f aca="false">IF(R413="","",Reconciliation!F414)</f>
        <v/>
      </c>
      <c r="G413" s="30" t="str">
        <f aca="false">IF(R413="","",Reconciliation!G414)</f>
        <v/>
      </c>
      <c r="H413" s="30" t="str">
        <f aca="false">IF(R413="","",Reconciliation!H414)</f>
        <v/>
      </c>
      <c r="I413" s="30" t="str">
        <f aca="false">IF(R413="","",Reconciliation!I414)</f>
        <v/>
      </c>
      <c r="J413" s="31" t="str">
        <f aca="false">IF(R413="","",Reconciliation!J414)</f>
        <v/>
      </c>
      <c r="K413" s="30" t="str">
        <f aca="false">IF(R413="","",Reconciliation!K414)</f>
        <v/>
      </c>
      <c r="L413" s="30" t="str">
        <f aca="false">IF(R413="","",Reconciliation!L414)</f>
        <v/>
      </c>
      <c r="M413" s="32" t="str">
        <f aca="false">IF(R413="","",Reconciliation!M414)</f>
        <v/>
      </c>
      <c r="N413" s="32" t="str">
        <f aca="false">IF(R413="","",Reconciliation!N414)</f>
        <v/>
      </c>
      <c r="O413" s="32" t="str">
        <f aca="false">IF(R413="","",Reconciliation!O414)</f>
        <v/>
      </c>
      <c r="P413" s="32" t="str">
        <f aca="false">IF(R413="","",Reconciliation!P414)</f>
        <v/>
      </c>
      <c r="Q413" s="32" t="str">
        <f aca="false">IF(R413="","",Reconciliation!Q414)</f>
        <v/>
      </c>
      <c r="R413" s="33" t="str">
        <f aca="false">IF(OR(Reconciliation!R414="✅ MATCH",Reconciliation!R414=""),"",Reconciliation!R414)</f>
        <v/>
      </c>
    </row>
    <row r="414" customFormat="false" ht="15" hidden="false" customHeight="true" outlineLevel="0" collapsed="false">
      <c r="A414" s="29" t="str">
        <f aca="false">IF(R414="","",Reconciliation!A415)</f>
        <v/>
      </c>
      <c r="B414" s="30" t="str">
        <f aca="false">IF(R414="","",Reconciliation!B415)</f>
        <v/>
      </c>
      <c r="C414" s="30" t="str">
        <f aca="false">IF(R414="","",Reconciliation!C415)</f>
        <v/>
      </c>
      <c r="D414" s="30" t="str">
        <f aca="false">IF(R414="","",Reconciliation!D415)</f>
        <v/>
      </c>
      <c r="E414" s="31" t="str">
        <f aca="false">IF(R414="","",Reconciliation!E415)</f>
        <v/>
      </c>
      <c r="F414" s="30" t="str">
        <f aca="false">IF(R414="","",Reconciliation!F415)</f>
        <v/>
      </c>
      <c r="G414" s="30" t="str">
        <f aca="false">IF(R414="","",Reconciliation!G415)</f>
        <v/>
      </c>
      <c r="H414" s="30" t="str">
        <f aca="false">IF(R414="","",Reconciliation!H415)</f>
        <v/>
      </c>
      <c r="I414" s="30" t="str">
        <f aca="false">IF(R414="","",Reconciliation!I415)</f>
        <v/>
      </c>
      <c r="J414" s="31" t="str">
        <f aca="false">IF(R414="","",Reconciliation!J415)</f>
        <v/>
      </c>
      <c r="K414" s="30" t="str">
        <f aca="false">IF(R414="","",Reconciliation!K415)</f>
        <v/>
      </c>
      <c r="L414" s="30" t="str">
        <f aca="false">IF(R414="","",Reconciliation!L415)</f>
        <v/>
      </c>
      <c r="M414" s="32" t="str">
        <f aca="false">IF(R414="","",Reconciliation!M415)</f>
        <v/>
      </c>
      <c r="N414" s="32" t="str">
        <f aca="false">IF(R414="","",Reconciliation!N415)</f>
        <v/>
      </c>
      <c r="O414" s="32" t="str">
        <f aca="false">IF(R414="","",Reconciliation!O415)</f>
        <v/>
      </c>
      <c r="P414" s="32" t="str">
        <f aca="false">IF(R414="","",Reconciliation!P415)</f>
        <v/>
      </c>
      <c r="Q414" s="32" t="str">
        <f aca="false">IF(R414="","",Reconciliation!Q415)</f>
        <v/>
      </c>
      <c r="R414" s="33" t="str">
        <f aca="false">IF(OR(Reconciliation!R415="✅ MATCH",Reconciliation!R415=""),"",Reconciliation!R415)</f>
        <v/>
      </c>
    </row>
    <row r="415" customFormat="false" ht="15" hidden="false" customHeight="true" outlineLevel="0" collapsed="false">
      <c r="A415" s="29" t="str">
        <f aca="false">IF(R415="","",Reconciliation!A416)</f>
        <v/>
      </c>
      <c r="B415" s="30" t="str">
        <f aca="false">IF(R415="","",Reconciliation!B416)</f>
        <v/>
      </c>
      <c r="C415" s="30" t="str">
        <f aca="false">IF(R415="","",Reconciliation!C416)</f>
        <v/>
      </c>
      <c r="D415" s="30" t="str">
        <f aca="false">IF(R415="","",Reconciliation!D416)</f>
        <v/>
      </c>
      <c r="E415" s="31" t="str">
        <f aca="false">IF(R415="","",Reconciliation!E416)</f>
        <v/>
      </c>
      <c r="F415" s="30" t="str">
        <f aca="false">IF(R415="","",Reconciliation!F416)</f>
        <v/>
      </c>
      <c r="G415" s="30" t="str">
        <f aca="false">IF(R415="","",Reconciliation!G416)</f>
        <v/>
      </c>
      <c r="H415" s="30" t="str">
        <f aca="false">IF(R415="","",Reconciliation!H416)</f>
        <v/>
      </c>
      <c r="I415" s="30" t="str">
        <f aca="false">IF(R415="","",Reconciliation!I416)</f>
        <v/>
      </c>
      <c r="J415" s="31" t="str">
        <f aca="false">IF(R415="","",Reconciliation!J416)</f>
        <v/>
      </c>
      <c r="K415" s="30" t="str">
        <f aca="false">IF(R415="","",Reconciliation!K416)</f>
        <v/>
      </c>
      <c r="L415" s="30" t="str">
        <f aca="false">IF(R415="","",Reconciliation!L416)</f>
        <v/>
      </c>
      <c r="M415" s="32" t="str">
        <f aca="false">IF(R415="","",Reconciliation!M416)</f>
        <v/>
      </c>
      <c r="N415" s="32" t="str">
        <f aca="false">IF(R415="","",Reconciliation!N416)</f>
        <v/>
      </c>
      <c r="O415" s="32" t="str">
        <f aca="false">IF(R415="","",Reconciliation!O416)</f>
        <v/>
      </c>
      <c r="P415" s="32" t="str">
        <f aca="false">IF(R415="","",Reconciliation!P416)</f>
        <v/>
      </c>
      <c r="Q415" s="32" t="str">
        <f aca="false">IF(R415="","",Reconciliation!Q416)</f>
        <v/>
      </c>
      <c r="R415" s="33" t="str">
        <f aca="false">IF(OR(Reconciliation!R416="✅ MATCH",Reconciliation!R416=""),"",Reconciliation!R416)</f>
        <v/>
      </c>
    </row>
    <row r="416" customFormat="false" ht="15" hidden="false" customHeight="true" outlineLevel="0" collapsed="false">
      <c r="A416" s="29" t="str">
        <f aca="false">IF(R416="","",Reconciliation!A417)</f>
        <v/>
      </c>
      <c r="B416" s="30" t="str">
        <f aca="false">IF(R416="","",Reconciliation!B417)</f>
        <v/>
      </c>
      <c r="C416" s="30" t="str">
        <f aca="false">IF(R416="","",Reconciliation!C417)</f>
        <v/>
      </c>
      <c r="D416" s="30" t="str">
        <f aca="false">IF(R416="","",Reconciliation!D417)</f>
        <v/>
      </c>
      <c r="E416" s="31" t="str">
        <f aca="false">IF(R416="","",Reconciliation!E417)</f>
        <v/>
      </c>
      <c r="F416" s="30" t="str">
        <f aca="false">IF(R416="","",Reconciliation!F417)</f>
        <v/>
      </c>
      <c r="G416" s="30" t="str">
        <f aca="false">IF(R416="","",Reconciliation!G417)</f>
        <v/>
      </c>
      <c r="H416" s="30" t="str">
        <f aca="false">IF(R416="","",Reconciliation!H417)</f>
        <v/>
      </c>
      <c r="I416" s="30" t="str">
        <f aca="false">IF(R416="","",Reconciliation!I417)</f>
        <v/>
      </c>
      <c r="J416" s="31" t="str">
        <f aca="false">IF(R416="","",Reconciliation!J417)</f>
        <v/>
      </c>
      <c r="K416" s="30" t="str">
        <f aca="false">IF(R416="","",Reconciliation!K417)</f>
        <v/>
      </c>
      <c r="L416" s="30" t="str">
        <f aca="false">IF(R416="","",Reconciliation!L417)</f>
        <v/>
      </c>
      <c r="M416" s="32" t="str">
        <f aca="false">IF(R416="","",Reconciliation!M417)</f>
        <v/>
      </c>
      <c r="N416" s="32" t="str">
        <f aca="false">IF(R416="","",Reconciliation!N417)</f>
        <v/>
      </c>
      <c r="O416" s="32" t="str">
        <f aca="false">IF(R416="","",Reconciliation!O417)</f>
        <v/>
      </c>
      <c r="P416" s="32" t="str">
        <f aca="false">IF(R416="","",Reconciliation!P417)</f>
        <v/>
      </c>
      <c r="Q416" s="32" t="str">
        <f aca="false">IF(R416="","",Reconciliation!Q417)</f>
        <v/>
      </c>
      <c r="R416" s="33" t="str">
        <f aca="false">IF(OR(Reconciliation!R417="✅ MATCH",Reconciliation!R417=""),"",Reconciliation!R417)</f>
        <v/>
      </c>
    </row>
    <row r="417" customFormat="false" ht="15" hidden="false" customHeight="true" outlineLevel="0" collapsed="false">
      <c r="A417" s="29" t="str">
        <f aca="false">IF(R417="","",Reconciliation!A418)</f>
        <v/>
      </c>
      <c r="B417" s="30" t="str">
        <f aca="false">IF(R417="","",Reconciliation!B418)</f>
        <v/>
      </c>
      <c r="C417" s="30" t="str">
        <f aca="false">IF(R417="","",Reconciliation!C418)</f>
        <v/>
      </c>
      <c r="D417" s="30" t="str">
        <f aca="false">IF(R417="","",Reconciliation!D418)</f>
        <v/>
      </c>
      <c r="E417" s="31" t="str">
        <f aca="false">IF(R417="","",Reconciliation!E418)</f>
        <v/>
      </c>
      <c r="F417" s="30" t="str">
        <f aca="false">IF(R417="","",Reconciliation!F418)</f>
        <v/>
      </c>
      <c r="G417" s="30" t="str">
        <f aca="false">IF(R417="","",Reconciliation!G418)</f>
        <v/>
      </c>
      <c r="H417" s="30" t="str">
        <f aca="false">IF(R417="","",Reconciliation!H418)</f>
        <v/>
      </c>
      <c r="I417" s="30" t="str">
        <f aca="false">IF(R417="","",Reconciliation!I418)</f>
        <v/>
      </c>
      <c r="J417" s="31" t="str">
        <f aca="false">IF(R417="","",Reconciliation!J418)</f>
        <v/>
      </c>
      <c r="K417" s="30" t="str">
        <f aca="false">IF(R417="","",Reconciliation!K418)</f>
        <v/>
      </c>
      <c r="L417" s="30" t="str">
        <f aca="false">IF(R417="","",Reconciliation!L418)</f>
        <v/>
      </c>
      <c r="M417" s="32" t="str">
        <f aca="false">IF(R417="","",Reconciliation!M418)</f>
        <v/>
      </c>
      <c r="N417" s="32" t="str">
        <f aca="false">IF(R417="","",Reconciliation!N418)</f>
        <v/>
      </c>
      <c r="O417" s="32" t="str">
        <f aca="false">IF(R417="","",Reconciliation!O418)</f>
        <v/>
      </c>
      <c r="P417" s="32" t="str">
        <f aca="false">IF(R417="","",Reconciliation!P418)</f>
        <v/>
      </c>
      <c r="Q417" s="32" t="str">
        <f aca="false">IF(R417="","",Reconciliation!Q418)</f>
        <v/>
      </c>
      <c r="R417" s="33" t="str">
        <f aca="false">IF(OR(Reconciliation!R418="✅ MATCH",Reconciliation!R418=""),"",Reconciliation!R418)</f>
        <v/>
      </c>
    </row>
    <row r="418" customFormat="false" ht="15" hidden="false" customHeight="true" outlineLevel="0" collapsed="false">
      <c r="A418" s="29" t="str">
        <f aca="false">IF(R418="","",Reconciliation!A419)</f>
        <v/>
      </c>
      <c r="B418" s="30" t="str">
        <f aca="false">IF(R418="","",Reconciliation!B419)</f>
        <v/>
      </c>
      <c r="C418" s="30" t="str">
        <f aca="false">IF(R418="","",Reconciliation!C419)</f>
        <v/>
      </c>
      <c r="D418" s="30" t="str">
        <f aca="false">IF(R418="","",Reconciliation!D419)</f>
        <v/>
      </c>
      <c r="E418" s="31" t="str">
        <f aca="false">IF(R418="","",Reconciliation!E419)</f>
        <v/>
      </c>
      <c r="F418" s="30" t="str">
        <f aca="false">IF(R418="","",Reconciliation!F419)</f>
        <v/>
      </c>
      <c r="G418" s="30" t="str">
        <f aca="false">IF(R418="","",Reconciliation!G419)</f>
        <v/>
      </c>
      <c r="H418" s="30" t="str">
        <f aca="false">IF(R418="","",Reconciliation!H419)</f>
        <v/>
      </c>
      <c r="I418" s="30" t="str">
        <f aca="false">IF(R418="","",Reconciliation!I419)</f>
        <v/>
      </c>
      <c r="J418" s="31" t="str">
        <f aca="false">IF(R418="","",Reconciliation!J419)</f>
        <v/>
      </c>
      <c r="K418" s="30" t="str">
        <f aca="false">IF(R418="","",Reconciliation!K419)</f>
        <v/>
      </c>
      <c r="L418" s="30" t="str">
        <f aca="false">IF(R418="","",Reconciliation!L419)</f>
        <v/>
      </c>
      <c r="M418" s="32" t="str">
        <f aca="false">IF(R418="","",Reconciliation!M419)</f>
        <v/>
      </c>
      <c r="N418" s="32" t="str">
        <f aca="false">IF(R418="","",Reconciliation!N419)</f>
        <v/>
      </c>
      <c r="O418" s="32" t="str">
        <f aca="false">IF(R418="","",Reconciliation!O419)</f>
        <v/>
      </c>
      <c r="P418" s="32" t="str">
        <f aca="false">IF(R418="","",Reconciliation!P419)</f>
        <v/>
      </c>
      <c r="Q418" s="32" t="str">
        <f aca="false">IF(R418="","",Reconciliation!Q419)</f>
        <v/>
      </c>
      <c r="R418" s="33" t="str">
        <f aca="false">IF(OR(Reconciliation!R419="✅ MATCH",Reconciliation!R419=""),"",Reconciliation!R419)</f>
        <v/>
      </c>
    </row>
    <row r="419" customFormat="false" ht="15" hidden="false" customHeight="true" outlineLevel="0" collapsed="false">
      <c r="A419" s="29" t="str">
        <f aca="false">IF(R419="","",Reconciliation!A420)</f>
        <v/>
      </c>
      <c r="B419" s="30" t="str">
        <f aca="false">IF(R419="","",Reconciliation!B420)</f>
        <v/>
      </c>
      <c r="C419" s="30" t="str">
        <f aca="false">IF(R419="","",Reconciliation!C420)</f>
        <v/>
      </c>
      <c r="D419" s="30" t="str">
        <f aca="false">IF(R419="","",Reconciliation!D420)</f>
        <v/>
      </c>
      <c r="E419" s="31" t="str">
        <f aca="false">IF(R419="","",Reconciliation!E420)</f>
        <v/>
      </c>
      <c r="F419" s="30" t="str">
        <f aca="false">IF(R419="","",Reconciliation!F420)</f>
        <v/>
      </c>
      <c r="G419" s="30" t="str">
        <f aca="false">IF(R419="","",Reconciliation!G420)</f>
        <v/>
      </c>
      <c r="H419" s="30" t="str">
        <f aca="false">IF(R419="","",Reconciliation!H420)</f>
        <v/>
      </c>
      <c r="I419" s="30" t="str">
        <f aca="false">IF(R419="","",Reconciliation!I420)</f>
        <v/>
      </c>
      <c r="J419" s="31" t="str">
        <f aca="false">IF(R419="","",Reconciliation!J420)</f>
        <v/>
      </c>
      <c r="K419" s="30" t="str">
        <f aca="false">IF(R419="","",Reconciliation!K420)</f>
        <v/>
      </c>
      <c r="L419" s="30" t="str">
        <f aca="false">IF(R419="","",Reconciliation!L420)</f>
        <v/>
      </c>
      <c r="M419" s="32" t="str">
        <f aca="false">IF(R419="","",Reconciliation!M420)</f>
        <v/>
      </c>
      <c r="N419" s="32" t="str">
        <f aca="false">IF(R419="","",Reconciliation!N420)</f>
        <v/>
      </c>
      <c r="O419" s="32" t="str">
        <f aca="false">IF(R419="","",Reconciliation!O420)</f>
        <v/>
      </c>
      <c r="P419" s="32" t="str">
        <f aca="false">IF(R419="","",Reconciliation!P420)</f>
        <v/>
      </c>
      <c r="Q419" s="32" t="str">
        <f aca="false">IF(R419="","",Reconciliation!Q420)</f>
        <v/>
      </c>
      <c r="R419" s="33" t="str">
        <f aca="false">IF(OR(Reconciliation!R420="✅ MATCH",Reconciliation!R420=""),"",Reconciliation!R420)</f>
        <v/>
      </c>
    </row>
    <row r="420" customFormat="false" ht="15" hidden="false" customHeight="true" outlineLevel="0" collapsed="false">
      <c r="A420" s="29" t="str">
        <f aca="false">IF(R420="","",Reconciliation!A421)</f>
        <v/>
      </c>
      <c r="B420" s="30" t="str">
        <f aca="false">IF(R420="","",Reconciliation!B421)</f>
        <v/>
      </c>
      <c r="C420" s="30" t="str">
        <f aca="false">IF(R420="","",Reconciliation!C421)</f>
        <v/>
      </c>
      <c r="D420" s="30" t="str">
        <f aca="false">IF(R420="","",Reconciliation!D421)</f>
        <v/>
      </c>
      <c r="E420" s="31" t="str">
        <f aca="false">IF(R420="","",Reconciliation!E421)</f>
        <v/>
      </c>
      <c r="F420" s="30" t="str">
        <f aca="false">IF(R420="","",Reconciliation!F421)</f>
        <v/>
      </c>
      <c r="G420" s="30" t="str">
        <f aca="false">IF(R420="","",Reconciliation!G421)</f>
        <v/>
      </c>
      <c r="H420" s="30" t="str">
        <f aca="false">IF(R420="","",Reconciliation!H421)</f>
        <v/>
      </c>
      <c r="I420" s="30" t="str">
        <f aca="false">IF(R420="","",Reconciliation!I421)</f>
        <v/>
      </c>
      <c r="J420" s="31" t="str">
        <f aca="false">IF(R420="","",Reconciliation!J421)</f>
        <v/>
      </c>
      <c r="K420" s="30" t="str">
        <f aca="false">IF(R420="","",Reconciliation!K421)</f>
        <v/>
      </c>
      <c r="L420" s="30" t="str">
        <f aca="false">IF(R420="","",Reconciliation!L421)</f>
        <v/>
      </c>
      <c r="M420" s="32" t="str">
        <f aca="false">IF(R420="","",Reconciliation!M421)</f>
        <v/>
      </c>
      <c r="N420" s="32" t="str">
        <f aca="false">IF(R420="","",Reconciliation!N421)</f>
        <v/>
      </c>
      <c r="O420" s="32" t="str">
        <f aca="false">IF(R420="","",Reconciliation!O421)</f>
        <v/>
      </c>
      <c r="P420" s="32" t="str">
        <f aca="false">IF(R420="","",Reconciliation!P421)</f>
        <v/>
      </c>
      <c r="Q420" s="32" t="str">
        <f aca="false">IF(R420="","",Reconciliation!Q421)</f>
        <v/>
      </c>
      <c r="R420" s="33" t="str">
        <f aca="false">IF(OR(Reconciliation!R421="✅ MATCH",Reconciliation!R421=""),"",Reconciliation!R421)</f>
        <v/>
      </c>
    </row>
    <row r="421" customFormat="false" ht="15" hidden="false" customHeight="true" outlineLevel="0" collapsed="false">
      <c r="A421" s="29" t="str">
        <f aca="false">IF(R421="","",Reconciliation!A422)</f>
        <v/>
      </c>
      <c r="B421" s="30" t="str">
        <f aca="false">IF(R421="","",Reconciliation!B422)</f>
        <v/>
      </c>
      <c r="C421" s="30" t="str">
        <f aca="false">IF(R421="","",Reconciliation!C422)</f>
        <v/>
      </c>
      <c r="D421" s="30" t="str">
        <f aca="false">IF(R421="","",Reconciliation!D422)</f>
        <v/>
      </c>
      <c r="E421" s="31" t="str">
        <f aca="false">IF(R421="","",Reconciliation!E422)</f>
        <v/>
      </c>
      <c r="F421" s="30" t="str">
        <f aca="false">IF(R421="","",Reconciliation!F422)</f>
        <v/>
      </c>
      <c r="G421" s="30" t="str">
        <f aca="false">IF(R421="","",Reconciliation!G422)</f>
        <v/>
      </c>
      <c r="H421" s="30" t="str">
        <f aca="false">IF(R421="","",Reconciliation!H422)</f>
        <v/>
      </c>
      <c r="I421" s="30" t="str">
        <f aca="false">IF(R421="","",Reconciliation!I422)</f>
        <v/>
      </c>
      <c r="J421" s="31" t="str">
        <f aca="false">IF(R421="","",Reconciliation!J422)</f>
        <v/>
      </c>
      <c r="K421" s="30" t="str">
        <f aca="false">IF(R421="","",Reconciliation!K422)</f>
        <v/>
      </c>
      <c r="L421" s="30" t="str">
        <f aca="false">IF(R421="","",Reconciliation!L422)</f>
        <v/>
      </c>
      <c r="M421" s="32" t="str">
        <f aca="false">IF(R421="","",Reconciliation!M422)</f>
        <v/>
      </c>
      <c r="N421" s="32" t="str">
        <f aca="false">IF(R421="","",Reconciliation!N422)</f>
        <v/>
      </c>
      <c r="O421" s="32" t="str">
        <f aca="false">IF(R421="","",Reconciliation!O422)</f>
        <v/>
      </c>
      <c r="P421" s="32" t="str">
        <f aca="false">IF(R421="","",Reconciliation!P422)</f>
        <v/>
      </c>
      <c r="Q421" s="32" t="str">
        <f aca="false">IF(R421="","",Reconciliation!Q422)</f>
        <v/>
      </c>
      <c r="R421" s="33" t="str">
        <f aca="false">IF(OR(Reconciliation!R422="✅ MATCH",Reconciliation!R422=""),"",Reconciliation!R422)</f>
        <v/>
      </c>
    </row>
    <row r="422" customFormat="false" ht="15" hidden="false" customHeight="true" outlineLevel="0" collapsed="false">
      <c r="A422" s="29" t="str">
        <f aca="false">IF(R422="","",Reconciliation!A423)</f>
        <v/>
      </c>
      <c r="B422" s="30" t="str">
        <f aca="false">IF(R422="","",Reconciliation!B423)</f>
        <v/>
      </c>
      <c r="C422" s="30" t="str">
        <f aca="false">IF(R422="","",Reconciliation!C423)</f>
        <v/>
      </c>
      <c r="D422" s="30" t="str">
        <f aca="false">IF(R422="","",Reconciliation!D423)</f>
        <v/>
      </c>
      <c r="E422" s="31" t="str">
        <f aca="false">IF(R422="","",Reconciliation!E423)</f>
        <v/>
      </c>
      <c r="F422" s="30" t="str">
        <f aca="false">IF(R422="","",Reconciliation!F423)</f>
        <v/>
      </c>
      <c r="G422" s="30" t="str">
        <f aca="false">IF(R422="","",Reconciliation!G423)</f>
        <v/>
      </c>
      <c r="H422" s="30" t="str">
        <f aca="false">IF(R422="","",Reconciliation!H423)</f>
        <v/>
      </c>
      <c r="I422" s="30" t="str">
        <f aca="false">IF(R422="","",Reconciliation!I423)</f>
        <v/>
      </c>
      <c r="J422" s="31" t="str">
        <f aca="false">IF(R422="","",Reconciliation!J423)</f>
        <v/>
      </c>
      <c r="K422" s="30" t="str">
        <f aca="false">IF(R422="","",Reconciliation!K423)</f>
        <v/>
      </c>
      <c r="L422" s="30" t="str">
        <f aca="false">IF(R422="","",Reconciliation!L423)</f>
        <v/>
      </c>
      <c r="M422" s="32" t="str">
        <f aca="false">IF(R422="","",Reconciliation!M423)</f>
        <v/>
      </c>
      <c r="N422" s="32" t="str">
        <f aca="false">IF(R422="","",Reconciliation!N423)</f>
        <v/>
      </c>
      <c r="O422" s="32" t="str">
        <f aca="false">IF(R422="","",Reconciliation!O423)</f>
        <v/>
      </c>
      <c r="P422" s="32" t="str">
        <f aca="false">IF(R422="","",Reconciliation!P423)</f>
        <v/>
      </c>
      <c r="Q422" s="32" t="str">
        <f aca="false">IF(R422="","",Reconciliation!Q423)</f>
        <v/>
      </c>
      <c r="R422" s="33" t="str">
        <f aca="false">IF(OR(Reconciliation!R423="✅ MATCH",Reconciliation!R423=""),"",Reconciliation!R423)</f>
        <v/>
      </c>
    </row>
    <row r="423" customFormat="false" ht="15" hidden="false" customHeight="true" outlineLevel="0" collapsed="false">
      <c r="A423" s="29" t="str">
        <f aca="false">IF(R423="","",Reconciliation!A424)</f>
        <v/>
      </c>
      <c r="B423" s="30" t="str">
        <f aca="false">IF(R423="","",Reconciliation!B424)</f>
        <v/>
      </c>
      <c r="C423" s="30" t="str">
        <f aca="false">IF(R423="","",Reconciliation!C424)</f>
        <v/>
      </c>
      <c r="D423" s="30" t="str">
        <f aca="false">IF(R423="","",Reconciliation!D424)</f>
        <v/>
      </c>
      <c r="E423" s="31" t="str">
        <f aca="false">IF(R423="","",Reconciliation!E424)</f>
        <v/>
      </c>
      <c r="F423" s="30" t="str">
        <f aca="false">IF(R423="","",Reconciliation!F424)</f>
        <v/>
      </c>
      <c r="G423" s="30" t="str">
        <f aca="false">IF(R423="","",Reconciliation!G424)</f>
        <v/>
      </c>
      <c r="H423" s="30" t="str">
        <f aca="false">IF(R423="","",Reconciliation!H424)</f>
        <v/>
      </c>
      <c r="I423" s="30" t="str">
        <f aca="false">IF(R423="","",Reconciliation!I424)</f>
        <v/>
      </c>
      <c r="J423" s="31" t="str">
        <f aca="false">IF(R423="","",Reconciliation!J424)</f>
        <v/>
      </c>
      <c r="K423" s="30" t="str">
        <f aca="false">IF(R423="","",Reconciliation!K424)</f>
        <v/>
      </c>
      <c r="L423" s="30" t="str">
        <f aca="false">IF(R423="","",Reconciliation!L424)</f>
        <v/>
      </c>
      <c r="M423" s="32" t="str">
        <f aca="false">IF(R423="","",Reconciliation!M424)</f>
        <v/>
      </c>
      <c r="N423" s="32" t="str">
        <f aca="false">IF(R423="","",Reconciliation!N424)</f>
        <v/>
      </c>
      <c r="O423" s="32" t="str">
        <f aca="false">IF(R423="","",Reconciliation!O424)</f>
        <v/>
      </c>
      <c r="P423" s="32" t="str">
        <f aca="false">IF(R423="","",Reconciliation!P424)</f>
        <v/>
      </c>
      <c r="Q423" s="32" t="str">
        <f aca="false">IF(R423="","",Reconciliation!Q424)</f>
        <v/>
      </c>
      <c r="R423" s="33" t="str">
        <f aca="false">IF(OR(Reconciliation!R424="✅ MATCH",Reconciliation!R424=""),"",Reconciliation!R424)</f>
        <v/>
      </c>
    </row>
    <row r="424" customFormat="false" ht="15" hidden="false" customHeight="true" outlineLevel="0" collapsed="false">
      <c r="A424" s="29" t="str">
        <f aca="false">IF(R424="","",Reconciliation!A425)</f>
        <v/>
      </c>
      <c r="B424" s="30" t="str">
        <f aca="false">IF(R424="","",Reconciliation!B425)</f>
        <v/>
      </c>
      <c r="C424" s="30" t="str">
        <f aca="false">IF(R424="","",Reconciliation!C425)</f>
        <v/>
      </c>
      <c r="D424" s="30" t="str">
        <f aca="false">IF(R424="","",Reconciliation!D425)</f>
        <v/>
      </c>
      <c r="E424" s="31" t="str">
        <f aca="false">IF(R424="","",Reconciliation!E425)</f>
        <v/>
      </c>
      <c r="F424" s="30" t="str">
        <f aca="false">IF(R424="","",Reconciliation!F425)</f>
        <v/>
      </c>
      <c r="G424" s="30" t="str">
        <f aca="false">IF(R424="","",Reconciliation!G425)</f>
        <v/>
      </c>
      <c r="H424" s="30" t="str">
        <f aca="false">IF(R424="","",Reconciliation!H425)</f>
        <v/>
      </c>
      <c r="I424" s="30" t="str">
        <f aca="false">IF(R424="","",Reconciliation!I425)</f>
        <v/>
      </c>
      <c r="J424" s="31" t="str">
        <f aca="false">IF(R424="","",Reconciliation!J425)</f>
        <v/>
      </c>
      <c r="K424" s="30" t="str">
        <f aca="false">IF(R424="","",Reconciliation!K425)</f>
        <v/>
      </c>
      <c r="L424" s="30" t="str">
        <f aca="false">IF(R424="","",Reconciliation!L425)</f>
        <v/>
      </c>
      <c r="M424" s="32" t="str">
        <f aca="false">IF(R424="","",Reconciliation!M425)</f>
        <v/>
      </c>
      <c r="N424" s="32" t="str">
        <f aca="false">IF(R424="","",Reconciliation!N425)</f>
        <v/>
      </c>
      <c r="O424" s="32" t="str">
        <f aca="false">IF(R424="","",Reconciliation!O425)</f>
        <v/>
      </c>
      <c r="P424" s="32" t="str">
        <f aca="false">IF(R424="","",Reconciliation!P425)</f>
        <v/>
      </c>
      <c r="Q424" s="32" t="str">
        <f aca="false">IF(R424="","",Reconciliation!Q425)</f>
        <v/>
      </c>
      <c r="R424" s="33" t="str">
        <f aca="false">IF(OR(Reconciliation!R425="✅ MATCH",Reconciliation!R425=""),"",Reconciliation!R425)</f>
        <v/>
      </c>
    </row>
    <row r="425" customFormat="false" ht="15" hidden="false" customHeight="true" outlineLevel="0" collapsed="false">
      <c r="A425" s="29" t="str">
        <f aca="false">IF(R425="","",Reconciliation!A426)</f>
        <v/>
      </c>
      <c r="B425" s="30" t="str">
        <f aca="false">IF(R425="","",Reconciliation!B426)</f>
        <v/>
      </c>
      <c r="C425" s="30" t="str">
        <f aca="false">IF(R425="","",Reconciliation!C426)</f>
        <v/>
      </c>
      <c r="D425" s="30" t="str">
        <f aca="false">IF(R425="","",Reconciliation!D426)</f>
        <v/>
      </c>
      <c r="E425" s="31" t="str">
        <f aca="false">IF(R425="","",Reconciliation!E426)</f>
        <v/>
      </c>
      <c r="F425" s="30" t="str">
        <f aca="false">IF(R425="","",Reconciliation!F426)</f>
        <v/>
      </c>
      <c r="G425" s="30" t="str">
        <f aca="false">IF(R425="","",Reconciliation!G426)</f>
        <v/>
      </c>
      <c r="H425" s="30" t="str">
        <f aca="false">IF(R425="","",Reconciliation!H426)</f>
        <v/>
      </c>
      <c r="I425" s="30" t="str">
        <f aca="false">IF(R425="","",Reconciliation!I426)</f>
        <v/>
      </c>
      <c r="J425" s="31" t="str">
        <f aca="false">IF(R425="","",Reconciliation!J426)</f>
        <v/>
      </c>
      <c r="K425" s="30" t="str">
        <f aca="false">IF(R425="","",Reconciliation!K426)</f>
        <v/>
      </c>
      <c r="L425" s="30" t="str">
        <f aca="false">IF(R425="","",Reconciliation!L426)</f>
        <v/>
      </c>
      <c r="M425" s="32" t="str">
        <f aca="false">IF(R425="","",Reconciliation!M426)</f>
        <v/>
      </c>
      <c r="N425" s="32" t="str">
        <f aca="false">IF(R425="","",Reconciliation!N426)</f>
        <v/>
      </c>
      <c r="O425" s="32" t="str">
        <f aca="false">IF(R425="","",Reconciliation!O426)</f>
        <v/>
      </c>
      <c r="P425" s="32" t="str">
        <f aca="false">IF(R425="","",Reconciliation!P426)</f>
        <v/>
      </c>
      <c r="Q425" s="32" t="str">
        <f aca="false">IF(R425="","",Reconciliation!Q426)</f>
        <v/>
      </c>
      <c r="R425" s="33" t="str">
        <f aca="false">IF(OR(Reconciliation!R426="✅ MATCH",Reconciliation!R426=""),"",Reconciliation!R426)</f>
        <v/>
      </c>
    </row>
    <row r="426" customFormat="false" ht="15" hidden="false" customHeight="true" outlineLevel="0" collapsed="false">
      <c r="A426" s="29" t="str">
        <f aca="false">IF(R426="","",Reconciliation!A427)</f>
        <v/>
      </c>
      <c r="B426" s="30" t="str">
        <f aca="false">IF(R426="","",Reconciliation!B427)</f>
        <v/>
      </c>
      <c r="C426" s="30" t="str">
        <f aca="false">IF(R426="","",Reconciliation!C427)</f>
        <v/>
      </c>
      <c r="D426" s="30" t="str">
        <f aca="false">IF(R426="","",Reconciliation!D427)</f>
        <v/>
      </c>
      <c r="E426" s="31" t="str">
        <f aca="false">IF(R426="","",Reconciliation!E427)</f>
        <v/>
      </c>
      <c r="F426" s="30" t="str">
        <f aca="false">IF(R426="","",Reconciliation!F427)</f>
        <v/>
      </c>
      <c r="G426" s="30" t="str">
        <f aca="false">IF(R426="","",Reconciliation!G427)</f>
        <v/>
      </c>
      <c r="H426" s="30" t="str">
        <f aca="false">IF(R426="","",Reconciliation!H427)</f>
        <v/>
      </c>
      <c r="I426" s="30" t="str">
        <f aca="false">IF(R426="","",Reconciliation!I427)</f>
        <v/>
      </c>
      <c r="J426" s="31" t="str">
        <f aca="false">IF(R426="","",Reconciliation!J427)</f>
        <v/>
      </c>
      <c r="K426" s="30" t="str">
        <f aca="false">IF(R426="","",Reconciliation!K427)</f>
        <v/>
      </c>
      <c r="L426" s="30" t="str">
        <f aca="false">IF(R426="","",Reconciliation!L427)</f>
        <v/>
      </c>
      <c r="M426" s="32" t="str">
        <f aca="false">IF(R426="","",Reconciliation!M427)</f>
        <v/>
      </c>
      <c r="N426" s="32" t="str">
        <f aca="false">IF(R426="","",Reconciliation!N427)</f>
        <v/>
      </c>
      <c r="O426" s="32" t="str">
        <f aca="false">IF(R426="","",Reconciliation!O427)</f>
        <v/>
      </c>
      <c r="P426" s="32" t="str">
        <f aca="false">IF(R426="","",Reconciliation!P427)</f>
        <v/>
      </c>
      <c r="Q426" s="32" t="str">
        <f aca="false">IF(R426="","",Reconciliation!Q427)</f>
        <v/>
      </c>
      <c r="R426" s="33" t="str">
        <f aca="false">IF(OR(Reconciliation!R427="✅ MATCH",Reconciliation!R427=""),"",Reconciliation!R427)</f>
        <v/>
      </c>
    </row>
    <row r="427" customFormat="false" ht="15" hidden="false" customHeight="true" outlineLevel="0" collapsed="false">
      <c r="A427" s="29" t="str">
        <f aca="false">IF(R427="","",Reconciliation!A428)</f>
        <v/>
      </c>
      <c r="B427" s="30" t="str">
        <f aca="false">IF(R427="","",Reconciliation!B428)</f>
        <v/>
      </c>
      <c r="C427" s="30" t="str">
        <f aca="false">IF(R427="","",Reconciliation!C428)</f>
        <v/>
      </c>
      <c r="D427" s="30" t="str">
        <f aca="false">IF(R427="","",Reconciliation!D428)</f>
        <v/>
      </c>
      <c r="E427" s="31" t="str">
        <f aca="false">IF(R427="","",Reconciliation!E428)</f>
        <v/>
      </c>
      <c r="F427" s="30" t="str">
        <f aca="false">IF(R427="","",Reconciliation!F428)</f>
        <v/>
      </c>
      <c r="G427" s="30" t="str">
        <f aca="false">IF(R427="","",Reconciliation!G428)</f>
        <v/>
      </c>
      <c r="H427" s="30" t="str">
        <f aca="false">IF(R427="","",Reconciliation!H428)</f>
        <v/>
      </c>
      <c r="I427" s="30" t="str">
        <f aca="false">IF(R427="","",Reconciliation!I428)</f>
        <v/>
      </c>
      <c r="J427" s="31" t="str">
        <f aca="false">IF(R427="","",Reconciliation!J428)</f>
        <v/>
      </c>
      <c r="K427" s="30" t="str">
        <f aca="false">IF(R427="","",Reconciliation!K428)</f>
        <v/>
      </c>
      <c r="L427" s="30" t="str">
        <f aca="false">IF(R427="","",Reconciliation!L428)</f>
        <v/>
      </c>
      <c r="M427" s="32" t="str">
        <f aca="false">IF(R427="","",Reconciliation!M428)</f>
        <v/>
      </c>
      <c r="N427" s="32" t="str">
        <f aca="false">IF(R427="","",Reconciliation!N428)</f>
        <v/>
      </c>
      <c r="O427" s="32" t="str">
        <f aca="false">IF(R427="","",Reconciliation!O428)</f>
        <v/>
      </c>
      <c r="P427" s="32" t="str">
        <f aca="false">IF(R427="","",Reconciliation!P428)</f>
        <v/>
      </c>
      <c r="Q427" s="32" t="str">
        <f aca="false">IF(R427="","",Reconciliation!Q428)</f>
        <v/>
      </c>
      <c r="R427" s="33" t="str">
        <f aca="false">IF(OR(Reconciliation!R428="✅ MATCH",Reconciliation!R428=""),"",Reconciliation!R428)</f>
        <v/>
      </c>
    </row>
    <row r="428" customFormat="false" ht="15" hidden="false" customHeight="true" outlineLevel="0" collapsed="false">
      <c r="A428" s="29" t="str">
        <f aca="false">IF(R428="","",Reconciliation!A429)</f>
        <v/>
      </c>
      <c r="B428" s="30" t="str">
        <f aca="false">IF(R428="","",Reconciliation!B429)</f>
        <v/>
      </c>
      <c r="C428" s="30" t="str">
        <f aca="false">IF(R428="","",Reconciliation!C429)</f>
        <v/>
      </c>
      <c r="D428" s="30" t="str">
        <f aca="false">IF(R428="","",Reconciliation!D429)</f>
        <v/>
      </c>
      <c r="E428" s="31" t="str">
        <f aca="false">IF(R428="","",Reconciliation!E429)</f>
        <v/>
      </c>
      <c r="F428" s="30" t="str">
        <f aca="false">IF(R428="","",Reconciliation!F429)</f>
        <v/>
      </c>
      <c r="G428" s="30" t="str">
        <f aca="false">IF(R428="","",Reconciliation!G429)</f>
        <v/>
      </c>
      <c r="H428" s="30" t="str">
        <f aca="false">IF(R428="","",Reconciliation!H429)</f>
        <v/>
      </c>
      <c r="I428" s="30" t="str">
        <f aca="false">IF(R428="","",Reconciliation!I429)</f>
        <v/>
      </c>
      <c r="J428" s="31" t="str">
        <f aca="false">IF(R428="","",Reconciliation!J429)</f>
        <v/>
      </c>
      <c r="K428" s="30" t="str">
        <f aca="false">IF(R428="","",Reconciliation!K429)</f>
        <v/>
      </c>
      <c r="L428" s="30" t="str">
        <f aca="false">IF(R428="","",Reconciliation!L429)</f>
        <v/>
      </c>
      <c r="M428" s="32" t="str">
        <f aca="false">IF(R428="","",Reconciliation!M429)</f>
        <v/>
      </c>
      <c r="N428" s="32" t="str">
        <f aca="false">IF(R428="","",Reconciliation!N429)</f>
        <v/>
      </c>
      <c r="O428" s="32" t="str">
        <f aca="false">IF(R428="","",Reconciliation!O429)</f>
        <v/>
      </c>
      <c r="P428" s="32" t="str">
        <f aca="false">IF(R428="","",Reconciliation!P429)</f>
        <v/>
      </c>
      <c r="Q428" s="32" t="str">
        <f aca="false">IF(R428="","",Reconciliation!Q429)</f>
        <v/>
      </c>
      <c r="R428" s="33" t="str">
        <f aca="false">IF(OR(Reconciliation!R429="✅ MATCH",Reconciliation!R429=""),"",Reconciliation!R429)</f>
        <v/>
      </c>
    </row>
    <row r="429" customFormat="false" ht="15" hidden="false" customHeight="true" outlineLevel="0" collapsed="false">
      <c r="A429" s="29" t="str">
        <f aca="false">IF(R429="","",Reconciliation!A430)</f>
        <v/>
      </c>
      <c r="B429" s="30" t="str">
        <f aca="false">IF(R429="","",Reconciliation!B430)</f>
        <v/>
      </c>
      <c r="C429" s="30" t="str">
        <f aca="false">IF(R429="","",Reconciliation!C430)</f>
        <v/>
      </c>
      <c r="D429" s="30" t="str">
        <f aca="false">IF(R429="","",Reconciliation!D430)</f>
        <v/>
      </c>
      <c r="E429" s="31" t="str">
        <f aca="false">IF(R429="","",Reconciliation!E430)</f>
        <v/>
      </c>
      <c r="F429" s="30" t="str">
        <f aca="false">IF(R429="","",Reconciliation!F430)</f>
        <v/>
      </c>
      <c r="G429" s="30" t="str">
        <f aca="false">IF(R429="","",Reconciliation!G430)</f>
        <v/>
      </c>
      <c r="H429" s="30" t="str">
        <f aca="false">IF(R429="","",Reconciliation!H430)</f>
        <v/>
      </c>
      <c r="I429" s="30" t="str">
        <f aca="false">IF(R429="","",Reconciliation!I430)</f>
        <v/>
      </c>
      <c r="J429" s="31" t="str">
        <f aca="false">IF(R429="","",Reconciliation!J430)</f>
        <v/>
      </c>
      <c r="K429" s="30" t="str">
        <f aca="false">IF(R429="","",Reconciliation!K430)</f>
        <v/>
      </c>
      <c r="L429" s="30" t="str">
        <f aca="false">IF(R429="","",Reconciliation!L430)</f>
        <v/>
      </c>
      <c r="M429" s="32" t="str">
        <f aca="false">IF(R429="","",Reconciliation!M430)</f>
        <v/>
      </c>
      <c r="N429" s="32" t="str">
        <f aca="false">IF(R429="","",Reconciliation!N430)</f>
        <v/>
      </c>
      <c r="O429" s="32" t="str">
        <f aca="false">IF(R429="","",Reconciliation!O430)</f>
        <v/>
      </c>
      <c r="P429" s="32" t="str">
        <f aca="false">IF(R429="","",Reconciliation!P430)</f>
        <v/>
      </c>
      <c r="Q429" s="32" t="str">
        <f aca="false">IF(R429="","",Reconciliation!Q430)</f>
        <v/>
      </c>
      <c r="R429" s="33" t="str">
        <f aca="false">IF(OR(Reconciliation!R430="✅ MATCH",Reconciliation!R430=""),"",Reconciliation!R430)</f>
        <v/>
      </c>
    </row>
    <row r="430" customFormat="false" ht="15" hidden="false" customHeight="true" outlineLevel="0" collapsed="false">
      <c r="A430" s="29" t="str">
        <f aca="false">IF(R430="","",Reconciliation!A431)</f>
        <v/>
      </c>
      <c r="B430" s="30" t="str">
        <f aca="false">IF(R430="","",Reconciliation!B431)</f>
        <v/>
      </c>
      <c r="C430" s="30" t="str">
        <f aca="false">IF(R430="","",Reconciliation!C431)</f>
        <v/>
      </c>
      <c r="D430" s="30" t="str">
        <f aca="false">IF(R430="","",Reconciliation!D431)</f>
        <v/>
      </c>
      <c r="E430" s="31" t="str">
        <f aca="false">IF(R430="","",Reconciliation!E431)</f>
        <v/>
      </c>
      <c r="F430" s="30" t="str">
        <f aca="false">IF(R430="","",Reconciliation!F431)</f>
        <v/>
      </c>
      <c r="G430" s="30" t="str">
        <f aca="false">IF(R430="","",Reconciliation!G431)</f>
        <v/>
      </c>
      <c r="H430" s="30" t="str">
        <f aca="false">IF(R430="","",Reconciliation!H431)</f>
        <v/>
      </c>
      <c r="I430" s="30" t="str">
        <f aca="false">IF(R430="","",Reconciliation!I431)</f>
        <v/>
      </c>
      <c r="J430" s="31" t="str">
        <f aca="false">IF(R430="","",Reconciliation!J431)</f>
        <v/>
      </c>
      <c r="K430" s="30" t="str">
        <f aca="false">IF(R430="","",Reconciliation!K431)</f>
        <v/>
      </c>
      <c r="L430" s="30" t="str">
        <f aca="false">IF(R430="","",Reconciliation!L431)</f>
        <v/>
      </c>
      <c r="M430" s="32" t="str">
        <f aca="false">IF(R430="","",Reconciliation!M431)</f>
        <v/>
      </c>
      <c r="N430" s="32" t="str">
        <f aca="false">IF(R430="","",Reconciliation!N431)</f>
        <v/>
      </c>
      <c r="O430" s="32" t="str">
        <f aca="false">IF(R430="","",Reconciliation!O431)</f>
        <v/>
      </c>
      <c r="P430" s="32" t="str">
        <f aca="false">IF(R430="","",Reconciliation!P431)</f>
        <v/>
      </c>
      <c r="Q430" s="32" t="str">
        <f aca="false">IF(R430="","",Reconciliation!Q431)</f>
        <v/>
      </c>
      <c r="R430" s="33" t="str">
        <f aca="false">IF(OR(Reconciliation!R431="✅ MATCH",Reconciliation!R431=""),"",Reconciliation!R431)</f>
        <v/>
      </c>
    </row>
    <row r="431" customFormat="false" ht="15" hidden="false" customHeight="true" outlineLevel="0" collapsed="false">
      <c r="A431" s="29" t="str">
        <f aca="false">IF(R431="","",Reconciliation!A432)</f>
        <v/>
      </c>
      <c r="B431" s="30" t="str">
        <f aca="false">IF(R431="","",Reconciliation!B432)</f>
        <v/>
      </c>
      <c r="C431" s="30" t="str">
        <f aca="false">IF(R431="","",Reconciliation!C432)</f>
        <v/>
      </c>
      <c r="D431" s="30" t="str">
        <f aca="false">IF(R431="","",Reconciliation!D432)</f>
        <v/>
      </c>
      <c r="E431" s="31" t="str">
        <f aca="false">IF(R431="","",Reconciliation!E432)</f>
        <v/>
      </c>
      <c r="F431" s="30" t="str">
        <f aca="false">IF(R431="","",Reconciliation!F432)</f>
        <v/>
      </c>
      <c r="G431" s="30" t="str">
        <f aca="false">IF(R431="","",Reconciliation!G432)</f>
        <v/>
      </c>
      <c r="H431" s="30" t="str">
        <f aca="false">IF(R431="","",Reconciliation!H432)</f>
        <v/>
      </c>
      <c r="I431" s="30" t="str">
        <f aca="false">IF(R431="","",Reconciliation!I432)</f>
        <v/>
      </c>
      <c r="J431" s="31" t="str">
        <f aca="false">IF(R431="","",Reconciliation!J432)</f>
        <v/>
      </c>
      <c r="K431" s="30" t="str">
        <f aca="false">IF(R431="","",Reconciliation!K432)</f>
        <v/>
      </c>
      <c r="L431" s="30" t="str">
        <f aca="false">IF(R431="","",Reconciliation!L432)</f>
        <v/>
      </c>
      <c r="M431" s="32" t="str">
        <f aca="false">IF(R431="","",Reconciliation!M432)</f>
        <v/>
      </c>
      <c r="N431" s="32" t="str">
        <f aca="false">IF(R431="","",Reconciliation!N432)</f>
        <v/>
      </c>
      <c r="O431" s="32" t="str">
        <f aca="false">IF(R431="","",Reconciliation!O432)</f>
        <v/>
      </c>
      <c r="P431" s="32" t="str">
        <f aca="false">IF(R431="","",Reconciliation!P432)</f>
        <v/>
      </c>
      <c r="Q431" s="32" t="str">
        <f aca="false">IF(R431="","",Reconciliation!Q432)</f>
        <v/>
      </c>
      <c r="R431" s="33" t="str">
        <f aca="false">IF(OR(Reconciliation!R432="✅ MATCH",Reconciliation!R432=""),"",Reconciliation!R432)</f>
        <v/>
      </c>
    </row>
    <row r="432" customFormat="false" ht="15" hidden="false" customHeight="true" outlineLevel="0" collapsed="false">
      <c r="A432" s="29" t="str">
        <f aca="false">IF(R432="","",Reconciliation!A433)</f>
        <v/>
      </c>
      <c r="B432" s="30" t="str">
        <f aca="false">IF(R432="","",Reconciliation!B433)</f>
        <v/>
      </c>
      <c r="C432" s="30" t="str">
        <f aca="false">IF(R432="","",Reconciliation!C433)</f>
        <v/>
      </c>
      <c r="D432" s="30" t="str">
        <f aca="false">IF(R432="","",Reconciliation!D433)</f>
        <v/>
      </c>
      <c r="E432" s="31" t="str">
        <f aca="false">IF(R432="","",Reconciliation!E433)</f>
        <v/>
      </c>
      <c r="F432" s="30" t="str">
        <f aca="false">IF(R432="","",Reconciliation!F433)</f>
        <v/>
      </c>
      <c r="G432" s="30" t="str">
        <f aca="false">IF(R432="","",Reconciliation!G433)</f>
        <v/>
      </c>
      <c r="H432" s="30" t="str">
        <f aca="false">IF(R432="","",Reconciliation!H433)</f>
        <v/>
      </c>
      <c r="I432" s="30" t="str">
        <f aca="false">IF(R432="","",Reconciliation!I433)</f>
        <v/>
      </c>
      <c r="J432" s="31" t="str">
        <f aca="false">IF(R432="","",Reconciliation!J433)</f>
        <v/>
      </c>
      <c r="K432" s="30" t="str">
        <f aca="false">IF(R432="","",Reconciliation!K433)</f>
        <v/>
      </c>
      <c r="L432" s="30" t="str">
        <f aca="false">IF(R432="","",Reconciliation!L433)</f>
        <v/>
      </c>
      <c r="M432" s="32" t="str">
        <f aca="false">IF(R432="","",Reconciliation!M433)</f>
        <v/>
      </c>
      <c r="N432" s="32" t="str">
        <f aca="false">IF(R432="","",Reconciliation!N433)</f>
        <v/>
      </c>
      <c r="O432" s="32" t="str">
        <f aca="false">IF(R432="","",Reconciliation!O433)</f>
        <v/>
      </c>
      <c r="P432" s="32" t="str">
        <f aca="false">IF(R432="","",Reconciliation!P433)</f>
        <v/>
      </c>
      <c r="Q432" s="32" t="str">
        <f aca="false">IF(R432="","",Reconciliation!Q433)</f>
        <v/>
      </c>
      <c r="R432" s="33" t="str">
        <f aca="false">IF(OR(Reconciliation!R433="✅ MATCH",Reconciliation!R433=""),"",Reconciliation!R433)</f>
        <v/>
      </c>
    </row>
    <row r="433" customFormat="false" ht="15" hidden="false" customHeight="true" outlineLevel="0" collapsed="false">
      <c r="A433" s="29" t="str">
        <f aca="false">IF(R433="","",Reconciliation!A434)</f>
        <v/>
      </c>
      <c r="B433" s="30" t="str">
        <f aca="false">IF(R433="","",Reconciliation!B434)</f>
        <v/>
      </c>
      <c r="C433" s="30" t="str">
        <f aca="false">IF(R433="","",Reconciliation!C434)</f>
        <v/>
      </c>
      <c r="D433" s="30" t="str">
        <f aca="false">IF(R433="","",Reconciliation!D434)</f>
        <v/>
      </c>
      <c r="E433" s="31" t="str">
        <f aca="false">IF(R433="","",Reconciliation!E434)</f>
        <v/>
      </c>
      <c r="F433" s="30" t="str">
        <f aca="false">IF(R433="","",Reconciliation!F434)</f>
        <v/>
      </c>
      <c r="G433" s="30" t="str">
        <f aca="false">IF(R433="","",Reconciliation!G434)</f>
        <v/>
      </c>
      <c r="H433" s="30" t="str">
        <f aca="false">IF(R433="","",Reconciliation!H434)</f>
        <v/>
      </c>
      <c r="I433" s="30" t="str">
        <f aca="false">IF(R433="","",Reconciliation!I434)</f>
        <v/>
      </c>
      <c r="J433" s="31" t="str">
        <f aca="false">IF(R433="","",Reconciliation!J434)</f>
        <v/>
      </c>
      <c r="K433" s="30" t="str">
        <f aca="false">IF(R433="","",Reconciliation!K434)</f>
        <v/>
      </c>
      <c r="L433" s="30" t="str">
        <f aca="false">IF(R433="","",Reconciliation!L434)</f>
        <v/>
      </c>
      <c r="M433" s="32" t="str">
        <f aca="false">IF(R433="","",Reconciliation!M434)</f>
        <v/>
      </c>
      <c r="N433" s="32" t="str">
        <f aca="false">IF(R433="","",Reconciliation!N434)</f>
        <v/>
      </c>
      <c r="O433" s="32" t="str">
        <f aca="false">IF(R433="","",Reconciliation!O434)</f>
        <v/>
      </c>
      <c r="P433" s="32" t="str">
        <f aca="false">IF(R433="","",Reconciliation!P434)</f>
        <v/>
      </c>
      <c r="Q433" s="32" t="str">
        <f aca="false">IF(R433="","",Reconciliation!Q434)</f>
        <v/>
      </c>
      <c r="R433" s="33" t="str">
        <f aca="false">IF(OR(Reconciliation!R434="✅ MATCH",Reconciliation!R434=""),"",Reconciliation!R434)</f>
        <v/>
      </c>
    </row>
    <row r="434" customFormat="false" ht="15" hidden="false" customHeight="true" outlineLevel="0" collapsed="false">
      <c r="A434" s="29" t="str">
        <f aca="false">IF(R434="","",Reconciliation!A435)</f>
        <v/>
      </c>
      <c r="B434" s="30" t="str">
        <f aca="false">IF(R434="","",Reconciliation!B435)</f>
        <v/>
      </c>
      <c r="C434" s="30" t="str">
        <f aca="false">IF(R434="","",Reconciliation!C435)</f>
        <v/>
      </c>
      <c r="D434" s="30" t="str">
        <f aca="false">IF(R434="","",Reconciliation!D435)</f>
        <v/>
      </c>
      <c r="E434" s="31" t="str">
        <f aca="false">IF(R434="","",Reconciliation!E435)</f>
        <v/>
      </c>
      <c r="F434" s="30" t="str">
        <f aca="false">IF(R434="","",Reconciliation!F435)</f>
        <v/>
      </c>
      <c r="G434" s="30" t="str">
        <f aca="false">IF(R434="","",Reconciliation!G435)</f>
        <v/>
      </c>
      <c r="H434" s="30" t="str">
        <f aca="false">IF(R434="","",Reconciliation!H435)</f>
        <v/>
      </c>
      <c r="I434" s="30" t="str">
        <f aca="false">IF(R434="","",Reconciliation!I435)</f>
        <v/>
      </c>
      <c r="J434" s="31" t="str">
        <f aca="false">IF(R434="","",Reconciliation!J435)</f>
        <v/>
      </c>
      <c r="K434" s="30" t="str">
        <f aca="false">IF(R434="","",Reconciliation!K435)</f>
        <v/>
      </c>
      <c r="L434" s="30" t="str">
        <f aca="false">IF(R434="","",Reconciliation!L435)</f>
        <v/>
      </c>
      <c r="M434" s="32" t="str">
        <f aca="false">IF(R434="","",Reconciliation!M435)</f>
        <v/>
      </c>
      <c r="N434" s="32" t="str">
        <f aca="false">IF(R434="","",Reconciliation!N435)</f>
        <v/>
      </c>
      <c r="O434" s="32" t="str">
        <f aca="false">IF(R434="","",Reconciliation!O435)</f>
        <v/>
      </c>
      <c r="P434" s="32" t="str">
        <f aca="false">IF(R434="","",Reconciliation!P435)</f>
        <v/>
      </c>
      <c r="Q434" s="32" t="str">
        <f aca="false">IF(R434="","",Reconciliation!Q435)</f>
        <v/>
      </c>
      <c r="R434" s="33" t="str">
        <f aca="false">IF(OR(Reconciliation!R435="✅ MATCH",Reconciliation!R435=""),"",Reconciliation!R435)</f>
        <v/>
      </c>
    </row>
    <row r="435" customFormat="false" ht="15" hidden="false" customHeight="true" outlineLevel="0" collapsed="false">
      <c r="A435" s="29" t="str">
        <f aca="false">IF(R435="","",Reconciliation!A436)</f>
        <v/>
      </c>
      <c r="B435" s="30" t="str">
        <f aca="false">IF(R435="","",Reconciliation!B436)</f>
        <v/>
      </c>
      <c r="C435" s="30" t="str">
        <f aca="false">IF(R435="","",Reconciliation!C436)</f>
        <v/>
      </c>
      <c r="D435" s="30" t="str">
        <f aca="false">IF(R435="","",Reconciliation!D436)</f>
        <v/>
      </c>
      <c r="E435" s="31" t="str">
        <f aca="false">IF(R435="","",Reconciliation!E436)</f>
        <v/>
      </c>
      <c r="F435" s="30" t="str">
        <f aca="false">IF(R435="","",Reconciliation!F436)</f>
        <v/>
      </c>
      <c r="G435" s="30" t="str">
        <f aca="false">IF(R435="","",Reconciliation!G436)</f>
        <v/>
      </c>
      <c r="H435" s="30" t="str">
        <f aca="false">IF(R435="","",Reconciliation!H436)</f>
        <v/>
      </c>
      <c r="I435" s="30" t="str">
        <f aca="false">IF(R435="","",Reconciliation!I436)</f>
        <v/>
      </c>
      <c r="J435" s="31" t="str">
        <f aca="false">IF(R435="","",Reconciliation!J436)</f>
        <v/>
      </c>
      <c r="K435" s="30" t="str">
        <f aca="false">IF(R435="","",Reconciliation!K436)</f>
        <v/>
      </c>
      <c r="L435" s="30" t="str">
        <f aca="false">IF(R435="","",Reconciliation!L436)</f>
        <v/>
      </c>
      <c r="M435" s="32" t="str">
        <f aca="false">IF(R435="","",Reconciliation!M436)</f>
        <v/>
      </c>
      <c r="N435" s="32" t="str">
        <f aca="false">IF(R435="","",Reconciliation!N436)</f>
        <v/>
      </c>
      <c r="O435" s="32" t="str">
        <f aca="false">IF(R435="","",Reconciliation!O436)</f>
        <v/>
      </c>
      <c r="P435" s="32" t="str">
        <f aca="false">IF(R435="","",Reconciliation!P436)</f>
        <v/>
      </c>
      <c r="Q435" s="32" t="str">
        <f aca="false">IF(R435="","",Reconciliation!Q436)</f>
        <v/>
      </c>
      <c r="R435" s="33" t="str">
        <f aca="false">IF(OR(Reconciliation!R436="✅ MATCH",Reconciliation!R436=""),"",Reconciliation!R436)</f>
        <v/>
      </c>
    </row>
    <row r="436" customFormat="false" ht="15" hidden="false" customHeight="true" outlineLevel="0" collapsed="false">
      <c r="A436" s="29" t="str">
        <f aca="false">IF(R436="","",Reconciliation!A437)</f>
        <v/>
      </c>
      <c r="B436" s="30" t="str">
        <f aca="false">IF(R436="","",Reconciliation!B437)</f>
        <v/>
      </c>
      <c r="C436" s="30" t="str">
        <f aca="false">IF(R436="","",Reconciliation!C437)</f>
        <v/>
      </c>
      <c r="D436" s="30" t="str">
        <f aca="false">IF(R436="","",Reconciliation!D437)</f>
        <v/>
      </c>
      <c r="E436" s="31" t="str">
        <f aca="false">IF(R436="","",Reconciliation!E437)</f>
        <v/>
      </c>
      <c r="F436" s="30" t="str">
        <f aca="false">IF(R436="","",Reconciliation!F437)</f>
        <v/>
      </c>
      <c r="G436" s="30" t="str">
        <f aca="false">IF(R436="","",Reconciliation!G437)</f>
        <v/>
      </c>
      <c r="H436" s="30" t="str">
        <f aca="false">IF(R436="","",Reconciliation!H437)</f>
        <v/>
      </c>
      <c r="I436" s="30" t="str">
        <f aca="false">IF(R436="","",Reconciliation!I437)</f>
        <v/>
      </c>
      <c r="J436" s="31" t="str">
        <f aca="false">IF(R436="","",Reconciliation!J437)</f>
        <v/>
      </c>
      <c r="K436" s="30" t="str">
        <f aca="false">IF(R436="","",Reconciliation!K437)</f>
        <v/>
      </c>
      <c r="L436" s="30" t="str">
        <f aca="false">IF(R436="","",Reconciliation!L437)</f>
        <v/>
      </c>
      <c r="M436" s="32" t="str">
        <f aca="false">IF(R436="","",Reconciliation!M437)</f>
        <v/>
      </c>
      <c r="N436" s="32" t="str">
        <f aca="false">IF(R436="","",Reconciliation!N437)</f>
        <v/>
      </c>
      <c r="O436" s="32" t="str">
        <f aca="false">IF(R436="","",Reconciliation!O437)</f>
        <v/>
      </c>
      <c r="P436" s="32" t="str">
        <f aca="false">IF(R436="","",Reconciliation!P437)</f>
        <v/>
      </c>
      <c r="Q436" s="32" t="str">
        <f aca="false">IF(R436="","",Reconciliation!Q437)</f>
        <v/>
      </c>
      <c r="R436" s="33" t="str">
        <f aca="false">IF(OR(Reconciliation!R437="✅ MATCH",Reconciliation!R437=""),"",Reconciliation!R437)</f>
        <v/>
      </c>
    </row>
    <row r="437" customFormat="false" ht="15" hidden="false" customHeight="true" outlineLevel="0" collapsed="false">
      <c r="A437" s="29" t="str">
        <f aca="false">IF(R437="","",Reconciliation!A438)</f>
        <v/>
      </c>
      <c r="B437" s="30" t="str">
        <f aca="false">IF(R437="","",Reconciliation!B438)</f>
        <v/>
      </c>
      <c r="C437" s="30" t="str">
        <f aca="false">IF(R437="","",Reconciliation!C438)</f>
        <v/>
      </c>
      <c r="D437" s="30" t="str">
        <f aca="false">IF(R437="","",Reconciliation!D438)</f>
        <v/>
      </c>
      <c r="E437" s="31" t="str">
        <f aca="false">IF(R437="","",Reconciliation!E438)</f>
        <v/>
      </c>
      <c r="F437" s="30" t="str">
        <f aca="false">IF(R437="","",Reconciliation!F438)</f>
        <v/>
      </c>
      <c r="G437" s="30" t="str">
        <f aca="false">IF(R437="","",Reconciliation!G438)</f>
        <v/>
      </c>
      <c r="H437" s="30" t="str">
        <f aca="false">IF(R437="","",Reconciliation!H438)</f>
        <v/>
      </c>
      <c r="I437" s="30" t="str">
        <f aca="false">IF(R437="","",Reconciliation!I438)</f>
        <v/>
      </c>
      <c r="J437" s="31" t="str">
        <f aca="false">IF(R437="","",Reconciliation!J438)</f>
        <v/>
      </c>
      <c r="K437" s="30" t="str">
        <f aca="false">IF(R437="","",Reconciliation!K438)</f>
        <v/>
      </c>
      <c r="L437" s="30" t="str">
        <f aca="false">IF(R437="","",Reconciliation!L438)</f>
        <v/>
      </c>
      <c r="M437" s="32" t="str">
        <f aca="false">IF(R437="","",Reconciliation!M438)</f>
        <v/>
      </c>
      <c r="N437" s="32" t="str">
        <f aca="false">IF(R437="","",Reconciliation!N438)</f>
        <v/>
      </c>
      <c r="O437" s="32" t="str">
        <f aca="false">IF(R437="","",Reconciliation!O438)</f>
        <v/>
      </c>
      <c r="P437" s="32" t="str">
        <f aca="false">IF(R437="","",Reconciliation!P438)</f>
        <v/>
      </c>
      <c r="Q437" s="32" t="str">
        <f aca="false">IF(R437="","",Reconciliation!Q438)</f>
        <v/>
      </c>
      <c r="R437" s="33" t="str">
        <f aca="false">IF(OR(Reconciliation!R438="✅ MATCH",Reconciliation!R438=""),"",Reconciliation!R438)</f>
        <v/>
      </c>
    </row>
    <row r="438" customFormat="false" ht="15" hidden="false" customHeight="true" outlineLevel="0" collapsed="false">
      <c r="A438" s="29" t="str">
        <f aca="false">IF(R438="","",Reconciliation!A439)</f>
        <v/>
      </c>
      <c r="B438" s="30" t="str">
        <f aca="false">IF(R438="","",Reconciliation!B439)</f>
        <v/>
      </c>
      <c r="C438" s="30" t="str">
        <f aca="false">IF(R438="","",Reconciliation!C439)</f>
        <v/>
      </c>
      <c r="D438" s="30" t="str">
        <f aca="false">IF(R438="","",Reconciliation!D439)</f>
        <v/>
      </c>
      <c r="E438" s="31" t="str">
        <f aca="false">IF(R438="","",Reconciliation!E439)</f>
        <v/>
      </c>
      <c r="F438" s="30" t="str">
        <f aca="false">IF(R438="","",Reconciliation!F439)</f>
        <v/>
      </c>
      <c r="G438" s="30" t="str">
        <f aca="false">IF(R438="","",Reconciliation!G439)</f>
        <v/>
      </c>
      <c r="H438" s="30" t="str">
        <f aca="false">IF(R438="","",Reconciliation!H439)</f>
        <v/>
      </c>
      <c r="I438" s="30" t="str">
        <f aca="false">IF(R438="","",Reconciliation!I439)</f>
        <v/>
      </c>
      <c r="J438" s="31" t="str">
        <f aca="false">IF(R438="","",Reconciliation!J439)</f>
        <v/>
      </c>
      <c r="K438" s="30" t="str">
        <f aca="false">IF(R438="","",Reconciliation!K439)</f>
        <v/>
      </c>
      <c r="L438" s="30" t="str">
        <f aca="false">IF(R438="","",Reconciliation!L439)</f>
        <v/>
      </c>
      <c r="M438" s="32" t="str">
        <f aca="false">IF(R438="","",Reconciliation!M439)</f>
        <v/>
      </c>
      <c r="N438" s="32" t="str">
        <f aca="false">IF(R438="","",Reconciliation!N439)</f>
        <v/>
      </c>
      <c r="O438" s="32" t="str">
        <f aca="false">IF(R438="","",Reconciliation!O439)</f>
        <v/>
      </c>
      <c r="P438" s="32" t="str">
        <f aca="false">IF(R438="","",Reconciliation!P439)</f>
        <v/>
      </c>
      <c r="Q438" s="32" t="str">
        <f aca="false">IF(R438="","",Reconciliation!Q439)</f>
        <v/>
      </c>
      <c r="R438" s="33" t="str">
        <f aca="false">IF(OR(Reconciliation!R439="✅ MATCH",Reconciliation!R439=""),"",Reconciliation!R439)</f>
        <v/>
      </c>
    </row>
    <row r="439" customFormat="false" ht="15" hidden="false" customHeight="true" outlineLevel="0" collapsed="false">
      <c r="A439" s="29" t="str">
        <f aca="false">IF(R439="","",Reconciliation!A440)</f>
        <v/>
      </c>
      <c r="B439" s="30" t="str">
        <f aca="false">IF(R439="","",Reconciliation!B440)</f>
        <v/>
      </c>
      <c r="C439" s="30" t="str">
        <f aca="false">IF(R439="","",Reconciliation!C440)</f>
        <v/>
      </c>
      <c r="D439" s="30" t="str">
        <f aca="false">IF(R439="","",Reconciliation!D440)</f>
        <v/>
      </c>
      <c r="E439" s="31" t="str">
        <f aca="false">IF(R439="","",Reconciliation!E440)</f>
        <v/>
      </c>
      <c r="F439" s="30" t="str">
        <f aca="false">IF(R439="","",Reconciliation!F440)</f>
        <v/>
      </c>
      <c r="G439" s="30" t="str">
        <f aca="false">IF(R439="","",Reconciliation!G440)</f>
        <v/>
      </c>
      <c r="H439" s="30" t="str">
        <f aca="false">IF(R439="","",Reconciliation!H440)</f>
        <v/>
      </c>
      <c r="I439" s="30" t="str">
        <f aca="false">IF(R439="","",Reconciliation!I440)</f>
        <v/>
      </c>
      <c r="J439" s="31" t="str">
        <f aca="false">IF(R439="","",Reconciliation!J440)</f>
        <v/>
      </c>
      <c r="K439" s="30" t="str">
        <f aca="false">IF(R439="","",Reconciliation!K440)</f>
        <v/>
      </c>
      <c r="L439" s="30" t="str">
        <f aca="false">IF(R439="","",Reconciliation!L440)</f>
        <v/>
      </c>
      <c r="M439" s="32" t="str">
        <f aca="false">IF(R439="","",Reconciliation!M440)</f>
        <v/>
      </c>
      <c r="N439" s="32" t="str">
        <f aca="false">IF(R439="","",Reconciliation!N440)</f>
        <v/>
      </c>
      <c r="O439" s="32" t="str">
        <f aca="false">IF(R439="","",Reconciliation!O440)</f>
        <v/>
      </c>
      <c r="P439" s="32" t="str">
        <f aca="false">IF(R439="","",Reconciliation!P440)</f>
        <v/>
      </c>
      <c r="Q439" s="32" t="str">
        <f aca="false">IF(R439="","",Reconciliation!Q440)</f>
        <v/>
      </c>
      <c r="R439" s="33" t="str">
        <f aca="false">IF(OR(Reconciliation!R440="✅ MATCH",Reconciliation!R440=""),"",Reconciliation!R440)</f>
        <v/>
      </c>
    </row>
    <row r="440" customFormat="false" ht="15" hidden="false" customHeight="true" outlineLevel="0" collapsed="false">
      <c r="A440" s="29" t="str">
        <f aca="false">IF(R440="","",Reconciliation!A441)</f>
        <v/>
      </c>
      <c r="B440" s="30" t="str">
        <f aca="false">IF(R440="","",Reconciliation!B441)</f>
        <v/>
      </c>
      <c r="C440" s="30" t="str">
        <f aca="false">IF(R440="","",Reconciliation!C441)</f>
        <v/>
      </c>
      <c r="D440" s="30" t="str">
        <f aca="false">IF(R440="","",Reconciliation!D441)</f>
        <v/>
      </c>
      <c r="E440" s="31" t="str">
        <f aca="false">IF(R440="","",Reconciliation!E441)</f>
        <v/>
      </c>
      <c r="F440" s="30" t="str">
        <f aca="false">IF(R440="","",Reconciliation!F441)</f>
        <v/>
      </c>
      <c r="G440" s="30" t="str">
        <f aca="false">IF(R440="","",Reconciliation!G441)</f>
        <v/>
      </c>
      <c r="H440" s="30" t="str">
        <f aca="false">IF(R440="","",Reconciliation!H441)</f>
        <v/>
      </c>
      <c r="I440" s="30" t="str">
        <f aca="false">IF(R440="","",Reconciliation!I441)</f>
        <v/>
      </c>
      <c r="J440" s="31" t="str">
        <f aca="false">IF(R440="","",Reconciliation!J441)</f>
        <v/>
      </c>
      <c r="K440" s="30" t="str">
        <f aca="false">IF(R440="","",Reconciliation!K441)</f>
        <v/>
      </c>
      <c r="L440" s="30" t="str">
        <f aca="false">IF(R440="","",Reconciliation!L441)</f>
        <v/>
      </c>
      <c r="M440" s="32" t="str">
        <f aca="false">IF(R440="","",Reconciliation!M441)</f>
        <v/>
      </c>
      <c r="N440" s="32" t="str">
        <f aca="false">IF(R440="","",Reconciliation!N441)</f>
        <v/>
      </c>
      <c r="O440" s="32" t="str">
        <f aca="false">IF(R440="","",Reconciliation!O441)</f>
        <v/>
      </c>
      <c r="P440" s="32" t="str">
        <f aca="false">IF(R440="","",Reconciliation!P441)</f>
        <v/>
      </c>
      <c r="Q440" s="32" t="str">
        <f aca="false">IF(R440="","",Reconciliation!Q441)</f>
        <v/>
      </c>
      <c r="R440" s="33" t="str">
        <f aca="false">IF(OR(Reconciliation!R441="✅ MATCH",Reconciliation!R441=""),"",Reconciliation!R441)</f>
        <v/>
      </c>
    </row>
    <row r="441" customFormat="false" ht="15" hidden="false" customHeight="true" outlineLevel="0" collapsed="false">
      <c r="A441" s="29" t="str">
        <f aca="false">IF(R441="","",Reconciliation!A442)</f>
        <v/>
      </c>
      <c r="B441" s="30" t="str">
        <f aca="false">IF(R441="","",Reconciliation!B442)</f>
        <v/>
      </c>
      <c r="C441" s="30" t="str">
        <f aca="false">IF(R441="","",Reconciliation!C442)</f>
        <v/>
      </c>
      <c r="D441" s="30" t="str">
        <f aca="false">IF(R441="","",Reconciliation!D442)</f>
        <v/>
      </c>
      <c r="E441" s="31" t="str">
        <f aca="false">IF(R441="","",Reconciliation!E442)</f>
        <v/>
      </c>
      <c r="F441" s="30" t="str">
        <f aca="false">IF(R441="","",Reconciliation!F442)</f>
        <v/>
      </c>
      <c r="G441" s="30" t="str">
        <f aca="false">IF(R441="","",Reconciliation!G442)</f>
        <v/>
      </c>
      <c r="H441" s="30" t="str">
        <f aca="false">IF(R441="","",Reconciliation!H442)</f>
        <v/>
      </c>
      <c r="I441" s="30" t="str">
        <f aca="false">IF(R441="","",Reconciliation!I442)</f>
        <v/>
      </c>
      <c r="J441" s="31" t="str">
        <f aca="false">IF(R441="","",Reconciliation!J442)</f>
        <v/>
      </c>
      <c r="K441" s="30" t="str">
        <f aca="false">IF(R441="","",Reconciliation!K442)</f>
        <v/>
      </c>
      <c r="L441" s="30" t="str">
        <f aca="false">IF(R441="","",Reconciliation!L442)</f>
        <v/>
      </c>
      <c r="M441" s="32" t="str">
        <f aca="false">IF(R441="","",Reconciliation!M442)</f>
        <v/>
      </c>
      <c r="N441" s="32" t="str">
        <f aca="false">IF(R441="","",Reconciliation!N442)</f>
        <v/>
      </c>
      <c r="O441" s="32" t="str">
        <f aca="false">IF(R441="","",Reconciliation!O442)</f>
        <v/>
      </c>
      <c r="P441" s="32" t="str">
        <f aca="false">IF(R441="","",Reconciliation!P442)</f>
        <v/>
      </c>
      <c r="Q441" s="32" t="str">
        <f aca="false">IF(R441="","",Reconciliation!Q442)</f>
        <v/>
      </c>
      <c r="R441" s="33" t="str">
        <f aca="false">IF(OR(Reconciliation!R442="✅ MATCH",Reconciliation!R442=""),"",Reconciliation!R442)</f>
        <v/>
      </c>
    </row>
    <row r="442" customFormat="false" ht="15" hidden="false" customHeight="true" outlineLevel="0" collapsed="false">
      <c r="A442" s="29" t="str">
        <f aca="false">IF(R442="","",Reconciliation!A443)</f>
        <v/>
      </c>
      <c r="B442" s="30" t="str">
        <f aca="false">IF(R442="","",Reconciliation!B443)</f>
        <v/>
      </c>
      <c r="C442" s="30" t="str">
        <f aca="false">IF(R442="","",Reconciliation!C443)</f>
        <v/>
      </c>
      <c r="D442" s="30" t="str">
        <f aca="false">IF(R442="","",Reconciliation!D443)</f>
        <v/>
      </c>
      <c r="E442" s="31" t="str">
        <f aca="false">IF(R442="","",Reconciliation!E443)</f>
        <v/>
      </c>
      <c r="F442" s="30" t="str">
        <f aca="false">IF(R442="","",Reconciliation!F443)</f>
        <v/>
      </c>
      <c r="G442" s="30" t="str">
        <f aca="false">IF(R442="","",Reconciliation!G443)</f>
        <v/>
      </c>
      <c r="H442" s="30" t="str">
        <f aca="false">IF(R442="","",Reconciliation!H443)</f>
        <v/>
      </c>
      <c r="I442" s="30" t="str">
        <f aca="false">IF(R442="","",Reconciliation!I443)</f>
        <v/>
      </c>
      <c r="J442" s="31" t="str">
        <f aca="false">IF(R442="","",Reconciliation!J443)</f>
        <v/>
      </c>
      <c r="K442" s="30" t="str">
        <f aca="false">IF(R442="","",Reconciliation!K443)</f>
        <v/>
      </c>
      <c r="L442" s="30" t="str">
        <f aca="false">IF(R442="","",Reconciliation!L443)</f>
        <v/>
      </c>
      <c r="M442" s="32" t="str">
        <f aca="false">IF(R442="","",Reconciliation!M443)</f>
        <v/>
      </c>
      <c r="N442" s="32" t="str">
        <f aca="false">IF(R442="","",Reconciliation!N443)</f>
        <v/>
      </c>
      <c r="O442" s="32" t="str">
        <f aca="false">IF(R442="","",Reconciliation!O443)</f>
        <v/>
      </c>
      <c r="P442" s="32" t="str">
        <f aca="false">IF(R442="","",Reconciliation!P443)</f>
        <v/>
      </c>
      <c r="Q442" s="32" t="str">
        <f aca="false">IF(R442="","",Reconciliation!Q443)</f>
        <v/>
      </c>
      <c r="R442" s="33" t="str">
        <f aca="false">IF(OR(Reconciliation!R443="✅ MATCH",Reconciliation!R443=""),"",Reconciliation!R443)</f>
        <v/>
      </c>
    </row>
    <row r="443" customFormat="false" ht="15" hidden="false" customHeight="true" outlineLevel="0" collapsed="false">
      <c r="A443" s="29" t="str">
        <f aca="false">IF(R443="","",Reconciliation!A444)</f>
        <v/>
      </c>
      <c r="B443" s="30" t="str">
        <f aca="false">IF(R443="","",Reconciliation!B444)</f>
        <v/>
      </c>
      <c r="C443" s="30" t="str">
        <f aca="false">IF(R443="","",Reconciliation!C444)</f>
        <v/>
      </c>
      <c r="D443" s="30" t="str">
        <f aca="false">IF(R443="","",Reconciliation!D444)</f>
        <v/>
      </c>
      <c r="E443" s="31" t="str">
        <f aca="false">IF(R443="","",Reconciliation!E444)</f>
        <v/>
      </c>
      <c r="F443" s="30" t="str">
        <f aca="false">IF(R443="","",Reconciliation!F444)</f>
        <v/>
      </c>
      <c r="G443" s="30" t="str">
        <f aca="false">IF(R443="","",Reconciliation!G444)</f>
        <v/>
      </c>
      <c r="H443" s="30" t="str">
        <f aca="false">IF(R443="","",Reconciliation!H444)</f>
        <v/>
      </c>
      <c r="I443" s="30" t="str">
        <f aca="false">IF(R443="","",Reconciliation!I444)</f>
        <v/>
      </c>
      <c r="J443" s="31" t="str">
        <f aca="false">IF(R443="","",Reconciliation!J444)</f>
        <v/>
      </c>
      <c r="K443" s="30" t="str">
        <f aca="false">IF(R443="","",Reconciliation!K444)</f>
        <v/>
      </c>
      <c r="L443" s="30" t="str">
        <f aca="false">IF(R443="","",Reconciliation!L444)</f>
        <v/>
      </c>
      <c r="M443" s="32" t="str">
        <f aca="false">IF(R443="","",Reconciliation!M444)</f>
        <v/>
      </c>
      <c r="N443" s="32" t="str">
        <f aca="false">IF(R443="","",Reconciliation!N444)</f>
        <v/>
      </c>
      <c r="O443" s="32" t="str">
        <f aca="false">IF(R443="","",Reconciliation!O444)</f>
        <v/>
      </c>
      <c r="P443" s="32" t="str">
        <f aca="false">IF(R443="","",Reconciliation!P444)</f>
        <v/>
      </c>
      <c r="Q443" s="32" t="str">
        <f aca="false">IF(R443="","",Reconciliation!Q444)</f>
        <v/>
      </c>
      <c r="R443" s="33" t="str">
        <f aca="false">IF(OR(Reconciliation!R444="✅ MATCH",Reconciliation!R444=""),"",Reconciliation!R444)</f>
        <v/>
      </c>
    </row>
    <row r="444" customFormat="false" ht="15" hidden="false" customHeight="true" outlineLevel="0" collapsed="false">
      <c r="A444" s="29" t="str">
        <f aca="false">IF(R444="","",Reconciliation!A445)</f>
        <v/>
      </c>
      <c r="B444" s="30" t="str">
        <f aca="false">IF(R444="","",Reconciliation!B445)</f>
        <v/>
      </c>
      <c r="C444" s="30" t="str">
        <f aca="false">IF(R444="","",Reconciliation!C445)</f>
        <v/>
      </c>
      <c r="D444" s="30" t="str">
        <f aca="false">IF(R444="","",Reconciliation!D445)</f>
        <v/>
      </c>
      <c r="E444" s="31" t="str">
        <f aca="false">IF(R444="","",Reconciliation!E445)</f>
        <v/>
      </c>
      <c r="F444" s="30" t="str">
        <f aca="false">IF(R444="","",Reconciliation!F445)</f>
        <v/>
      </c>
      <c r="G444" s="30" t="str">
        <f aca="false">IF(R444="","",Reconciliation!G445)</f>
        <v/>
      </c>
      <c r="H444" s="30" t="str">
        <f aca="false">IF(R444="","",Reconciliation!H445)</f>
        <v/>
      </c>
      <c r="I444" s="30" t="str">
        <f aca="false">IF(R444="","",Reconciliation!I445)</f>
        <v/>
      </c>
      <c r="J444" s="31" t="str">
        <f aca="false">IF(R444="","",Reconciliation!J445)</f>
        <v/>
      </c>
      <c r="K444" s="30" t="str">
        <f aca="false">IF(R444="","",Reconciliation!K445)</f>
        <v/>
      </c>
      <c r="L444" s="30" t="str">
        <f aca="false">IF(R444="","",Reconciliation!L445)</f>
        <v/>
      </c>
      <c r="M444" s="32" t="str">
        <f aca="false">IF(R444="","",Reconciliation!M445)</f>
        <v/>
      </c>
      <c r="N444" s="32" t="str">
        <f aca="false">IF(R444="","",Reconciliation!N445)</f>
        <v/>
      </c>
      <c r="O444" s="32" t="str">
        <f aca="false">IF(R444="","",Reconciliation!O445)</f>
        <v/>
      </c>
      <c r="P444" s="32" t="str">
        <f aca="false">IF(R444="","",Reconciliation!P445)</f>
        <v/>
      </c>
      <c r="Q444" s="32" t="str">
        <f aca="false">IF(R444="","",Reconciliation!Q445)</f>
        <v/>
      </c>
      <c r="R444" s="33" t="str">
        <f aca="false">IF(OR(Reconciliation!R445="✅ MATCH",Reconciliation!R445=""),"",Reconciliation!R445)</f>
        <v/>
      </c>
    </row>
    <row r="445" customFormat="false" ht="15" hidden="false" customHeight="true" outlineLevel="0" collapsed="false">
      <c r="A445" s="29" t="str">
        <f aca="false">IF(R445="","",Reconciliation!A446)</f>
        <v/>
      </c>
      <c r="B445" s="30" t="str">
        <f aca="false">IF(R445="","",Reconciliation!B446)</f>
        <v/>
      </c>
      <c r="C445" s="30" t="str">
        <f aca="false">IF(R445="","",Reconciliation!C446)</f>
        <v/>
      </c>
      <c r="D445" s="30" t="str">
        <f aca="false">IF(R445="","",Reconciliation!D446)</f>
        <v/>
      </c>
      <c r="E445" s="31" t="str">
        <f aca="false">IF(R445="","",Reconciliation!E446)</f>
        <v/>
      </c>
      <c r="F445" s="30" t="str">
        <f aca="false">IF(R445="","",Reconciliation!F446)</f>
        <v/>
      </c>
      <c r="G445" s="30" t="str">
        <f aca="false">IF(R445="","",Reconciliation!G446)</f>
        <v/>
      </c>
      <c r="H445" s="30" t="str">
        <f aca="false">IF(R445="","",Reconciliation!H446)</f>
        <v/>
      </c>
      <c r="I445" s="30" t="str">
        <f aca="false">IF(R445="","",Reconciliation!I446)</f>
        <v/>
      </c>
      <c r="J445" s="31" t="str">
        <f aca="false">IF(R445="","",Reconciliation!J446)</f>
        <v/>
      </c>
      <c r="K445" s="30" t="str">
        <f aca="false">IF(R445="","",Reconciliation!K446)</f>
        <v/>
      </c>
      <c r="L445" s="30" t="str">
        <f aca="false">IF(R445="","",Reconciliation!L446)</f>
        <v/>
      </c>
      <c r="M445" s="32" t="str">
        <f aca="false">IF(R445="","",Reconciliation!M446)</f>
        <v/>
      </c>
      <c r="N445" s="32" t="str">
        <f aca="false">IF(R445="","",Reconciliation!N446)</f>
        <v/>
      </c>
      <c r="O445" s="32" t="str">
        <f aca="false">IF(R445="","",Reconciliation!O446)</f>
        <v/>
      </c>
      <c r="P445" s="32" t="str">
        <f aca="false">IF(R445="","",Reconciliation!P446)</f>
        <v/>
      </c>
      <c r="Q445" s="32" t="str">
        <f aca="false">IF(R445="","",Reconciliation!Q446)</f>
        <v/>
      </c>
      <c r="R445" s="33" t="str">
        <f aca="false">IF(OR(Reconciliation!R446="✅ MATCH",Reconciliation!R446=""),"",Reconciliation!R446)</f>
        <v/>
      </c>
    </row>
    <row r="446" customFormat="false" ht="15" hidden="false" customHeight="true" outlineLevel="0" collapsed="false">
      <c r="A446" s="29" t="str">
        <f aca="false">IF(R446="","",Reconciliation!A447)</f>
        <v/>
      </c>
      <c r="B446" s="30" t="str">
        <f aca="false">IF(R446="","",Reconciliation!B447)</f>
        <v/>
      </c>
      <c r="C446" s="30" t="str">
        <f aca="false">IF(R446="","",Reconciliation!C447)</f>
        <v/>
      </c>
      <c r="D446" s="30" t="str">
        <f aca="false">IF(R446="","",Reconciliation!D447)</f>
        <v/>
      </c>
      <c r="E446" s="31" t="str">
        <f aca="false">IF(R446="","",Reconciliation!E447)</f>
        <v/>
      </c>
      <c r="F446" s="30" t="str">
        <f aca="false">IF(R446="","",Reconciliation!F447)</f>
        <v/>
      </c>
      <c r="G446" s="30" t="str">
        <f aca="false">IF(R446="","",Reconciliation!G447)</f>
        <v/>
      </c>
      <c r="H446" s="30" t="str">
        <f aca="false">IF(R446="","",Reconciliation!H447)</f>
        <v/>
      </c>
      <c r="I446" s="30" t="str">
        <f aca="false">IF(R446="","",Reconciliation!I447)</f>
        <v/>
      </c>
      <c r="J446" s="31" t="str">
        <f aca="false">IF(R446="","",Reconciliation!J447)</f>
        <v/>
      </c>
      <c r="K446" s="30" t="str">
        <f aca="false">IF(R446="","",Reconciliation!K447)</f>
        <v/>
      </c>
      <c r="L446" s="30" t="str">
        <f aca="false">IF(R446="","",Reconciliation!L447)</f>
        <v/>
      </c>
      <c r="M446" s="32" t="str">
        <f aca="false">IF(R446="","",Reconciliation!M447)</f>
        <v/>
      </c>
      <c r="N446" s="32" t="str">
        <f aca="false">IF(R446="","",Reconciliation!N447)</f>
        <v/>
      </c>
      <c r="O446" s="32" t="str">
        <f aca="false">IF(R446="","",Reconciliation!O447)</f>
        <v/>
      </c>
      <c r="P446" s="32" t="str">
        <f aca="false">IF(R446="","",Reconciliation!P447)</f>
        <v/>
      </c>
      <c r="Q446" s="32" t="str">
        <f aca="false">IF(R446="","",Reconciliation!Q447)</f>
        <v/>
      </c>
      <c r="R446" s="33" t="str">
        <f aca="false">IF(OR(Reconciliation!R447="✅ MATCH",Reconciliation!R447=""),"",Reconciliation!R447)</f>
        <v/>
      </c>
    </row>
    <row r="447" customFormat="false" ht="15" hidden="false" customHeight="true" outlineLevel="0" collapsed="false">
      <c r="A447" s="29" t="str">
        <f aca="false">IF(R447="","",Reconciliation!A448)</f>
        <v/>
      </c>
      <c r="B447" s="30" t="str">
        <f aca="false">IF(R447="","",Reconciliation!B448)</f>
        <v/>
      </c>
      <c r="C447" s="30" t="str">
        <f aca="false">IF(R447="","",Reconciliation!C448)</f>
        <v/>
      </c>
      <c r="D447" s="30" t="str">
        <f aca="false">IF(R447="","",Reconciliation!D448)</f>
        <v/>
      </c>
      <c r="E447" s="31" t="str">
        <f aca="false">IF(R447="","",Reconciliation!E448)</f>
        <v/>
      </c>
      <c r="F447" s="30" t="str">
        <f aca="false">IF(R447="","",Reconciliation!F448)</f>
        <v/>
      </c>
      <c r="G447" s="30" t="str">
        <f aca="false">IF(R447="","",Reconciliation!G448)</f>
        <v/>
      </c>
      <c r="H447" s="30" t="str">
        <f aca="false">IF(R447="","",Reconciliation!H448)</f>
        <v/>
      </c>
      <c r="I447" s="30" t="str">
        <f aca="false">IF(R447="","",Reconciliation!I448)</f>
        <v/>
      </c>
      <c r="J447" s="31" t="str">
        <f aca="false">IF(R447="","",Reconciliation!J448)</f>
        <v/>
      </c>
      <c r="K447" s="30" t="str">
        <f aca="false">IF(R447="","",Reconciliation!K448)</f>
        <v/>
      </c>
      <c r="L447" s="30" t="str">
        <f aca="false">IF(R447="","",Reconciliation!L448)</f>
        <v/>
      </c>
      <c r="M447" s="32" t="str">
        <f aca="false">IF(R447="","",Reconciliation!M448)</f>
        <v/>
      </c>
      <c r="N447" s="32" t="str">
        <f aca="false">IF(R447="","",Reconciliation!N448)</f>
        <v/>
      </c>
      <c r="O447" s="32" t="str">
        <f aca="false">IF(R447="","",Reconciliation!O448)</f>
        <v/>
      </c>
      <c r="P447" s="32" t="str">
        <f aca="false">IF(R447="","",Reconciliation!P448)</f>
        <v/>
      </c>
      <c r="Q447" s="32" t="str">
        <f aca="false">IF(R447="","",Reconciliation!Q448)</f>
        <v/>
      </c>
      <c r="R447" s="33" t="str">
        <f aca="false">IF(OR(Reconciliation!R448="✅ MATCH",Reconciliation!R448=""),"",Reconciliation!R448)</f>
        <v/>
      </c>
    </row>
    <row r="448" customFormat="false" ht="15" hidden="false" customHeight="true" outlineLevel="0" collapsed="false">
      <c r="A448" s="29" t="str">
        <f aca="false">IF(R448="","",Reconciliation!A449)</f>
        <v/>
      </c>
      <c r="B448" s="30" t="str">
        <f aca="false">IF(R448="","",Reconciliation!B449)</f>
        <v/>
      </c>
      <c r="C448" s="30" t="str">
        <f aca="false">IF(R448="","",Reconciliation!C449)</f>
        <v/>
      </c>
      <c r="D448" s="30" t="str">
        <f aca="false">IF(R448="","",Reconciliation!D449)</f>
        <v/>
      </c>
      <c r="E448" s="31" t="str">
        <f aca="false">IF(R448="","",Reconciliation!E449)</f>
        <v/>
      </c>
      <c r="F448" s="30" t="str">
        <f aca="false">IF(R448="","",Reconciliation!F449)</f>
        <v/>
      </c>
      <c r="G448" s="30" t="str">
        <f aca="false">IF(R448="","",Reconciliation!G449)</f>
        <v/>
      </c>
      <c r="H448" s="30" t="str">
        <f aca="false">IF(R448="","",Reconciliation!H449)</f>
        <v/>
      </c>
      <c r="I448" s="30" t="str">
        <f aca="false">IF(R448="","",Reconciliation!I449)</f>
        <v/>
      </c>
      <c r="J448" s="31" t="str">
        <f aca="false">IF(R448="","",Reconciliation!J449)</f>
        <v/>
      </c>
      <c r="K448" s="30" t="str">
        <f aca="false">IF(R448="","",Reconciliation!K449)</f>
        <v/>
      </c>
      <c r="L448" s="30" t="str">
        <f aca="false">IF(R448="","",Reconciliation!L449)</f>
        <v/>
      </c>
      <c r="M448" s="32" t="str">
        <f aca="false">IF(R448="","",Reconciliation!M449)</f>
        <v/>
      </c>
      <c r="N448" s="32" t="str">
        <f aca="false">IF(R448="","",Reconciliation!N449)</f>
        <v/>
      </c>
      <c r="O448" s="32" t="str">
        <f aca="false">IF(R448="","",Reconciliation!O449)</f>
        <v/>
      </c>
      <c r="P448" s="32" t="str">
        <f aca="false">IF(R448="","",Reconciliation!P449)</f>
        <v/>
      </c>
      <c r="Q448" s="32" t="str">
        <f aca="false">IF(R448="","",Reconciliation!Q449)</f>
        <v/>
      </c>
      <c r="R448" s="33" t="str">
        <f aca="false">IF(OR(Reconciliation!R449="✅ MATCH",Reconciliation!R449=""),"",Reconciliation!R449)</f>
        <v/>
      </c>
    </row>
    <row r="449" customFormat="false" ht="15" hidden="false" customHeight="true" outlineLevel="0" collapsed="false">
      <c r="A449" s="29" t="str">
        <f aca="false">IF(R449="","",Reconciliation!A450)</f>
        <v/>
      </c>
      <c r="B449" s="30" t="str">
        <f aca="false">IF(R449="","",Reconciliation!B450)</f>
        <v/>
      </c>
      <c r="C449" s="30" t="str">
        <f aca="false">IF(R449="","",Reconciliation!C450)</f>
        <v/>
      </c>
      <c r="D449" s="30" t="str">
        <f aca="false">IF(R449="","",Reconciliation!D450)</f>
        <v/>
      </c>
      <c r="E449" s="31" t="str">
        <f aca="false">IF(R449="","",Reconciliation!E450)</f>
        <v/>
      </c>
      <c r="F449" s="30" t="str">
        <f aca="false">IF(R449="","",Reconciliation!F450)</f>
        <v/>
      </c>
      <c r="G449" s="30" t="str">
        <f aca="false">IF(R449="","",Reconciliation!G450)</f>
        <v/>
      </c>
      <c r="H449" s="30" t="str">
        <f aca="false">IF(R449="","",Reconciliation!H450)</f>
        <v/>
      </c>
      <c r="I449" s="30" t="str">
        <f aca="false">IF(R449="","",Reconciliation!I450)</f>
        <v/>
      </c>
      <c r="J449" s="31" t="str">
        <f aca="false">IF(R449="","",Reconciliation!J450)</f>
        <v/>
      </c>
      <c r="K449" s="30" t="str">
        <f aca="false">IF(R449="","",Reconciliation!K450)</f>
        <v/>
      </c>
      <c r="L449" s="30" t="str">
        <f aca="false">IF(R449="","",Reconciliation!L450)</f>
        <v/>
      </c>
      <c r="M449" s="32" t="str">
        <f aca="false">IF(R449="","",Reconciliation!M450)</f>
        <v/>
      </c>
      <c r="N449" s="32" t="str">
        <f aca="false">IF(R449="","",Reconciliation!N450)</f>
        <v/>
      </c>
      <c r="O449" s="32" t="str">
        <f aca="false">IF(R449="","",Reconciliation!O450)</f>
        <v/>
      </c>
      <c r="P449" s="32" t="str">
        <f aca="false">IF(R449="","",Reconciliation!P450)</f>
        <v/>
      </c>
      <c r="Q449" s="32" t="str">
        <f aca="false">IF(R449="","",Reconciliation!Q450)</f>
        <v/>
      </c>
      <c r="R449" s="33" t="str">
        <f aca="false">IF(OR(Reconciliation!R450="✅ MATCH",Reconciliation!R450=""),"",Reconciliation!R450)</f>
        <v/>
      </c>
    </row>
    <row r="450" customFormat="false" ht="15" hidden="false" customHeight="true" outlineLevel="0" collapsed="false">
      <c r="A450" s="29" t="str">
        <f aca="false">IF(R450="","",Reconciliation!A451)</f>
        <v/>
      </c>
      <c r="B450" s="30" t="str">
        <f aca="false">IF(R450="","",Reconciliation!B451)</f>
        <v/>
      </c>
      <c r="C450" s="30" t="str">
        <f aca="false">IF(R450="","",Reconciliation!C451)</f>
        <v/>
      </c>
      <c r="D450" s="30" t="str">
        <f aca="false">IF(R450="","",Reconciliation!D451)</f>
        <v/>
      </c>
      <c r="E450" s="31" t="str">
        <f aca="false">IF(R450="","",Reconciliation!E451)</f>
        <v/>
      </c>
      <c r="F450" s="30" t="str">
        <f aca="false">IF(R450="","",Reconciliation!F451)</f>
        <v/>
      </c>
      <c r="G450" s="30" t="str">
        <f aca="false">IF(R450="","",Reconciliation!G451)</f>
        <v/>
      </c>
      <c r="H450" s="30" t="str">
        <f aca="false">IF(R450="","",Reconciliation!H451)</f>
        <v/>
      </c>
      <c r="I450" s="30" t="str">
        <f aca="false">IF(R450="","",Reconciliation!I451)</f>
        <v/>
      </c>
      <c r="J450" s="31" t="str">
        <f aca="false">IF(R450="","",Reconciliation!J451)</f>
        <v/>
      </c>
      <c r="K450" s="30" t="str">
        <f aca="false">IF(R450="","",Reconciliation!K451)</f>
        <v/>
      </c>
      <c r="L450" s="30" t="str">
        <f aca="false">IF(R450="","",Reconciliation!L451)</f>
        <v/>
      </c>
      <c r="M450" s="32" t="str">
        <f aca="false">IF(R450="","",Reconciliation!M451)</f>
        <v/>
      </c>
      <c r="N450" s="32" t="str">
        <f aca="false">IF(R450="","",Reconciliation!N451)</f>
        <v/>
      </c>
      <c r="O450" s="32" t="str">
        <f aca="false">IF(R450="","",Reconciliation!O451)</f>
        <v/>
      </c>
      <c r="P450" s="32" t="str">
        <f aca="false">IF(R450="","",Reconciliation!P451)</f>
        <v/>
      </c>
      <c r="Q450" s="32" t="str">
        <f aca="false">IF(R450="","",Reconciliation!Q451)</f>
        <v/>
      </c>
      <c r="R450" s="33" t="str">
        <f aca="false">IF(OR(Reconciliation!R451="✅ MATCH",Reconciliation!R451=""),"",Reconciliation!R451)</f>
        <v/>
      </c>
    </row>
    <row r="451" customFormat="false" ht="15" hidden="false" customHeight="true" outlineLevel="0" collapsed="false">
      <c r="A451" s="29" t="str">
        <f aca="false">IF(R451="","",Reconciliation!A452)</f>
        <v/>
      </c>
      <c r="B451" s="30" t="str">
        <f aca="false">IF(R451="","",Reconciliation!B452)</f>
        <v/>
      </c>
      <c r="C451" s="30" t="str">
        <f aca="false">IF(R451="","",Reconciliation!C452)</f>
        <v/>
      </c>
      <c r="D451" s="30" t="str">
        <f aca="false">IF(R451="","",Reconciliation!D452)</f>
        <v/>
      </c>
      <c r="E451" s="31" t="str">
        <f aca="false">IF(R451="","",Reconciliation!E452)</f>
        <v/>
      </c>
      <c r="F451" s="30" t="str">
        <f aca="false">IF(R451="","",Reconciliation!F452)</f>
        <v/>
      </c>
      <c r="G451" s="30" t="str">
        <f aca="false">IF(R451="","",Reconciliation!G452)</f>
        <v/>
      </c>
      <c r="H451" s="30" t="str">
        <f aca="false">IF(R451="","",Reconciliation!H452)</f>
        <v/>
      </c>
      <c r="I451" s="30" t="str">
        <f aca="false">IF(R451="","",Reconciliation!I452)</f>
        <v/>
      </c>
      <c r="J451" s="31" t="str">
        <f aca="false">IF(R451="","",Reconciliation!J452)</f>
        <v/>
      </c>
      <c r="K451" s="30" t="str">
        <f aca="false">IF(R451="","",Reconciliation!K452)</f>
        <v/>
      </c>
      <c r="L451" s="30" t="str">
        <f aca="false">IF(R451="","",Reconciliation!L452)</f>
        <v/>
      </c>
      <c r="M451" s="32" t="str">
        <f aca="false">IF(R451="","",Reconciliation!M452)</f>
        <v/>
      </c>
      <c r="N451" s="32" t="str">
        <f aca="false">IF(R451="","",Reconciliation!N452)</f>
        <v/>
      </c>
      <c r="O451" s="32" t="str">
        <f aca="false">IF(R451="","",Reconciliation!O452)</f>
        <v/>
      </c>
      <c r="P451" s="32" t="str">
        <f aca="false">IF(R451="","",Reconciliation!P452)</f>
        <v/>
      </c>
      <c r="Q451" s="32" t="str">
        <f aca="false">IF(R451="","",Reconciliation!Q452)</f>
        <v/>
      </c>
      <c r="R451" s="33" t="str">
        <f aca="false">IF(OR(Reconciliation!R452="✅ MATCH",Reconciliation!R452=""),"",Reconciliation!R452)</f>
        <v/>
      </c>
    </row>
    <row r="452" customFormat="false" ht="15" hidden="false" customHeight="true" outlineLevel="0" collapsed="false">
      <c r="A452" s="29" t="str">
        <f aca="false">IF(R452="","",Reconciliation!A453)</f>
        <v/>
      </c>
      <c r="B452" s="30" t="str">
        <f aca="false">IF(R452="","",Reconciliation!B453)</f>
        <v/>
      </c>
      <c r="C452" s="30" t="str">
        <f aca="false">IF(R452="","",Reconciliation!C453)</f>
        <v/>
      </c>
      <c r="D452" s="30" t="str">
        <f aca="false">IF(R452="","",Reconciliation!D453)</f>
        <v/>
      </c>
      <c r="E452" s="31" t="str">
        <f aca="false">IF(R452="","",Reconciliation!E453)</f>
        <v/>
      </c>
      <c r="F452" s="30" t="str">
        <f aca="false">IF(R452="","",Reconciliation!F453)</f>
        <v/>
      </c>
      <c r="G452" s="30" t="str">
        <f aca="false">IF(R452="","",Reconciliation!G453)</f>
        <v/>
      </c>
      <c r="H452" s="30" t="str">
        <f aca="false">IF(R452="","",Reconciliation!H453)</f>
        <v/>
      </c>
      <c r="I452" s="30" t="str">
        <f aca="false">IF(R452="","",Reconciliation!I453)</f>
        <v/>
      </c>
      <c r="J452" s="31" t="str">
        <f aca="false">IF(R452="","",Reconciliation!J453)</f>
        <v/>
      </c>
      <c r="K452" s="30" t="str">
        <f aca="false">IF(R452="","",Reconciliation!K453)</f>
        <v/>
      </c>
      <c r="L452" s="30" t="str">
        <f aca="false">IF(R452="","",Reconciliation!L453)</f>
        <v/>
      </c>
      <c r="M452" s="32" t="str">
        <f aca="false">IF(R452="","",Reconciliation!M453)</f>
        <v/>
      </c>
      <c r="N452" s="32" t="str">
        <f aca="false">IF(R452="","",Reconciliation!N453)</f>
        <v/>
      </c>
      <c r="O452" s="32" t="str">
        <f aca="false">IF(R452="","",Reconciliation!O453)</f>
        <v/>
      </c>
      <c r="P452" s="32" t="str">
        <f aca="false">IF(R452="","",Reconciliation!P453)</f>
        <v/>
      </c>
      <c r="Q452" s="32" t="str">
        <f aca="false">IF(R452="","",Reconciliation!Q453)</f>
        <v/>
      </c>
      <c r="R452" s="33" t="str">
        <f aca="false">IF(OR(Reconciliation!R453="✅ MATCH",Reconciliation!R453=""),"",Reconciliation!R453)</f>
        <v/>
      </c>
    </row>
    <row r="453" customFormat="false" ht="15" hidden="false" customHeight="true" outlineLevel="0" collapsed="false">
      <c r="A453" s="29" t="str">
        <f aca="false">IF(R453="","",Reconciliation!A454)</f>
        <v/>
      </c>
      <c r="B453" s="30" t="str">
        <f aca="false">IF(R453="","",Reconciliation!B454)</f>
        <v/>
      </c>
      <c r="C453" s="30" t="str">
        <f aca="false">IF(R453="","",Reconciliation!C454)</f>
        <v/>
      </c>
      <c r="D453" s="30" t="str">
        <f aca="false">IF(R453="","",Reconciliation!D454)</f>
        <v/>
      </c>
      <c r="E453" s="31" t="str">
        <f aca="false">IF(R453="","",Reconciliation!E454)</f>
        <v/>
      </c>
      <c r="F453" s="30" t="str">
        <f aca="false">IF(R453="","",Reconciliation!F454)</f>
        <v/>
      </c>
      <c r="G453" s="30" t="str">
        <f aca="false">IF(R453="","",Reconciliation!G454)</f>
        <v/>
      </c>
      <c r="H453" s="30" t="str">
        <f aca="false">IF(R453="","",Reconciliation!H454)</f>
        <v/>
      </c>
      <c r="I453" s="30" t="str">
        <f aca="false">IF(R453="","",Reconciliation!I454)</f>
        <v/>
      </c>
      <c r="J453" s="31" t="str">
        <f aca="false">IF(R453="","",Reconciliation!J454)</f>
        <v/>
      </c>
      <c r="K453" s="30" t="str">
        <f aca="false">IF(R453="","",Reconciliation!K454)</f>
        <v/>
      </c>
      <c r="L453" s="30" t="str">
        <f aca="false">IF(R453="","",Reconciliation!L454)</f>
        <v/>
      </c>
      <c r="M453" s="32" t="str">
        <f aca="false">IF(R453="","",Reconciliation!M454)</f>
        <v/>
      </c>
      <c r="N453" s="32" t="str">
        <f aca="false">IF(R453="","",Reconciliation!N454)</f>
        <v/>
      </c>
      <c r="O453" s="32" t="str">
        <f aca="false">IF(R453="","",Reconciliation!O454)</f>
        <v/>
      </c>
      <c r="P453" s="32" t="str">
        <f aca="false">IF(R453="","",Reconciliation!P454)</f>
        <v/>
      </c>
      <c r="Q453" s="32" t="str">
        <f aca="false">IF(R453="","",Reconciliation!Q454)</f>
        <v/>
      </c>
      <c r="R453" s="33" t="str">
        <f aca="false">IF(OR(Reconciliation!R454="✅ MATCH",Reconciliation!R454=""),"",Reconciliation!R454)</f>
        <v/>
      </c>
    </row>
    <row r="454" customFormat="false" ht="15" hidden="false" customHeight="true" outlineLevel="0" collapsed="false">
      <c r="A454" s="29" t="str">
        <f aca="false">IF(R454="","",Reconciliation!A455)</f>
        <v/>
      </c>
      <c r="B454" s="30" t="str">
        <f aca="false">IF(R454="","",Reconciliation!B455)</f>
        <v/>
      </c>
      <c r="C454" s="30" t="str">
        <f aca="false">IF(R454="","",Reconciliation!C455)</f>
        <v/>
      </c>
      <c r="D454" s="30" t="str">
        <f aca="false">IF(R454="","",Reconciliation!D455)</f>
        <v/>
      </c>
      <c r="E454" s="31" t="str">
        <f aca="false">IF(R454="","",Reconciliation!E455)</f>
        <v/>
      </c>
      <c r="F454" s="30" t="str">
        <f aca="false">IF(R454="","",Reconciliation!F455)</f>
        <v/>
      </c>
      <c r="G454" s="30" t="str">
        <f aca="false">IF(R454="","",Reconciliation!G455)</f>
        <v/>
      </c>
      <c r="H454" s="30" t="str">
        <f aca="false">IF(R454="","",Reconciliation!H455)</f>
        <v/>
      </c>
      <c r="I454" s="30" t="str">
        <f aca="false">IF(R454="","",Reconciliation!I455)</f>
        <v/>
      </c>
      <c r="J454" s="31" t="str">
        <f aca="false">IF(R454="","",Reconciliation!J455)</f>
        <v/>
      </c>
      <c r="K454" s="30" t="str">
        <f aca="false">IF(R454="","",Reconciliation!K455)</f>
        <v/>
      </c>
      <c r="L454" s="30" t="str">
        <f aca="false">IF(R454="","",Reconciliation!L455)</f>
        <v/>
      </c>
      <c r="M454" s="32" t="str">
        <f aca="false">IF(R454="","",Reconciliation!M455)</f>
        <v/>
      </c>
      <c r="N454" s="32" t="str">
        <f aca="false">IF(R454="","",Reconciliation!N455)</f>
        <v/>
      </c>
      <c r="O454" s="32" t="str">
        <f aca="false">IF(R454="","",Reconciliation!O455)</f>
        <v/>
      </c>
      <c r="P454" s="32" t="str">
        <f aca="false">IF(R454="","",Reconciliation!P455)</f>
        <v/>
      </c>
      <c r="Q454" s="32" t="str">
        <f aca="false">IF(R454="","",Reconciliation!Q455)</f>
        <v/>
      </c>
      <c r="R454" s="33" t="str">
        <f aca="false">IF(OR(Reconciliation!R455="✅ MATCH",Reconciliation!R455=""),"",Reconciliation!R455)</f>
        <v/>
      </c>
    </row>
    <row r="455" customFormat="false" ht="15" hidden="false" customHeight="true" outlineLevel="0" collapsed="false">
      <c r="A455" s="29" t="str">
        <f aca="false">IF(R455="","",Reconciliation!A456)</f>
        <v/>
      </c>
      <c r="B455" s="30" t="str">
        <f aca="false">IF(R455="","",Reconciliation!B456)</f>
        <v/>
      </c>
      <c r="C455" s="30" t="str">
        <f aca="false">IF(R455="","",Reconciliation!C456)</f>
        <v/>
      </c>
      <c r="D455" s="30" t="str">
        <f aca="false">IF(R455="","",Reconciliation!D456)</f>
        <v/>
      </c>
      <c r="E455" s="31" t="str">
        <f aca="false">IF(R455="","",Reconciliation!E456)</f>
        <v/>
      </c>
      <c r="F455" s="30" t="str">
        <f aca="false">IF(R455="","",Reconciliation!F456)</f>
        <v/>
      </c>
      <c r="G455" s="30" t="str">
        <f aca="false">IF(R455="","",Reconciliation!G456)</f>
        <v/>
      </c>
      <c r="H455" s="30" t="str">
        <f aca="false">IF(R455="","",Reconciliation!H456)</f>
        <v/>
      </c>
      <c r="I455" s="30" t="str">
        <f aca="false">IF(R455="","",Reconciliation!I456)</f>
        <v/>
      </c>
      <c r="J455" s="31" t="str">
        <f aca="false">IF(R455="","",Reconciliation!J456)</f>
        <v/>
      </c>
      <c r="K455" s="30" t="str">
        <f aca="false">IF(R455="","",Reconciliation!K456)</f>
        <v/>
      </c>
      <c r="L455" s="30" t="str">
        <f aca="false">IF(R455="","",Reconciliation!L456)</f>
        <v/>
      </c>
      <c r="M455" s="32" t="str">
        <f aca="false">IF(R455="","",Reconciliation!M456)</f>
        <v/>
      </c>
      <c r="N455" s="32" t="str">
        <f aca="false">IF(R455="","",Reconciliation!N456)</f>
        <v/>
      </c>
      <c r="O455" s="32" t="str">
        <f aca="false">IF(R455="","",Reconciliation!O456)</f>
        <v/>
      </c>
      <c r="P455" s="32" t="str">
        <f aca="false">IF(R455="","",Reconciliation!P456)</f>
        <v/>
      </c>
      <c r="Q455" s="32" t="str">
        <f aca="false">IF(R455="","",Reconciliation!Q456)</f>
        <v/>
      </c>
      <c r="R455" s="33" t="str">
        <f aca="false">IF(OR(Reconciliation!R456="✅ MATCH",Reconciliation!R456=""),"",Reconciliation!R456)</f>
        <v/>
      </c>
    </row>
    <row r="456" customFormat="false" ht="15" hidden="false" customHeight="true" outlineLevel="0" collapsed="false">
      <c r="A456" s="29" t="str">
        <f aca="false">IF(R456="","",Reconciliation!A457)</f>
        <v/>
      </c>
      <c r="B456" s="30" t="str">
        <f aca="false">IF(R456="","",Reconciliation!B457)</f>
        <v/>
      </c>
      <c r="C456" s="30" t="str">
        <f aca="false">IF(R456="","",Reconciliation!C457)</f>
        <v/>
      </c>
      <c r="D456" s="30" t="str">
        <f aca="false">IF(R456="","",Reconciliation!D457)</f>
        <v/>
      </c>
      <c r="E456" s="31" t="str">
        <f aca="false">IF(R456="","",Reconciliation!E457)</f>
        <v/>
      </c>
      <c r="F456" s="30" t="str">
        <f aca="false">IF(R456="","",Reconciliation!F457)</f>
        <v/>
      </c>
      <c r="G456" s="30" t="str">
        <f aca="false">IF(R456="","",Reconciliation!G457)</f>
        <v/>
      </c>
      <c r="H456" s="30" t="str">
        <f aca="false">IF(R456="","",Reconciliation!H457)</f>
        <v/>
      </c>
      <c r="I456" s="30" t="str">
        <f aca="false">IF(R456="","",Reconciliation!I457)</f>
        <v/>
      </c>
      <c r="J456" s="31" t="str">
        <f aca="false">IF(R456="","",Reconciliation!J457)</f>
        <v/>
      </c>
      <c r="K456" s="30" t="str">
        <f aca="false">IF(R456="","",Reconciliation!K457)</f>
        <v/>
      </c>
      <c r="L456" s="30" t="str">
        <f aca="false">IF(R456="","",Reconciliation!L457)</f>
        <v/>
      </c>
      <c r="M456" s="32" t="str">
        <f aca="false">IF(R456="","",Reconciliation!M457)</f>
        <v/>
      </c>
      <c r="N456" s="32" t="str">
        <f aca="false">IF(R456="","",Reconciliation!N457)</f>
        <v/>
      </c>
      <c r="O456" s="32" t="str">
        <f aca="false">IF(R456="","",Reconciliation!O457)</f>
        <v/>
      </c>
      <c r="P456" s="32" t="str">
        <f aca="false">IF(R456="","",Reconciliation!P457)</f>
        <v/>
      </c>
      <c r="Q456" s="32" t="str">
        <f aca="false">IF(R456="","",Reconciliation!Q457)</f>
        <v/>
      </c>
      <c r="R456" s="33" t="str">
        <f aca="false">IF(OR(Reconciliation!R457="✅ MATCH",Reconciliation!R457=""),"",Reconciliation!R457)</f>
        <v/>
      </c>
    </row>
    <row r="457" customFormat="false" ht="15" hidden="false" customHeight="true" outlineLevel="0" collapsed="false">
      <c r="A457" s="29" t="str">
        <f aca="false">IF(R457="","",Reconciliation!A458)</f>
        <v/>
      </c>
      <c r="B457" s="30" t="str">
        <f aca="false">IF(R457="","",Reconciliation!B458)</f>
        <v/>
      </c>
      <c r="C457" s="30" t="str">
        <f aca="false">IF(R457="","",Reconciliation!C458)</f>
        <v/>
      </c>
      <c r="D457" s="30" t="str">
        <f aca="false">IF(R457="","",Reconciliation!D458)</f>
        <v/>
      </c>
      <c r="E457" s="31" t="str">
        <f aca="false">IF(R457="","",Reconciliation!E458)</f>
        <v/>
      </c>
      <c r="F457" s="30" t="str">
        <f aca="false">IF(R457="","",Reconciliation!F458)</f>
        <v/>
      </c>
      <c r="G457" s="30" t="str">
        <f aca="false">IF(R457="","",Reconciliation!G458)</f>
        <v/>
      </c>
      <c r="H457" s="30" t="str">
        <f aca="false">IF(R457="","",Reconciliation!H458)</f>
        <v/>
      </c>
      <c r="I457" s="30" t="str">
        <f aca="false">IF(R457="","",Reconciliation!I458)</f>
        <v/>
      </c>
      <c r="J457" s="31" t="str">
        <f aca="false">IF(R457="","",Reconciliation!J458)</f>
        <v/>
      </c>
      <c r="K457" s="30" t="str">
        <f aca="false">IF(R457="","",Reconciliation!K458)</f>
        <v/>
      </c>
      <c r="L457" s="30" t="str">
        <f aca="false">IF(R457="","",Reconciliation!L458)</f>
        <v/>
      </c>
      <c r="M457" s="32" t="str">
        <f aca="false">IF(R457="","",Reconciliation!M458)</f>
        <v/>
      </c>
      <c r="N457" s="32" t="str">
        <f aca="false">IF(R457="","",Reconciliation!N458)</f>
        <v/>
      </c>
      <c r="O457" s="32" t="str">
        <f aca="false">IF(R457="","",Reconciliation!O458)</f>
        <v/>
      </c>
      <c r="P457" s="32" t="str">
        <f aca="false">IF(R457="","",Reconciliation!P458)</f>
        <v/>
      </c>
      <c r="Q457" s="32" t="str">
        <f aca="false">IF(R457="","",Reconciliation!Q458)</f>
        <v/>
      </c>
      <c r="R457" s="33" t="str">
        <f aca="false">IF(OR(Reconciliation!R458="✅ MATCH",Reconciliation!R458=""),"",Reconciliation!R458)</f>
        <v/>
      </c>
    </row>
    <row r="458" customFormat="false" ht="15" hidden="false" customHeight="true" outlineLevel="0" collapsed="false">
      <c r="A458" s="29" t="str">
        <f aca="false">IF(R458="","",Reconciliation!A459)</f>
        <v/>
      </c>
      <c r="B458" s="30" t="str">
        <f aca="false">IF(R458="","",Reconciliation!B459)</f>
        <v/>
      </c>
      <c r="C458" s="30" t="str">
        <f aca="false">IF(R458="","",Reconciliation!C459)</f>
        <v/>
      </c>
      <c r="D458" s="30" t="str">
        <f aca="false">IF(R458="","",Reconciliation!D459)</f>
        <v/>
      </c>
      <c r="E458" s="31" t="str">
        <f aca="false">IF(R458="","",Reconciliation!E459)</f>
        <v/>
      </c>
      <c r="F458" s="30" t="str">
        <f aca="false">IF(R458="","",Reconciliation!F459)</f>
        <v/>
      </c>
      <c r="G458" s="30" t="str">
        <f aca="false">IF(R458="","",Reconciliation!G459)</f>
        <v/>
      </c>
      <c r="H458" s="30" t="str">
        <f aca="false">IF(R458="","",Reconciliation!H459)</f>
        <v/>
      </c>
      <c r="I458" s="30" t="str">
        <f aca="false">IF(R458="","",Reconciliation!I459)</f>
        <v/>
      </c>
      <c r="J458" s="31" t="str">
        <f aca="false">IF(R458="","",Reconciliation!J459)</f>
        <v/>
      </c>
      <c r="K458" s="30" t="str">
        <f aca="false">IF(R458="","",Reconciliation!K459)</f>
        <v/>
      </c>
      <c r="L458" s="30" t="str">
        <f aca="false">IF(R458="","",Reconciliation!L459)</f>
        <v/>
      </c>
      <c r="M458" s="32" t="str">
        <f aca="false">IF(R458="","",Reconciliation!M459)</f>
        <v/>
      </c>
      <c r="N458" s="32" t="str">
        <f aca="false">IF(R458="","",Reconciliation!N459)</f>
        <v/>
      </c>
      <c r="O458" s="32" t="str">
        <f aca="false">IF(R458="","",Reconciliation!O459)</f>
        <v/>
      </c>
      <c r="P458" s="32" t="str">
        <f aca="false">IF(R458="","",Reconciliation!P459)</f>
        <v/>
      </c>
      <c r="Q458" s="32" t="str">
        <f aca="false">IF(R458="","",Reconciliation!Q459)</f>
        <v/>
      </c>
      <c r="R458" s="33" t="str">
        <f aca="false">IF(OR(Reconciliation!R459="✅ MATCH",Reconciliation!R459=""),"",Reconciliation!R459)</f>
        <v/>
      </c>
    </row>
    <row r="459" customFormat="false" ht="15" hidden="false" customHeight="true" outlineLevel="0" collapsed="false">
      <c r="A459" s="29" t="str">
        <f aca="false">IF(R459="","",Reconciliation!A460)</f>
        <v/>
      </c>
      <c r="B459" s="30" t="str">
        <f aca="false">IF(R459="","",Reconciliation!B460)</f>
        <v/>
      </c>
      <c r="C459" s="30" t="str">
        <f aca="false">IF(R459="","",Reconciliation!C460)</f>
        <v/>
      </c>
      <c r="D459" s="30" t="str">
        <f aca="false">IF(R459="","",Reconciliation!D460)</f>
        <v/>
      </c>
      <c r="E459" s="31" t="str">
        <f aca="false">IF(R459="","",Reconciliation!E460)</f>
        <v/>
      </c>
      <c r="F459" s="30" t="str">
        <f aca="false">IF(R459="","",Reconciliation!F460)</f>
        <v/>
      </c>
      <c r="G459" s="30" t="str">
        <f aca="false">IF(R459="","",Reconciliation!G460)</f>
        <v/>
      </c>
      <c r="H459" s="30" t="str">
        <f aca="false">IF(R459="","",Reconciliation!H460)</f>
        <v/>
      </c>
      <c r="I459" s="30" t="str">
        <f aca="false">IF(R459="","",Reconciliation!I460)</f>
        <v/>
      </c>
      <c r="J459" s="31" t="str">
        <f aca="false">IF(R459="","",Reconciliation!J460)</f>
        <v/>
      </c>
      <c r="K459" s="30" t="str">
        <f aca="false">IF(R459="","",Reconciliation!K460)</f>
        <v/>
      </c>
      <c r="L459" s="30" t="str">
        <f aca="false">IF(R459="","",Reconciliation!L460)</f>
        <v/>
      </c>
      <c r="M459" s="32" t="str">
        <f aca="false">IF(R459="","",Reconciliation!M460)</f>
        <v/>
      </c>
      <c r="N459" s="32" t="str">
        <f aca="false">IF(R459="","",Reconciliation!N460)</f>
        <v/>
      </c>
      <c r="O459" s="32" t="str">
        <f aca="false">IF(R459="","",Reconciliation!O460)</f>
        <v/>
      </c>
      <c r="P459" s="32" t="str">
        <f aca="false">IF(R459="","",Reconciliation!P460)</f>
        <v/>
      </c>
      <c r="Q459" s="32" t="str">
        <f aca="false">IF(R459="","",Reconciliation!Q460)</f>
        <v/>
      </c>
      <c r="R459" s="33" t="str">
        <f aca="false">IF(OR(Reconciliation!R460="✅ MATCH",Reconciliation!R460=""),"",Reconciliation!R460)</f>
        <v/>
      </c>
    </row>
    <row r="460" customFormat="false" ht="15" hidden="false" customHeight="true" outlineLevel="0" collapsed="false">
      <c r="A460" s="29" t="str">
        <f aca="false">IF(R460="","",Reconciliation!A461)</f>
        <v/>
      </c>
      <c r="B460" s="30" t="str">
        <f aca="false">IF(R460="","",Reconciliation!B461)</f>
        <v/>
      </c>
      <c r="C460" s="30" t="str">
        <f aca="false">IF(R460="","",Reconciliation!C461)</f>
        <v/>
      </c>
      <c r="D460" s="30" t="str">
        <f aca="false">IF(R460="","",Reconciliation!D461)</f>
        <v/>
      </c>
      <c r="E460" s="31" t="str">
        <f aca="false">IF(R460="","",Reconciliation!E461)</f>
        <v/>
      </c>
      <c r="F460" s="30" t="str">
        <f aca="false">IF(R460="","",Reconciliation!F461)</f>
        <v/>
      </c>
      <c r="G460" s="30" t="str">
        <f aca="false">IF(R460="","",Reconciliation!G461)</f>
        <v/>
      </c>
      <c r="H460" s="30" t="str">
        <f aca="false">IF(R460="","",Reconciliation!H461)</f>
        <v/>
      </c>
      <c r="I460" s="30" t="str">
        <f aca="false">IF(R460="","",Reconciliation!I461)</f>
        <v/>
      </c>
      <c r="J460" s="31" t="str">
        <f aca="false">IF(R460="","",Reconciliation!J461)</f>
        <v/>
      </c>
      <c r="K460" s="30" t="str">
        <f aca="false">IF(R460="","",Reconciliation!K461)</f>
        <v/>
      </c>
      <c r="L460" s="30" t="str">
        <f aca="false">IF(R460="","",Reconciliation!L461)</f>
        <v/>
      </c>
      <c r="M460" s="32" t="str">
        <f aca="false">IF(R460="","",Reconciliation!M461)</f>
        <v/>
      </c>
      <c r="N460" s="32" t="str">
        <f aca="false">IF(R460="","",Reconciliation!N461)</f>
        <v/>
      </c>
      <c r="O460" s="32" t="str">
        <f aca="false">IF(R460="","",Reconciliation!O461)</f>
        <v/>
      </c>
      <c r="P460" s="32" t="str">
        <f aca="false">IF(R460="","",Reconciliation!P461)</f>
        <v/>
      </c>
      <c r="Q460" s="32" t="str">
        <f aca="false">IF(R460="","",Reconciliation!Q461)</f>
        <v/>
      </c>
      <c r="R460" s="33" t="str">
        <f aca="false">IF(OR(Reconciliation!R461="✅ MATCH",Reconciliation!R461=""),"",Reconciliation!R461)</f>
        <v/>
      </c>
    </row>
    <row r="461" customFormat="false" ht="15" hidden="false" customHeight="true" outlineLevel="0" collapsed="false">
      <c r="A461" s="29" t="str">
        <f aca="false">IF(R461="","",Reconciliation!A462)</f>
        <v/>
      </c>
      <c r="B461" s="30" t="str">
        <f aca="false">IF(R461="","",Reconciliation!B462)</f>
        <v/>
      </c>
      <c r="C461" s="30" t="str">
        <f aca="false">IF(R461="","",Reconciliation!C462)</f>
        <v/>
      </c>
      <c r="D461" s="30" t="str">
        <f aca="false">IF(R461="","",Reconciliation!D462)</f>
        <v/>
      </c>
      <c r="E461" s="31" t="str">
        <f aca="false">IF(R461="","",Reconciliation!E462)</f>
        <v/>
      </c>
      <c r="F461" s="30" t="str">
        <f aca="false">IF(R461="","",Reconciliation!F462)</f>
        <v/>
      </c>
      <c r="G461" s="30" t="str">
        <f aca="false">IF(R461="","",Reconciliation!G462)</f>
        <v/>
      </c>
      <c r="H461" s="30" t="str">
        <f aca="false">IF(R461="","",Reconciliation!H462)</f>
        <v/>
      </c>
      <c r="I461" s="30" t="str">
        <f aca="false">IF(R461="","",Reconciliation!I462)</f>
        <v/>
      </c>
      <c r="J461" s="31" t="str">
        <f aca="false">IF(R461="","",Reconciliation!J462)</f>
        <v/>
      </c>
      <c r="K461" s="30" t="str">
        <f aca="false">IF(R461="","",Reconciliation!K462)</f>
        <v/>
      </c>
      <c r="L461" s="30" t="str">
        <f aca="false">IF(R461="","",Reconciliation!L462)</f>
        <v/>
      </c>
      <c r="M461" s="32" t="str">
        <f aca="false">IF(R461="","",Reconciliation!M462)</f>
        <v/>
      </c>
      <c r="N461" s="32" t="str">
        <f aca="false">IF(R461="","",Reconciliation!N462)</f>
        <v/>
      </c>
      <c r="O461" s="32" t="str">
        <f aca="false">IF(R461="","",Reconciliation!O462)</f>
        <v/>
      </c>
      <c r="P461" s="32" t="str">
        <f aca="false">IF(R461="","",Reconciliation!P462)</f>
        <v/>
      </c>
      <c r="Q461" s="32" t="str">
        <f aca="false">IF(R461="","",Reconciliation!Q462)</f>
        <v/>
      </c>
      <c r="R461" s="33" t="str">
        <f aca="false">IF(OR(Reconciliation!R462="✅ MATCH",Reconciliation!R462=""),"",Reconciliation!R462)</f>
        <v/>
      </c>
    </row>
    <row r="462" customFormat="false" ht="15" hidden="false" customHeight="true" outlineLevel="0" collapsed="false">
      <c r="A462" s="29" t="str">
        <f aca="false">IF(R462="","",Reconciliation!A463)</f>
        <v/>
      </c>
      <c r="B462" s="30" t="str">
        <f aca="false">IF(R462="","",Reconciliation!B463)</f>
        <v/>
      </c>
      <c r="C462" s="30" t="str">
        <f aca="false">IF(R462="","",Reconciliation!C463)</f>
        <v/>
      </c>
      <c r="D462" s="30" t="str">
        <f aca="false">IF(R462="","",Reconciliation!D463)</f>
        <v/>
      </c>
      <c r="E462" s="31" t="str">
        <f aca="false">IF(R462="","",Reconciliation!E463)</f>
        <v/>
      </c>
      <c r="F462" s="30" t="str">
        <f aca="false">IF(R462="","",Reconciliation!F463)</f>
        <v/>
      </c>
      <c r="G462" s="30" t="str">
        <f aca="false">IF(R462="","",Reconciliation!G463)</f>
        <v/>
      </c>
      <c r="H462" s="30" t="str">
        <f aca="false">IF(R462="","",Reconciliation!H463)</f>
        <v/>
      </c>
      <c r="I462" s="30" t="str">
        <f aca="false">IF(R462="","",Reconciliation!I463)</f>
        <v/>
      </c>
      <c r="J462" s="31" t="str">
        <f aca="false">IF(R462="","",Reconciliation!J463)</f>
        <v/>
      </c>
      <c r="K462" s="30" t="str">
        <f aca="false">IF(R462="","",Reconciliation!K463)</f>
        <v/>
      </c>
      <c r="L462" s="30" t="str">
        <f aca="false">IF(R462="","",Reconciliation!L463)</f>
        <v/>
      </c>
      <c r="M462" s="32" t="str">
        <f aca="false">IF(R462="","",Reconciliation!M463)</f>
        <v/>
      </c>
      <c r="N462" s="32" t="str">
        <f aca="false">IF(R462="","",Reconciliation!N463)</f>
        <v/>
      </c>
      <c r="O462" s="32" t="str">
        <f aca="false">IF(R462="","",Reconciliation!O463)</f>
        <v/>
      </c>
      <c r="P462" s="32" t="str">
        <f aca="false">IF(R462="","",Reconciliation!P463)</f>
        <v/>
      </c>
      <c r="Q462" s="32" t="str">
        <f aca="false">IF(R462="","",Reconciliation!Q463)</f>
        <v/>
      </c>
      <c r="R462" s="33" t="str">
        <f aca="false">IF(OR(Reconciliation!R463="✅ MATCH",Reconciliation!R463=""),"",Reconciliation!R463)</f>
        <v/>
      </c>
    </row>
    <row r="463" customFormat="false" ht="15" hidden="false" customHeight="true" outlineLevel="0" collapsed="false">
      <c r="A463" s="29" t="str">
        <f aca="false">IF(R463="","",Reconciliation!A464)</f>
        <v/>
      </c>
      <c r="B463" s="30" t="str">
        <f aca="false">IF(R463="","",Reconciliation!B464)</f>
        <v/>
      </c>
      <c r="C463" s="30" t="str">
        <f aca="false">IF(R463="","",Reconciliation!C464)</f>
        <v/>
      </c>
      <c r="D463" s="30" t="str">
        <f aca="false">IF(R463="","",Reconciliation!D464)</f>
        <v/>
      </c>
      <c r="E463" s="31" t="str">
        <f aca="false">IF(R463="","",Reconciliation!E464)</f>
        <v/>
      </c>
      <c r="F463" s="30" t="str">
        <f aca="false">IF(R463="","",Reconciliation!F464)</f>
        <v/>
      </c>
      <c r="G463" s="30" t="str">
        <f aca="false">IF(R463="","",Reconciliation!G464)</f>
        <v/>
      </c>
      <c r="H463" s="30" t="str">
        <f aca="false">IF(R463="","",Reconciliation!H464)</f>
        <v/>
      </c>
      <c r="I463" s="30" t="str">
        <f aca="false">IF(R463="","",Reconciliation!I464)</f>
        <v/>
      </c>
      <c r="J463" s="31" t="str">
        <f aca="false">IF(R463="","",Reconciliation!J464)</f>
        <v/>
      </c>
      <c r="K463" s="30" t="str">
        <f aca="false">IF(R463="","",Reconciliation!K464)</f>
        <v/>
      </c>
      <c r="L463" s="30" t="str">
        <f aca="false">IF(R463="","",Reconciliation!L464)</f>
        <v/>
      </c>
      <c r="M463" s="32" t="str">
        <f aca="false">IF(R463="","",Reconciliation!M464)</f>
        <v/>
      </c>
      <c r="N463" s="32" t="str">
        <f aca="false">IF(R463="","",Reconciliation!N464)</f>
        <v/>
      </c>
      <c r="O463" s="32" t="str">
        <f aca="false">IF(R463="","",Reconciliation!O464)</f>
        <v/>
      </c>
      <c r="P463" s="32" t="str">
        <f aca="false">IF(R463="","",Reconciliation!P464)</f>
        <v/>
      </c>
      <c r="Q463" s="32" t="str">
        <f aca="false">IF(R463="","",Reconciliation!Q464)</f>
        <v/>
      </c>
      <c r="R463" s="33" t="str">
        <f aca="false">IF(OR(Reconciliation!R464="✅ MATCH",Reconciliation!R464=""),"",Reconciliation!R464)</f>
        <v/>
      </c>
    </row>
    <row r="464" customFormat="false" ht="15" hidden="false" customHeight="true" outlineLevel="0" collapsed="false">
      <c r="A464" s="29" t="str">
        <f aca="false">IF(R464="","",Reconciliation!A465)</f>
        <v/>
      </c>
      <c r="B464" s="30" t="str">
        <f aca="false">IF(R464="","",Reconciliation!B465)</f>
        <v/>
      </c>
      <c r="C464" s="30" t="str">
        <f aca="false">IF(R464="","",Reconciliation!C465)</f>
        <v/>
      </c>
      <c r="D464" s="30" t="str">
        <f aca="false">IF(R464="","",Reconciliation!D465)</f>
        <v/>
      </c>
      <c r="E464" s="31" t="str">
        <f aca="false">IF(R464="","",Reconciliation!E465)</f>
        <v/>
      </c>
      <c r="F464" s="30" t="str">
        <f aca="false">IF(R464="","",Reconciliation!F465)</f>
        <v/>
      </c>
      <c r="G464" s="30" t="str">
        <f aca="false">IF(R464="","",Reconciliation!G465)</f>
        <v/>
      </c>
      <c r="H464" s="30" t="str">
        <f aca="false">IF(R464="","",Reconciliation!H465)</f>
        <v/>
      </c>
      <c r="I464" s="30" t="str">
        <f aca="false">IF(R464="","",Reconciliation!I465)</f>
        <v/>
      </c>
      <c r="J464" s="31" t="str">
        <f aca="false">IF(R464="","",Reconciliation!J465)</f>
        <v/>
      </c>
      <c r="K464" s="30" t="str">
        <f aca="false">IF(R464="","",Reconciliation!K465)</f>
        <v/>
      </c>
      <c r="L464" s="30" t="str">
        <f aca="false">IF(R464="","",Reconciliation!L465)</f>
        <v/>
      </c>
      <c r="M464" s="32" t="str">
        <f aca="false">IF(R464="","",Reconciliation!M465)</f>
        <v/>
      </c>
      <c r="N464" s="32" t="str">
        <f aca="false">IF(R464="","",Reconciliation!N465)</f>
        <v/>
      </c>
      <c r="O464" s="32" t="str">
        <f aca="false">IF(R464="","",Reconciliation!O465)</f>
        <v/>
      </c>
      <c r="P464" s="32" t="str">
        <f aca="false">IF(R464="","",Reconciliation!P465)</f>
        <v/>
      </c>
      <c r="Q464" s="32" t="str">
        <f aca="false">IF(R464="","",Reconciliation!Q465)</f>
        <v/>
      </c>
      <c r="R464" s="33" t="str">
        <f aca="false">IF(OR(Reconciliation!R465="✅ MATCH",Reconciliation!R465=""),"",Reconciliation!R465)</f>
        <v/>
      </c>
    </row>
    <row r="465" customFormat="false" ht="15" hidden="false" customHeight="true" outlineLevel="0" collapsed="false">
      <c r="A465" s="29" t="str">
        <f aca="false">IF(R465="","",Reconciliation!A466)</f>
        <v/>
      </c>
      <c r="B465" s="30" t="str">
        <f aca="false">IF(R465="","",Reconciliation!B466)</f>
        <v/>
      </c>
      <c r="C465" s="30" t="str">
        <f aca="false">IF(R465="","",Reconciliation!C466)</f>
        <v/>
      </c>
      <c r="D465" s="30" t="str">
        <f aca="false">IF(R465="","",Reconciliation!D466)</f>
        <v/>
      </c>
      <c r="E465" s="31" t="str">
        <f aca="false">IF(R465="","",Reconciliation!E466)</f>
        <v/>
      </c>
      <c r="F465" s="30" t="str">
        <f aca="false">IF(R465="","",Reconciliation!F466)</f>
        <v/>
      </c>
      <c r="G465" s="30" t="str">
        <f aca="false">IF(R465="","",Reconciliation!G466)</f>
        <v/>
      </c>
      <c r="H465" s="30" t="str">
        <f aca="false">IF(R465="","",Reconciliation!H466)</f>
        <v/>
      </c>
      <c r="I465" s="30" t="str">
        <f aca="false">IF(R465="","",Reconciliation!I466)</f>
        <v/>
      </c>
      <c r="J465" s="31" t="str">
        <f aca="false">IF(R465="","",Reconciliation!J466)</f>
        <v/>
      </c>
      <c r="K465" s="30" t="str">
        <f aca="false">IF(R465="","",Reconciliation!K466)</f>
        <v/>
      </c>
      <c r="L465" s="30" t="str">
        <f aca="false">IF(R465="","",Reconciliation!L466)</f>
        <v/>
      </c>
      <c r="M465" s="32" t="str">
        <f aca="false">IF(R465="","",Reconciliation!M466)</f>
        <v/>
      </c>
      <c r="N465" s="32" t="str">
        <f aca="false">IF(R465="","",Reconciliation!N466)</f>
        <v/>
      </c>
      <c r="O465" s="32" t="str">
        <f aca="false">IF(R465="","",Reconciliation!O466)</f>
        <v/>
      </c>
      <c r="P465" s="32" t="str">
        <f aca="false">IF(R465="","",Reconciliation!P466)</f>
        <v/>
      </c>
      <c r="Q465" s="32" t="str">
        <f aca="false">IF(R465="","",Reconciliation!Q466)</f>
        <v/>
      </c>
      <c r="R465" s="33" t="str">
        <f aca="false">IF(OR(Reconciliation!R466="✅ MATCH",Reconciliation!R466=""),"",Reconciliation!R466)</f>
        <v/>
      </c>
    </row>
    <row r="466" customFormat="false" ht="15" hidden="false" customHeight="true" outlineLevel="0" collapsed="false">
      <c r="A466" s="29" t="str">
        <f aca="false">IF(R466="","",Reconciliation!A467)</f>
        <v/>
      </c>
      <c r="B466" s="30" t="str">
        <f aca="false">IF(R466="","",Reconciliation!B467)</f>
        <v/>
      </c>
      <c r="C466" s="30" t="str">
        <f aca="false">IF(R466="","",Reconciliation!C467)</f>
        <v/>
      </c>
      <c r="D466" s="30" t="str">
        <f aca="false">IF(R466="","",Reconciliation!D467)</f>
        <v/>
      </c>
      <c r="E466" s="31" t="str">
        <f aca="false">IF(R466="","",Reconciliation!E467)</f>
        <v/>
      </c>
      <c r="F466" s="30" t="str">
        <f aca="false">IF(R466="","",Reconciliation!F467)</f>
        <v/>
      </c>
      <c r="G466" s="30" t="str">
        <f aca="false">IF(R466="","",Reconciliation!G467)</f>
        <v/>
      </c>
      <c r="H466" s="30" t="str">
        <f aca="false">IF(R466="","",Reconciliation!H467)</f>
        <v/>
      </c>
      <c r="I466" s="30" t="str">
        <f aca="false">IF(R466="","",Reconciliation!I467)</f>
        <v/>
      </c>
      <c r="J466" s="31" t="str">
        <f aca="false">IF(R466="","",Reconciliation!J467)</f>
        <v/>
      </c>
      <c r="K466" s="30" t="str">
        <f aca="false">IF(R466="","",Reconciliation!K467)</f>
        <v/>
      </c>
      <c r="L466" s="30" t="str">
        <f aca="false">IF(R466="","",Reconciliation!L467)</f>
        <v/>
      </c>
      <c r="M466" s="32" t="str">
        <f aca="false">IF(R466="","",Reconciliation!M467)</f>
        <v/>
      </c>
      <c r="N466" s="32" t="str">
        <f aca="false">IF(R466="","",Reconciliation!N467)</f>
        <v/>
      </c>
      <c r="O466" s="32" t="str">
        <f aca="false">IF(R466="","",Reconciliation!O467)</f>
        <v/>
      </c>
      <c r="P466" s="32" t="str">
        <f aca="false">IF(R466="","",Reconciliation!P467)</f>
        <v/>
      </c>
      <c r="Q466" s="32" t="str">
        <f aca="false">IF(R466="","",Reconciliation!Q467)</f>
        <v/>
      </c>
      <c r="R466" s="33" t="str">
        <f aca="false">IF(OR(Reconciliation!R467="✅ MATCH",Reconciliation!R467=""),"",Reconciliation!R467)</f>
        <v/>
      </c>
    </row>
    <row r="467" customFormat="false" ht="15" hidden="false" customHeight="true" outlineLevel="0" collapsed="false">
      <c r="A467" s="29" t="str">
        <f aca="false">IF(R467="","",Reconciliation!A468)</f>
        <v/>
      </c>
      <c r="B467" s="30" t="str">
        <f aca="false">IF(R467="","",Reconciliation!B468)</f>
        <v/>
      </c>
      <c r="C467" s="30" t="str">
        <f aca="false">IF(R467="","",Reconciliation!C468)</f>
        <v/>
      </c>
      <c r="D467" s="30" t="str">
        <f aca="false">IF(R467="","",Reconciliation!D468)</f>
        <v/>
      </c>
      <c r="E467" s="31" t="str">
        <f aca="false">IF(R467="","",Reconciliation!E468)</f>
        <v/>
      </c>
      <c r="F467" s="30" t="str">
        <f aca="false">IF(R467="","",Reconciliation!F468)</f>
        <v/>
      </c>
      <c r="G467" s="30" t="str">
        <f aca="false">IF(R467="","",Reconciliation!G468)</f>
        <v/>
      </c>
      <c r="H467" s="30" t="str">
        <f aca="false">IF(R467="","",Reconciliation!H468)</f>
        <v/>
      </c>
      <c r="I467" s="30" t="str">
        <f aca="false">IF(R467="","",Reconciliation!I468)</f>
        <v/>
      </c>
      <c r="J467" s="31" t="str">
        <f aca="false">IF(R467="","",Reconciliation!J468)</f>
        <v/>
      </c>
      <c r="K467" s="30" t="str">
        <f aca="false">IF(R467="","",Reconciliation!K468)</f>
        <v/>
      </c>
      <c r="L467" s="30" t="str">
        <f aca="false">IF(R467="","",Reconciliation!L468)</f>
        <v/>
      </c>
      <c r="M467" s="32" t="str">
        <f aca="false">IF(R467="","",Reconciliation!M468)</f>
        <v/>
      </c>
      <c r="N467" s="32" t="str">
        <f aca="false">IF(R467="","",Reconciliation!N468)</f>
        <v/>
      </c>
      <c r="O467" s="32" t="str">
        <f aca="false">IF(R467="","",Reconciliation!O468)</f>
        <v/>
      </c>
      <c r="P467" s="32" t="str">
        <f aca="false">IF(R467="","",Reconciliation!P468)</f>
        <v/>
      </c>
      <c r="Q467" s="32" t="str">
        <f aca="false">IF(R467="","",Reconciliation!Q468)</f>
        <v/>
      </c>
      <c r="R467" s="33" t="str">
        <f aca="false">IF(OR(Reconciliation!R468="✅ MATCH",Reconciliation!R468=""),"",Reconciliation!R468)</f>
        <v/>
      </c>
    </row>
    <row r="468" customFormat="false" ht="15" hidden="false" customHeight="true" outlineLevel="0" collapsed="false">
      <c r="A468" s="29" t="str">
        <f aca="false">IF(R468="","",Reconciliation!A469)</f>
        <v/>
      </c>
      <c r="B468" s="30" t="str">
        <f aca="false">IF(R468="","",Reconciliation!B469)</f>
        <v/>
      </c>
      <c r="C468" s="30" t="str">
        <f aca="false">IF(R468="","",Reconciliation!C469)</f>
        <v/>
      </c>
      <c r="D468" s="30" t="str">
        <f aca="false">IF(R468="","",Reconciliation!D469)</f>
        <v/>
      </c>
      <c r="E468" s="31" t="str">
        <f aca="false">IF(R468="","",Reconciliation!E469)</f>
        <v/>
      </c>
      <c r="F468" s="30" t="str">
        <f aca="false">IF(R468="","",Reconciliation!F469)</f>
        <v/>
      </c>
      <c r="G468" s="30" t="str">
        <f aca="false">IF(R468="","",Reconciliation!G469)</f>
        <v/>
      </c>
      <c r="H468" s="30" t="str">
        <f aca="false">IF(R468="","",Reconciliation!H469)</f>
        <v/>
      </c>
      <c r="I468" s="30" t="str">
        <f aca="false">IF(R468="","",Reconciliation!I469)</f>
        <v/>
      </c>
      <c r="J468" s="31" t="str">
        <f aca="false">IF(R468="","",Reconciliation!J469)</f>
        <v/>
      </c>
      <c r="K468" s="30" t="str">
        <f aca="false">IF(R468="","",Reconciliation!K469)</f>
        <v/>
      </c>
      <c r="L468" s="30" t="str">
        <f aca="false">IF(R468="","",Reconciliation!L469)</f>
        <v/>
      </c>
      <c r="M468" s="32" t="str">
        <f aca="false">IF(R468="","",Reconciliation!M469)</f>
        <v/>
      </c>
      <c r="N468" s="32" t="str">
        <f aca="false">IF(R468="","",Reconciliation!N469)</f>
        <v/>
      </c>
      <c r="O468" s="32" t="str">
        <f aca="false">IF(R468="","",Reconciliation!O469)</f>
        <v/>
      </c>
      <c r="P468" s="32" t="str">
        <f aca="false">IF(R468="","",Reconciliation!P469)</f>
        <v/>
      </c>
      <c r="Q468" s="32" t="str">
        <f aca="false">IF(R468="","",Reconciliation!Q469)</f>
        <v/>
      </c>
      <c r="R468" s="33" t="str">
        <f aca="false">IF(OR(Reconciliation!R469="✅ MATCH",Reconciliation!R469=""),"",Reconciliation!R469)</f>
        <v/>
      </c>
    </row>
    <row r="469" customFormat="false" ht="15" hidden="false" customHeight="true" outlineLevel="0" collapsed="false">
      <c r="A469" s="29" t="str">
        <f aca="false">IF(R469="","",Reconciliation!A470)</f>
        <v/>
      </c>
      <c r="B469" s="30" t="str">
        <f aca="false">IF(R469="","",Reconciliation!B470)</f>
        <v/>
      </c>
      <c r="C469" s="30" t="str">
        <f aca="false">IF(R469="","",Reconciliation!C470)</f>
        <v/>
      </c>
      <c r="D469" s="30" t="str">
        <f aca="false">IF(R469="","",Reconciliation!D470)</f>
        <v/>
      </c>
      <c r="E469" s="31" t="str">
        <f aca="false">IF(R469="","",Reconciliation!E470)</f>
        <v/>
      </c>
      <c r="F469" s="30" t="str">
        <f aca="false">IF(R469="","",Reconciliation!F470)</f>
        <v/>
      </c>
      <c r="G469" s="30" t="str">
        <f aca="false">IF(R469="","",Reconciliation!G470)</f>
        <v/>
      </c>
      <c r="H469" s="30" t="str">
        <f aca="false">IF(R469="","",Reconciliation!H470)</f>
        <v/>
      </c>
      <c r="I469" s="30" t="str">
        <f aca="false">IF(R469="","",Reconciliation!I470)</f>
        <v/>
      </c>
      <c r="J469" s="31" t="str">
        <f aca="false">IF(R469="","",Reconciliation!J470)</f>
        <v/>
      </c>
      <c r="K469" s="30" t="str">
        <f aca="false">IF(R469="","",Reconciliation!K470)</f>
        <v/>
      </c>
      <c r="L469" s="30" t="str">
        <f aca="false">IF(R469="","",Reconciliation!L470)</f>
        <v/>
      </c>
      <c r="M469" s="32" t="str">
        <f aca="false">IF(R469="","",Reconciliation!M470)</f>
        <v/>
      </c>
      <c r="N469" s="32" t="str">
        <f aca="false">IF(R469="","",Reconciliation!N470)</f>
        <v/>
      </c>
      <c r="O469" s="32" t="str">
        <f aca="false">IF(R469="","",Reconciliation!O470)</f>
        <v/>
      </c>
      <c r="P469" s="32" t="str">
        <f aca="false">IF(R469="","",Reconciliation!P470)</f>
        <v/>
      </c>
      <c r="Q469" s="32" t="str">
        <f aca="false">IF(R469="","",Reconciliation!Q470)</f>
        <v/>
      </c>
      <c r="R469" s="33" t="str">
        <f aca="false">IF(OR(Reconciliation!R470="✅ MATCH",Reconciliation!R470=""),"",Reconciliation!R470)</f>
        <v/>
      </c>
    </row>
    <row r="470" customFormat="false" ht="15" hidden="false" customHeight="true" outlineLevel="0" collapsed="false">
      <c r="A470" s="29" t="str">
        <f aca="false">IF(R470="","",Reconciliation!A471)</f>
        <v/>
      </c>
      <c r="B470" s="30" t="str">
        <f aca="false">IF(R470="","",Reconciliation!B471)</f>
        <v/>
      </c>
      <c r="C470" s="30" t="str">
        <f aca="false">IF(R470="","",Reconciliation!C471)</f>
        <v/>
      </c>
      <c r="D470" s="30" t="str">
        <f aca="false">IF(R470="","",Reconciliation!D471)</f>
        <v/>
      </c>
      <c r="E470" s="31" t="str">
        <f aca="false">IF(R470="","",Reconciliation!E471)</f>
        <v/>
      </c>
      <c r="F470" s="30" t="str">
        <f aca="false">IF(R470="","",Reconciliation!F471)</f>
        <v/>
      </c>
      <c r="G470" s="30" t="str">
        <f aca="false">IF(R470="","",Reconciliation!G471)</f>
        <v/>
      </c>
      <c r="H470" s="30" t="str">
        <f aca="false">IF(R470="","",Reconciliation!H471)</f>
        <v/>
      </c>
      <c r="I470" s="30" t="str">
        <f aca="false">IF(R470="","",Reconciliation!I471)</f>
        <v/>
      </c>
      <c r="J470" s="31" t="str">
        <f aca="false">IF(R470="","",Reconciliation!J471)</f>
        <v/>
      </c>
      <c r="K470" s="30" t="str">
        <f aca="false">IF(R470="","",Reconciliation!K471)</f>
        <v/>
      </c>
      <c r="L470" s="30" t="str">
        <f aca="false">IF(R470="","",Reconciliation!L471)</f>
        <v/>
      </c>
      <c r="M470" s="32" t="str">
        <f aca="false">IF(R470="","",Reconciliation!M471)</f>
        <v/>
      </c>
      <c r="N470" s="32" t="str">
        <f aca="false">IF(R470="","",Reconciliation!N471)</f>
        <v/>
      </c>
      <c r="O470" s="32" t="str">
        <f aca="false">IF(R470="","",Reconciliation!O471)</f>
        <v/>
      </c>
      <c r="P470" s="32" t="str">
        <f aca="false">IF(R470="","",Reconciliation!P471)</f>
        <v/>
      </c>
      <c r="Q470" s="32" t="str">
        <f aca="false">IF(R470="","",Reconciliation!Q471)</f>
        <v/>
      </c>
      <c r="R470" s="33" t="str">
        <f aca="false">IF(OR(Reconciliation!R471="✅ MATCH",Reconciliation!R471=""),"",Reconciliation!R471)</f>
        <v/>
      </c>
    </row>
    <row r="471" customFormat="false" ht="15" hidden="false" customHeight="true" outlineLevel="0" collapsed="false">
      <c r="A471" s="29" t="str">
        <f aca="false">IF(R471="","",Reconciliation!A472)</f>
        <v/>
      </c>
      <c r="B471" s="30" t="str">
        <f aca="false">IF(R471="","",Reconciliation!B472)</f>
        <v/>
      </c>
      <c r="C471" s="30" t="str">
        <f aca="false">IF(R471="","",Reconciliation!C472)</f>
        <v/>
      </c>
      <c r="D471" s="30" t="str">
        <f aca="false">IF(R471="","",Reconciliation!D472)</f>
        <v/>
      </c>
      <c r="E471" s="31" t="str">
        <f aca="false">IF(R471="","",Reconciliation!E472)</f>
        <v/>
      </c>
      <c r="F471" s="30" t="str">
        <f aca="false">IF(R471="","",Reconciliation!F472)</f>
        <v/>
      </c>
      <c r="G471" s="30" t="str">
        <f aca="false">IF(R471="","",Reconciliation!G472)</f>
        <v/>
      </c>
      <c r="H471" s="30" t="str">
        <f aca="false">IF(R471="","",Reconciliation!H472)</f>
        <v/>
      </c>
      <c r="I471" s="30" t="str">
        <f aca="false">IF(R471="","",Reconciliation!I472)</f>
        <v/>
      </c>
      <c r="J471" s="31" t="str">
        <f aca="false">IF(R471="","",Reconciliation!J472)</f>
        <v/>
      </c>
      <c r="K471" s="30" t="str">
        <f aca="false">IF(R471="","",Reconciliation!K472)</f>
        <v/>
      </c>
      <c r="L471" s="30" t="str">
        <f aca="false">IF(R471="","",Reconciliation!L472)</f>
        <v/>
      </c>
      <c r="M471" s="32" t="str">
        <f aca="false">IF(R471="","",Reconciliation!M472)</f>
        <v/>
      </c>
      <c r="N471" s="32" t="str">
        <f aca="false">IF(R471="","",Reconciliation!N472)</f>
        <v/>
      </c>
      <c r="O471" s="32" t="str">
        <f aca="false">IF(R471="","",Reconciliation!O472)</f>
        <v/>
      </c>
      <c r="P471" s="32" t="str">
        <f aca="false">IF(R471="","",Reconciliation!P472)</f>
        <v/>
      </c>
      <c r="Q471" s="32" t="str">
        <f aca="false">IF(R471="","",Reconciliation!Q472)</f>
        <v/>
      </c>
      <c r="R471" s="33" t="str">
        <f aca="false">IF(OR(Reconciliation!R472="✅ MATCH",Reconciliation!R472=""),"",Reconciliation!R472)</f>
        <v/>
      </c>
    </row>
    <row r="472" customFormat="false" ht="15" hidden="false" customHeight="true" outlineLevel="0" collapsed="false">
      <c r="A472" s="29" t="str">
        <f aca="false">IF(R472="","",Reconciliation!A473)</f>
        <v/>
      </c>
      <c r="B472" s="30" t="str">
        <f aca="false">IF(R472="","",Reconciliation!B473)</f>
        <v/>
      </c>
      <c r="C472" s="30" t="str">
        <f aca="false">IF(R472="","",Reconciliation!C473)</f>
        <v/>
      </c>
      <c r="D472" s="30" t="str">
        <f aca="false">IF(R472="","",Reconciliation!D473)</f>
        <v/>
      </c>
      <c r="E472" s="31" t="str">
        <f aca="false">IF(R472="","",Reconciliation!E473)</f>
        <v/>
      </c>
      <c r="F472" s="30" t="str">
        <f aca="false">IF(R472="","",Reconciliation!F473)</f>
        <v/>
      </c>
      <c r="G472" s="30" t="str">
        <f aca="false">IF(R472="","",Reconciliation!G473)</f>
        <v/>
      </c>
      <c r="H472" s="30" t="str">
        <f aca="false">IF(R472="","",Reconciliation!H473)</f>
        <v/>
      </c>
      <c r="I472" s="30" t="str">
        <f aca="false">IF(R472="","",Reconciliation!I473)</f>
        <v/>
      </c>
      <c r="J472" s="31" t="str">
        <f aca="false">IF(R472="","",Reconciliation!J473)</f>
        <v/>
      </c>
      <c r="K472" s="30" t="str">
        <f aca="false">IF(R472="","",Reconciliation!K473)</f>
        <v/>
      </c>
      <c r="L472" s="30" t="str">
        <f aca="false">IF(R472="","",Reconciliation!L473)</f>
        <v/>
      </c>
      <c r="M472" s="32" t="str">
        <f aca="false">IF(R472="","",Reconciliation!M473)</f>
        <v/>
      </c>
      <c r="N472" s="32" t="str">
        <f aca="false">IF(R472="","",Reconciliation!N473)</f>
        <v/>
      </c>
      <c r="O472" s="32" t="str">
        <f aca="false">IF(R472="","",Reconciliation!O473)</f>
        <v/>
      </c>
      <c r="P472" s="32" t="str">
        <f aca="false">IF(R472="","",Reconciliation!P473)</f>
        <v/>
      </c>
      <c r="Q472" s="32" t="str">
        <f aca="false">IF(R472="","",Reconciliation!Q473)</f>
        <v/>
      </c>
      <c r="R472" s="33" t="str">
        <f aca="false">IF(OR(Reconciliation!R473="✅ MATCH",Reconciliation!R473=""),"",Reconciliation!R473)</f>
        <v/>
      </c>
    </row>
    <row r="473" customFormat="false" ht="15" hidden="false" customHeight="true" outlineLevel="0" collapsed="false">
      <c r="A473" s="29" t="str">
        <f aca="false">IF(R473="","",Reconciliation!A474)</f>
        <v/>
      </c>
      <c r="B473" s="30" t="str">
        <f aca="false">IF(R473="","",Reconciliation!B474)</f>
        <v/>
      </c>
      <c r="C473" s="30" t="str">
        <f aca="false">IF(R473="","",Reconciliation!C474)</f>
        <v/>
      </c>
      <c r="D473" s="30" t="str">
        <f aca="false">IF(R473="","",Reconciliation!D474)</f>
        <v/>
      </c>
      <c r="E473" s="31" t="str">
        <f aca="false">IF(R473="","",Reconciliation!E474)</f>
        <v/>
      </c>
      <c r="F473" s="30" t="str">
        <f aca="false">IF(R473="","",Reconciliation!F474)</f>
        <v/>
      </c>
      <c r="G473" s="30" t="str">
        <f aca="false">IF(R473="","",Reconciliation!G474)</f>
        <v/>
      </c>
      <c r="H473" s="30" t="str">
        <f aca="false">IF(R473="","",Reconciliation!H474)</f>
        <v/>
      </c>
      <c r="I473" s="30" t="str">
        <f aca="false">IF(R473="","",Reconciliation!I474)</f>
        <v/>
      </c>
      <c r="J473" s="31" t="str">
        <f aca="false">IF(R473="","",Reconciliation!J474)</f>
        <v/>
      </c>
      <c r="K473" s="30" t="str">
        <f aca="false">IF(R473="","",Reconciliation!K474)</f>
        <v/>
      </c>
      <c r="L473" s="30" t="str">
        <f aca="false">IF(R473="","",Reconciliation!L474)</f>
        <v/>
      </c>
      <c r="M473" s="32" t="str">
        <f aca="false">IF(R473="","",Reconciliation!M474)</f>
        <v/>
      </c>
      <c r="N473" s="32" t="str">
        <f aca="false">IF(R473="","",Reconciliation!N474)</f>
        <v/>
      </c>
      <c r="O473" s="32" t="str">
        <f aca="false">IF(R473="","",Reconciliation!O474)</f>
        <v/>
      </c>
      <c r="P473" s="32" t="str">
        <f aca="false">IF(R473="","",Reconciliation!P474)</f>
        <v/>
      </c>
      <c r="Q473" s="32" t="str">
        <f aca="false">IF(R473="","",Reconciliation!Q474)</f>
        <v/>
      </c>
      <c r="R473" s="33" t="str">
        <f aca="false">IF(OR(Reconciliation!R474="✅ MATCH",Reconciliation!R474=""),"",Reconciliation!R474)</f>
        <v/>
      </c>
    </row>
    <row r="474" customFormat="false" ht="15" hidden="false" customHeight="true" outlineLevel="0" collapsed="false">
      <c r="A474" s="29" t="str">
        <f aca="false">IF(R474="","",Reconciliation!A475)</f>
        <v/>
      </c>
      <c r="B474" s="30" t="str">
        <f aca="false">IF(R474="","",Reconciliation!B475)</f>
        <v/>
      </c>
      <c r="C474" s="30" t="str">
        <f aca="false">IF(R474="","",Reconciliation!C475)</f>
        <v/>
      </c>
      <c r="D474" s="30" t="str">
        <f aca="false">IF(R474="","",Reconciliation!D475)</f>
        <v/>
      </c>
      <c r="E474" s="31" t="str">
        <f aca="false">IF(R474="","",Reconciliation!E475)</f>
        <v/>
      </c>
      <c r="F474" s="30" t="str">
        <f aca="false">IF(R474="","",Reconciliation!F475)</f>
        <v/>
      </c>
      <c r="G474" s="30" t="str">
        <f aca="false">IF(R474="","",Reconciliation!G475)</f>
        <v/>
      </c>
      <c r="H474" s="30" t="str">
        <f aca="false">IF(R474="","",Reconciliation!H475)</f>
        <v/>
      </c>
      <c r="I474" s="30" t="str">
        <f aca="false">IF(R474="","",Reconciliation!I475)</f>
        <v/>
      </c>
      <c r="J474" s="31" t="str">
        <f aca="false">IF(R474="","",Reconciliation!J475)</f>
        <v/>
      </c>
      <c r="K474" s="30" t="str">
        <f aca="false">IF(R474="","",Reconciliation!K475)</f>
        <v/>
      </c>
      <c r="L474" s="30" t="str">
        <f aca="false">IF(R474="","",Reconciliation!L475)</f>
        <v/>
      </c>
      <c r="M474" s="32" t="str">
        <f aca="false">IF(R474="","",Reconciliation!M475)</f>
        <v/>
      </c>
      <c r="N474" s="32" t="str">
        <f aca="false">IF(R474="","",Reconciliation!N475)</f>
        <v/>
      </c>
      <c r="O474" s="32" t="str">
        <f aca="false">IF(R474="","",Reconciliation!O475)</f>
        <v/>
      </c>
      <c r="P474" s="32" t="str">
        <f aca="false">IF(R474="","",Reconciliation!P475)</f>
        <v/>
      </c>
      <c r="Q474" s="32" t="str">
        <f aca="false">IF(R474="","",Reconciliation!Q475)</f>
        <v/>
      </c>
      <c r="R474" s="33" t="str">
        <f aca="false">IF(OR(Reconciliation!R475="✅ MATCH",Reconciliation!R475=""),"",Reconciliation!R475)</f>
        <v/>
      </c>
    </row>
    <row r="475" customFormat="false" ht="15" hidden="false" customHeight="true" outlineLevel="0" collapsed="false">
      <c r="A475" s="29" t="str">
        <f aca="false">IF(R475="","",Reconciliation!A476)</f>
        <v/>
      </c>
      <c r="B475" s="30" t="str">
        <f aca="false">IF(R475="","",Reconciliation!B476)</f>
        <v/>
      </c>
      <c r="C475" s="30" t="str">
        <f aca="false">IF(R475="","",Reconciliation!C476)</f>
        <v/>
      </c>
      <c r="D475" s="30" t="str">
        <f aca="false">IF(R475="","",Reconciliation!D476)</f>
        <v/>
      </c>
      <c r="E475" s="31" t="str">
        <f aca="false">IF(R475="","",Reconciliation!E476)</f>
        <v/>
      </c>
      <c r="F475" s="30" t="str">
        <f aca="false">IF(R475="","",Reconciliation!F476)</f>
        <v/>
      </c>
      <c r="G475" s="30" t="str">
        <f aca="false">IF(R475="","",Reconciliation!G476)</f>
        <v/>
      </c>
      <c r="H475" s="30" t="str">
        <f aca="false">IF(R475="","",Reconciliation!H476)</f>
        <v/>
      </c>
      <c r="I475" s="30" t="str">
        <f aca="false">IF(R475="","",Reconciliation!I476)</f>
        <v/>
      </c>
      <c r="J475" s="31" t="str">
        <f aca="false">IF(R475="","",Reconciliation!J476)</f>
        <v/>
      </c>
      <c r="K475" s="30" t="str">
        <f aca="false">IF(R475="","",Reconciliation!K476)</f>
        <v/>
      </c>
      <c r="L475" s="30" t="str">
        <f aca="false">IF(R475="","",Reconciliation!L476)</f>
        <v/>
      </c>
      <c r="M475" s="32" t="str">
        <f aca="false">IF(R475="","",Reconciliation!M476)</f>
        <v/>
      </c>
      <c r="N475" s="32" t="str">
        <f aca="false">IF(R475="","",Reconciliation!N476)</f>
        <v/>
      </c>
      <c r="O475" s="32" t="str">
        <f aca="false">IF(R475="","",Reconciliation!O476)</f>
        <v/>
      </c>
      <c r="P475" s="32" t="str">
        <f aca="false">IF(R475="","",Reconciliation!P476)</f>
        <v/>
      </c>
      <c r="Q475" s="32" t="str">
        <f aca="false">IF(R475="","",Reconciliation!Q476)</f>
        <v/>
      </c>
      <c r="R475" s="33" t="str">
        <f aca="false">IF(OR(Reconciliation!R476="✅ MATCH",Reconciliation!R476=""),"",Reconciliation!R476)</f>
        <v/>
      </c>
    </row>
    <row r="476" customFormat="false" ht="15" hidden="false" customHeight="true" outlineLevel="0" collapsed="false">
      <c r="A476" s="29" t="str">
        <f aca="false">IF(R476="","",Reconciliation!A477)</f>
        <v/>
      </c>
      <c r="B476" s="30" t="str">
        <f aca="false">IF(R476="","",Reconciliation!B477)</f>
        <v/>
      </c>
      <c r="C476" s="30" t="str">
        <f aca="false">IF(R476="","",Reconciliation!C477)</f>
        <v/>
      </c>
      <c r="D476" s="30" t="str">
        <f aca="false">IF(R476="","",Reconciliation!D477)</f>
        <v/>
      </c>
      <c r="E476" s="31" t="str">
        <f aca="false">IF(R476="","",Reconciliation!E477)</f>
        <v/>
      </c>
      <c r="F476" s="30" t="str">
        <f aca="false">IF(R476="","",Reconciliation!F477)</f>
        <v/>
      </c>
      <c r="G476" s="30" t="str">
        <f aca="false">IF(R476="","",Reconciliation!G477)</f>
        <v/>
      </c>
      <c r="H476" s="30" t="str">
        <f aca="false">IF(R476="","",Reconciliation!H477)</f>
        <v/>
      </c>
      <c r="I476" s="30" t="str">
        <f aca="false">IF(R476="","",Reconciliation!I477)</f>
        <v/>
      </c>
      <c r="J476" s="31" t="str">
        <f aca="false">IF(R476="","",Reconciliation!J477)</f>
        <v/>
      </c>
      <c r="K476" s="30" t="str">
        <f aca="false">IF(R476="","",Reconciliation!K477)</f>
        <v/>
      </c>
      <c r="L476" s="30" t="str">
        <f aca="false">IF(R476="","",Reconciliation!L477)</f>
        <v/>
      </c>
      <c r="M476" s="32" t="str">
        <f aca="false">IF(R476="","",Reconciliation!M477)</f>
        <v/>
      </c>
      <c r="N476" s="32" t="str">
        <f aca="false">IF(R476="","",Reconciliation!N477)</f>
        <v/>
      </c>
      <c r="O476" s="32" t="str">
        <f aca="false">IF(R476="","",Reconciliation!O477)</f>
        <v/>
      </c>
      <c r="P476" s="32" t="str">
        <f aca="false">IF(R476="","",Reconciliation!P477)</f>
        <v/>
      </c>
      <c r="Q476" s="32" t="str">
        <f aca="false">IF(R476="","",Reconciliation!Q477)</f>
        <v/>
      </c>
      <c r="R476" s="33" t="str">
        <f aca="false">IF(OR(Reconciliation!R477="✅ MATCH",Reconciliation!R477=""),"",Reconciliation!R477)</f>
        <v/>
      </c>
    </row>
    <row r="477" customFormat="false" ht="15" hidden="false" customHeight="true" outlineLevel="0" collapsed="false">
      <c r="A477" s="29" t="str">
        <f aca="false">IF(R477="","",Reconciliation!A478)</f>
        <v/>
      </c>
      <c r="B477" s="30" t="str">
        <f aca="false">IF(R477="","",Reconciliation!B478)</f>
        <v/>
      </c>
      <c r="C477" s="30" t="str">
        <f aca="false">IF(R477="","",Reconciliation!C478)</f>
        <v/>
      </c>
      <c r="D477" s="30" t="str">
        <f aca="false">IF(R477="","",Reconciliation!D478)</f>
        <v/>
      </c>
      <c r="E477" s="31" t="str">
        <f aca="false">IF(R477="","",Reconciliation!E478)</f>
        <v/>
      </c>
      <c r="F477" s="30" t="str">
        <f aca="false">IF(R477="","",Reconciliation!F478)</f>
        <v/>
      </c>
      <c r="G477" s="30" t="str">
        <f aca="false">IF(R477="","",Reconciliation!G478)</f>
        <v/>
      </c>
      <c r="H477" s="30" t="str">
        <f aca="false">IF(R477="","",Reconciliation!H478)</f>
        <v/>
      </c>
      <c r="I477" s="30" t="str">
        <f aca="false">IF(R477="","",Reconciliation!I478)</f>
        <v/>
      </c>
      <c r="J477" s="31" t="str">
        <f aca="false">IF(R477="","",Reconciliation!J478)</f>
        <v/>
      </c>
      <c r="K477" s="30" t="str">
        <f aca="false">IF(R477="","",Reconciliation!K478)</f>
        <v/>
      </c>
      <c r="L477" s="30" t="str">
        <f aca="false">IF(R477="","",Reconciliation!L478)</f>
        <v/>
      </c>
      <c r="M477" s="32" t="str">
        <f aca="false">IF(R477="","",Reconciliation!M478)</f>
        <v/>
      </c>
      <c r="N477" s="32" t="str">
        <f aca="false">IF(R477="","",Reconciliation!N478)</f>
        <v/>
      </c>
      <c r="O477" s="32" t="str">
        <f aca="false">IF(R477="","",Reconciliation!O478)</f>
        <v/>
      </c>
      <c r="P477" s="32" t="str">
        <f aca="false">IF(R477="","",Reconciliation!P478)</f>
        <v/>
      </c>
      <c r="Q477" s="32" t="str">
        <f aca="false">IF(R477="","",Reconciliation!Q478)</f>
        <v/>
      </c>
      <c r="R477" s="33" t="str">
        <f aca="false">IF(OR(Reconciliation!R478="✅ MATCH",Reconciliation!R478=""),"",Reconciliation!R478)</f>
        <v/>
      </c>
    </row>
    <row r="478" customFormat="false" ht="15" hidden="false" customHeight="true" outlineLevel="0" collapsed="false">
      <c r="A478" s="29" t="str">
        <f aca="false">IF(R478="","",Reconciliation!A479)</f>
        <v/>
      </c>
      <c r="B478" s="30" t="str">
        <f aca="false">IF(R478="","",Reconciliation!B479)</f>
        <v/>
      </c>
      <c r="C478" s="30" t="str">
        <f aca="false">IF(R478="","",Reconciliation!C479)</f>
        <v/>
      </c>
      <c r="D478" s="30" t="str">
        <f aca="false">IF(R478="","",Reconciliation!D479)</f>
        <v/>
      </c>
      <c r="E478" s="31" t="str">
        <f aca="false">IF(R478="","",Reconciliation!E479)</f>
        <v/>
      </c>
      <c r="F478" s="30" t="str">
        <f aca="false">IF(R478="","",Reconciliation!F479)</f>
        <v/>
      </c>
      <c r="G478" s="30" t="str">
        <f aca="false">IF(R478="","",Reconciliation!G479)</f>
        <v/>
      </c>
      <c r="H478" s="30" t="str">
        <f aca="false">IF(R478="","",Reconciliation!H479)</f>
        <v/>
      </c>
      <c r="I478" s="30" t="str">
        <f aca="false">IF(R478="","",Reconciliation!I479)</f>
        <v/>
      </c>
      <c r="J478" s="31" t="str">
        <f aca="false">IF(R478="","",Reconciliation!J479)</f>
        <v/>
      </c>
      <c r="K478" s="30" t="str">
        <f aca="false">IF(R478="","",Reconciliation!K479)</f>
        <v/>
      </c>
      <c r="L478" s="30" t="str">
        <f aca="false">IF(R478="","",Reconciliation!L479)</f>
        <v/>
      </c>
      <c r="M478" s="32" t="str">
        <f aca="false">IF(R478="","",Reconciliation!M479)</f>
        <v/>
      </c>
      <c r="N478" s="32" t="str">
        <f aca="false">IF(R478="","",Reconciliation!N479)</f>
        <v/>
      </c>
      <c r="O478" s="32" t="str">
        <f aca="false">IF(R478="","",Reconciliation!O479)</f>
        <v/>
      </c>
      <c r="P478" s="32" t="str">
        <f aca="false">IF(R478="","",Reconciliation!P479)</f>
        <v/>
      </c>
      <c r="Q478" s="32" t="str">
        <f aca="false">IF(R478="","",Reconciliation!Q479)</f>
        <v/>
      </c>
      <c r="R478" s="33" t="str">
        <f aca="false">IF(OR(Reconciliation!R479="✅ MATCH",Reconciliation!R479=""),"",Reconciliation!R479)</f>
        <v/>
      </c>
    </row>
    <row r="479" customFormat="false" ht="15" hidden="false" customHeight="true" outlineLevel="0" collapsed="false">
      <c r="A479" s="29" t="str">
        <f aca="false">IF(R479="","",Reconciliation!A480)</f>
        <v/>
      </c>
      <c r="B479" s="30" t="str">
        <f aca="false">IF(R479="","",Reconciliation!B480)</f>
        <v/>
      </c>
      <c r="C479" s="30" t="str">
        <f aca="false">IF(R479="","",Reconciliation!C480)</f>
        <v/>
      </c>
      <c r="D479" s="30" t="str">
        <f aca="false">IF(R479="","",Reconciliation!D480)</f>
        <v/>
      </c>
      <c r="E479" s="31" t="str">
        <f aca="false">IF(R479="","",Reconciliation!E480)</f>
        <v/>
      </c>
      <c r="F479" s="30" t="str">
        <f aca="false">IF(R479="","",Reconciliation!F480)</f>
        <v/>
      </c>
      <c r="G479" s="30" t="str">
        <f aca="false">IF(R479="","",Reconciliation!G480)</f>
        <v/>
      </c>
      <c r="H479" s="30" t="str">
        <f aca="false">IF(R479="","",Reconciliation!H480)</f>
        <v/>
      </c>
      <c r="I479" s="30" t="str">
        <f aca="false">IF(R479="","",Reconciliation!I480)</f>
        <v/>
      </c>
      <c r="J479" s="31" t="str">
        <f aca="false">IF(R479="","",Reconciliation!J480)</f>
        <v/>
      </c>
      <c r="K479" s="30" t="str">
        <f aca="false">IF(R479="","",Reconciliation!K480)</f>
        <v/>
      </c>
      <c r="L479" s="30" t="str">
        <f aca="false">IF(R479="","",Reconciliation!L480)</f>
        <v/>
      </c>
      <c r="M479" s="32" t="str">
        <f aca="false">IF(R479="","",Reconciliation!M480)</f>
        <v/>
      </c>
      <c r="N479" s="32" t="str">
        <f aca="false">IF(R479="","",Reconciliation!N480)</f>
        <v/>
      </c>
      <c r="O479" s="32" t="str">
        <f aca="false">IF(R479="","",Reconciliation!O480)</f>
        <v/>
      </c>
      <c r="P479" s="32" t="str">
        <f aca="false">IF(R479="","",Reconciliation!P480)</f>
        <v/>
      </c>
      <c r="Q479" s="32" t="str">
        <f aca="false">IF(R479="","",Reconciliation!Q480)</f>
        <v/>
      </c>
      <c r="R479" s="33" t="str">
        <f aca="false">IF(OR(Reconciliation!R480="✅ MATCH",Reconciliation!R480=""),"",Reconciliation!R480)</f>
        <v/>
      </c>
    </row>
    <row r="480" customFormat="false" ht="15" hidden="false" customHeight="true" outlineLevel="0" collapsed="false">
      <c r="A480" s="29" t="str">
        <f aca="false">IF(R480="","",Reconciliation!A481)</f>
        <v/>
      </c>
      <c r="B480" s="30" t="str">
        <f aca="false">IF(R480="","",Reconciliation!B481)</f>
        <v/>
      </c>
      <c r="C480" s="30" t="str">
        <f aca="false">IF(R480="","",Reconciliation!C481)</f>
        <v/>
      </c>
      <c r="D480" s="30" t="str">
        <f aca="false">IF(R480="","",Reconciliation!D481)</f>
        <v/>
      </c>
      <c r="E480" s="31" t="str">
        <f aca="false">IF(R480="","",Reconciliation!E481)</f>
        <v/>
      </c>
      <c r="F480" s="30" t="str">
        <f aca="false">IF(R480="","",Reconciliation!F481)</f>
        <v/>
      </c>
      <c r="G480" s="30" t="str">
        <f aca="false">IF(R480="","",Reconciliation!G481)</f>
        <v/>
      </c>
      <c r="H480" s="30" t="str">
        <f aca="false">IF(R480="","",Reconciliation!H481)</f>
        <v/>
      </c>
      <c r="I480" s="30" t="str">
        <f aca="false">IF(R480="","",Reconciliation!I481)</f>
        <v/>
      </c>
      <c r="J480" s="31" t="str">
        <f aca="false">IF(R480="","",Reconciliation!J481)</f>
        <v/>
      </c>
      <c r="K480" s="30" t="str">
        <f aca="false">IF(R480="","",Reconciliation!K481)</f>
        <v/>
      </c>
      <c r="L480" s="30" t="str">
        <f aca="false">IF(R480="","",Reconciliation!L481)</f>
        <v/>
      </c>
      <c r="M480" s="32" t="str">
        <f aca="false">IF(R480="","",Reconciliation!M481)</f>
        <v/>
      </c>
      <c r="N480" s="32" t="str">
        <f aca="false">IF(R480="","",Reconciliation!N481)</f>
        <v/>
      </c>
      <c r="O480" s="32" t="str">
        <f aca="false">IF(R480="","",Reconciliation!O481)</f>
        <v/>
      </c>
      <c r="P480" s="32" t="str">
        <f aca="false">IF(R480="","",Reconciliation!P481)</f>
        <v/>
      </c>
      <c r="Q480" s="32" t="str">
        <f aca="false">IF(R480="","",Reconciliation!Q481)</f>
        <v/>
      </c>
      <c r="R480" s="33" t="str">
        <f aca="false">IF(OR(Reconciliation!R481="✅ MATCH",Reconciliation!R481=""),"",Reconciliation!R481)</f>
        <v/>
      </c>
    </row>
    <row r="481" customFormat="false" ht="15" hidden="false" customHeight="true" outlineLevel="0" collapsed="false">
      <c r="A481" s="29" t="str">
        <f aca="false">IF(R481="","",Reconciliation!A482)</f>
        <v/>
      </c>
      <c r="B481" s="30" t="str">
        <f aca="false">IF(R481="","",Reconciliation!B482)</f>
        <v/>
      </c>
      <c r="C481" s="30" t="str">
        <f aca="false">IF(R481="","",Reconciliation!C482)</f>
        <v/>
      </c>
      <c r="D481" s="30" t="str">
        <f aca="false">IF(R481="","",Reconciliation!D482)</f>
        <v/>
      </c>
      <c r="E481" s="31" t="str">
        <f aca="false">IF(R481="","",Reconciliation!E482)</f>
        <v/>
      </c>
      <c r="F481" s="30" t="str">
        <f aca="false">IF(R481="","",Reconciliation!F482)</f>
        <v/>
      </c>
      <c r="G481" s="30" t="str">
        <f aca="false">IF(R481="","",Reconciliation!G482)</f>
        <v/>
      </c>
      <c r="H481" s="30" t="str">
        <f aca="false">IF(R481="","",Reconciliation!H482)</f>
        <v/>
      </c>
      <c r="I481" s="30" t="str">
        <f aca="false">IF(R481="","",Reconciliation!I482)</f>
        <v/>
      </c>
      <c r="J481" s="31" t="str">
        <f aca="false">IF(R481="","",Reconciliation!J482)</f>
        <v/>
      </c>
      <c r="K481" s="30" t="str">
        <f aca="false">IF(R481="","",Reconciliation!K482)</f>
        <v/>
      </c>
      <c r="L481" s="30" t="str">
        <f aca="false">IF(R481="","",Reconciliation!L482)</f>
        <v/>
      </c>
      <c r="M481" s="32" t="str">
        <f aca="false">IF(R481="","",Reconciliation!M482)</f>
        <v/>
      </c>
      <c r="N481" s="32" t="str">
        <f aca="false">IF(R481="","",Reconciliation!N482)</f>
        <v/>
      </c>
      <c r="O481" s="32" t="str">
        <f aca="false">IF(R481="","",Reconciliation!O482)</f>
        <v/>
      </c>
      <c r="P481" s="32" t="str">
        <f aca="false">IF(R481="","",Reconciliation!P482)</f>
        <v/>
      </c>
      <c r="Q481" s="32" t="str">
        <f aca="false">IF(R481="","",Reconciliation!Q482)</f>
        <v/>
      </c>
      <c r="R481" s="33" t="str">
        <f aca="false">IF(OR(Reconciliation!R482="✅ MATCH",Reconciliation!R482=""),"",Reconciliation!R482)</f>
        <v/>
      </c>
    </row>
    <row r="482" customFormat="false" ht="15" hidden="false" customHeight="true" outlineLevel="0" collapsed="false">
      <c r="A482" s="29" t="str">
        <f aca="false">IF(R482="","",Reconciliation!A483)</f>
        <v/>
      </c>
      <c r="B482" s="30" t="str">
        <f aca="false">IF(R482="","",Reconciliation!B483)</f>
        <v/>
      </c>
      <c r="C482" s="30" t="str">
        <f aca="false">IF(R482="","",Reconciliation!C483)</f>
        <v/>
      </c>
      <c r="D482" s="30" t="str">
        <f aca="false">IF(R482="","",Reconciliation!D483)</f>
        <v/>
      </c>
      <c r="E482" s="31" t="str">
        <f aca="false">IF(R482="","",Reconciliation!E483)</f>
        <v/>
      </c>
      <c r="F482" s="30" t="str">
        <f aca="false">IF(R482="","",Reconciliation!F483)</f>
        <v/>
      </c>
      <c r="G482" s="30" t="str">
        <f aca="false">IF(R482="","",Reconciliation!G483)</f>
        <v/>
      </c>
      <c r="H482" s="30" t="str">
        <f aca="false">IF(R482="","",Reconciliation!H483)</f>
        <v/>
      </c>
      <c r="I482" s="30" t="str">
        <f aca="false">IF(R482="","",Reconciliation!I483)</f>
        <v/>
      </c>
      <c r="J482" s="31" t="str">
        <f aca="false">IF(R482="","",Reconciliation!J483)</f>
        <v/>
      </c>
      <c r="K482" s="30" t="str">
        <f aca="false">IF(R482="","",Reconciliation!K483)</f>
        <v/>
      </c>
      <c r="L482" s="30" t="str">
        <f aca="false">IF(R482="","",Reconciliation!L483)</f>
        <v/>
      </c>
      <c r="M482" s="32" t="str">
        <f aca="false">IF(R482="","",Reconciliation!M483)</f>
        <v/>
      </c>
      <c r="N482" s="32" t="str">
        <f aca="false">IF(R482="","",Reconciliation!N483)</f>
        <v/>
      </c>
      <c r="O482" s="32" t="str">
        <f aca="false">IF(R482="","",Reconciliation!O483)</f>
        <v/>
      </c>
      <c r="P482" s="32" t="str">
        <f aca="false">IF(R482="","",Reconciliation!P483)</f>
        <v/>
      </c>
      <c r="Q482" s="32" t="str">
        <f aca="false">IF(R482="","",Reconciliation!Q483)</f>
        <v/>
      </c>
      <c r="R482" s="33" t="str">
        <f aca="false">IF(OR(Reconciliation!R483="✅ MATCH",Reconciliation!R483=""),"",Reconciliation!R483)</f>
        <v/>
      </c>
    </row>
    <row r="483" customFormat="false" ht="15" hidden="false" customHeight="true" outlineLevel="0" collapsed="false">
      <c r="A483" s="29" t="str">
        <f aca="false">IF(R483="","",Reconciliation!A484)</f>
        <v/>
      </c>
      <c r="B483" s="30" t="str">
        <f aca="false">IF(R483="","",Reconciliation!B484)</f>
        <v/>
      </c>
      <c r="C483" s="30" t="str">
        <f aca="false">IF(R483="","",Reconciliation!C484)</f>
        <v/>
      </c>
      <c r="D483" s="30" t="str">
        <f aca="false">IF(R483="","",Reconciliation!D484)</f>
        <v/>
      </c>
      <c r="E483" s="31" t="str">
        <f aca="false">IF(R483="","",Reconciliation!E484)</f>
        <v/>
      </c>
      <c r="F483" s="30" t="str">
        <f aca="false">IF(R483="","",Reconciliation!F484)</f>
        <v/>
      </c>
      <c r="G483" s="30" t="str">
        <f aca="false">IF(R483="","",Reconciliation!G484)</f>
        <v/>
      </c>
      <c r="H483" s="30" t="str">
        <f aca="false">IF(R483="","",Reconciliation!H484)</f>
        <v/>
      </c>
      <c r="I483" s="30" t="str">
        <f aca="false">IF(R483="","",Reconciliation!I484)</f>
        <v/>
      </c>
      <c r="J483" s="31" t="str">
        <f aca="false">IF(R483="","",Reconciliation!J484)</f>
        <v/>
      </c>
      <c r="K483" s="30" t="str">
        <f aca="false">IF(R483="","",Reconciliation!K484)</f>
        <v/>
      </c>
      <c r="L483" s="30" t="str">
        <f aca="false">IF(R483="","",Reconciliation!L484)</f>
        <v/>
      </c>
      <c r="M483" s="32" t="str">
        <f aca="false">IF(R483="","",Reconciliation!M484)</f>
        <v/>
      </c>
      <c r="N483" s="32" t="str">
        <f aca="false">IF(R483="","",Reconciliation!N484)</f>
        <v/>
      </c>
      <c r="O483" s="32" t="str">
        <f aca="false">IF(R483="","",Reconciliation!O484)</f>
        <v/>
      </c>
      <c r="P483" s="32" t="str">
        <f aca="false">IF(R483="","",Reconciliation!P484)</f>
        <v/>
      </c>
      <c r="Q483" s="32" t="str">
        <f aca="false">IF(R483="","",Reconciliation!Q484)</f>
        <v/>
      </c>
      <c r="R483" s="33" t="str">
        <f aca="false">IF(OR(Reconciliation!R484="✅ MATCH",Reconciliation!R484=""),"",Reconciliation!R484)</f>
        <v/>
      </c>
    </row>
    <row r="484" customFormat="false" ht="15" hidden="false" customHeight="true" outlineLevel="0" collapsed="false">
      <c r="A484" s="29" t="str">
        <f aca="false">IF(R484="","",Reconciliation!A485)</f>
        <v/>
      </c>
      <c r="B484" s="30" t="str">
        <f aca="false">IF(R484="","",Reconciliation!B485)</f>
        <v/>
      </c>
      <c r="C484" s="30" t="str">
        <f aca="false">IF(R484="","",Reconciliation!C485)</f>
        <v/>
      </c>
      <c r="D484" s="30" t="str">
        <f aca="false">IF(R484="","",Reconciliation!D485)</f>
        <v/>
      </c>
      <c r="E484" s="31" t="str">
        <f aca="false">IF(R484="","",Reconciliation!E485)</f>
        <v/>
      </c>
      <c r="F484" s="30" t="str">
        <f aca="false">IF(R484="","",Reconciliation!F485)</f>
        <v/>
      </c>
      <c r="G484" s="30" t="str">
        <f aca="false">IF(R484="","",Reconciliation!G485)</f>
        <v/>
      </c>
      <c r="H484" s="30" t="str">
        <f aca="false">IF(R484="","",Reconciliation!H485)</f>
        <v/>
      </c>
      <c r="I484" s="30" t="str">
        <f aca="false">IF(R484="","",Reconciliation!I485)</f>
        <v/>
      </c>
      <c r="J484" s="31" t="str">
        <f aca="false">IF(R484="","",Reconciliation!J485)</f>
        <v/>
      </c>
      <c r="K484" s="30" t="str">
        <f aca="false">IF(R484="","",Reconciliation!K485)</f>
        <v/>
      </c>
      <c r="L484" s="30" t="str">
        <f aca="false">IF(R484="","",Reconciliation!L485)</f>
        <v/>
      </c>
      <c r="M484" s="32" t="str">
        <f aca="false">IF(R484="","",Reconciliation!M485)</f>
        <v/>
      </c>
      <c r="N484" s="32" t="str">
        <f aca="false">IF(R484="","",Reconciliation!N485)</f>
        <v/>
      </c>
      <c r="O484" s="32" t="str">
        <f aca="false">IF(R484="","",Reconciliation!O485)</f>
        <v/>
      </c>
      <c r="P484" s="32" t="str">
        <f aca="false">IF(R484="","",Reconciliation!P485)</f>
        <v/>
      </c>
      <c r="Q484" s="32" t="str">
        <f aca="false">IF(R484="","",Reconciliation!Q485)</f>
        <v/>
      </c>
      <c r="R484" s="33" t="str">
        <f aca="false">IF(OR(Reconciliation!R485="✅ MATCH",Reconciliation!R485=""),"",Reconciliation!R485)</f>
        <v/>
      </c>
    </row>
    <row r="485" customFormat="false" ht="15" hidden="false" customHeight="true" outlineLevel="0" collapsed="false">
      <c r="A485" s="29" t="str">
        <f aca="false">IF(R485="","",Reconciliation!A486)</f>
        <v/>
      </c>
      <c r="B485" s="30" t="str">
        <f aca="false">IF(R485="","",Reconciliation!B486)</f>
        <v/>
      </c>
      <c r="C485" s="30" t="str">
        <f aca="false">IF(R485="","",Reconciliation!C486)</f>
        <v/>
      </c>
      <c r="D485" s="30" t="str">
        <f aca="false">IF(R485="","",Reconciliation!D486)</f>
        <v/>
      </c>
      <c r="E485" s="31" t="str">
        <f aca="false">IF(R485="","",Reconciliation!E486)</f>
        <v/>
      </c>
      <c r="F485" s="30" t="str">
        <f aca="false">IF(R485="","",Reconciliation!F486)</f>
        <v/>
      </c>
      <c r="G485" s="30" t="str">
        <f aca="false">IF(R485="","",Reconciliation!G486)</f>
        <v/>
      </c>
      <c r="H485" s="30" t="str">
        <f aca="false">IF(R485="","",Reconciliation!H486)</f>
        <v/>
      </c>
      <c r="I485" s="30" t="str">
        <f aca="false">IF(R485="","",Reconciliation!I486)</f>
        <v/>
      </c>
      <c r="J485" s="31" t="str">
        <f aca="false">IF(R485="","",Reconciliation!J486)</f>
        <v/>
      </c>
      <c r="K485" s="30" t="str">
        <f aca="false">IF(R485="","",Reconciliation!K486)</f>
        <v/>
      </c>
      <c r="L485" s="30" t="str">
        <f aca="false">IF(R485="","",Reconciliation!L486)</f>
        <v/>
      </c>
      <c r="M485" s="32" t="str">
        <f aca="false">IF(R485="","",Reconciliation!M486)</f>
        <v/>
      </c>
      <c r="N485" s="32" t="str">
        <f aca="false">IF(R485="","",Reconciliation!N486)</f>
        <v/>
      </c>
      <c r="O485" s="32" t="str">
        <f aca="false">IF(R485="","",Reconciliation!O486)</f>
        <v/>
      </c>
      <c r="P485" s="32" t="str">
        <f aca="false">IF(R485="","",Reconciliation!P486)</f>
        <v/>
      </c>
      <c r="Q485" s="32" t="str">
        <f aca="false">IF(R485="","",Reconciliation!Q486)</f>
        <v/>
      </c>
      <c r="R485" s="33" t="str">
        <f aca="false">IF(OR(Reconciliation!R486="✅ MATCH",Reconciliation!R486=""),"",Reconciliation!R486)</f>
        <v/>
      </c>
    </row>
    <row r="486" customFormat="false" ht="15" hidden="false" customHeight="true" outlineLevel="0" collapsed="false">
      <c r="A486" s="29" t="str">
        <f aca="false">IF(R486="","",Reconciliation!A487)</f>
        <v/>
      </c>
      <c r="B486" s="30" t="str">
        <f aca="false">IF(R486="","",Reconciliation!B487)</f>
        <v/>
      </c>
      <c r="C486" s="30" t="str">
        <f aca="false">IF(R486="","",Reconciliation!C487)</f>
        <v/>
      </c>
      <c r="D486" s="30" t="str">
        <f aca="false">IF(R486="","",Reconciliation!D487)</f>
        <v/>
      </c>
      <c r="E486" s="31" t="str">
        <f aca="false">IF(R486="","",Reconciliation!E487)</f>
        <v/>
      </c>
      <c r="F486" s="30" t="str">
        <f aca="false">IF(R486="","",Reconciliation!F487)</f>
        <v/>
      </c>
      <c r="G486" s="30" t="str">
        <f aca="false">IF(R486="","",Reconciliation!G487)</f>
        <v/>
      </c>
      <c r="H486" s="30" t="str">
        <f aca="false">IF(R486="","",Reconciliation!H487)</f>
        <v/>
      </c>
      <c r="I486" s="30" t="str">
        <f aca="false">IF(R486="","",Reconciliation!I487)</f>
        <v/>
      </c>
      <c r="J486" s="31" t="str">
        <f aca="false">IF(R486="","",Reconciliation!J487)</f>
        <v/>
      </c>
      <c r="K486" s="30" t="str">
        <f aca="false">IF(R486="","",Reconciliation!K487)</f>
        <v/>
      </c>
      <c r="L486" s="30" t="str">
        <f aca="false">IF(R486="","",Reconciliation!L487)</f>
        <v/>
      </c>
      <c r="M486" s="32" t="str">
        <f aca="false">IF(R486="","",Reconciliation!M487)</f>
        <v/>
      </c>
      <c r="N486" s="32" t="str">
        <f aca="false">IF(R486="","",Reconciliation!N487)</f>
        <v/>
      </c>
      <c r="O486" s="32" t="str">
        <f aca="false">IF(R486="","",Reconciliation!O487)</f>
        <v/>
      </c>
      <c r="P486" s="32" t="str">
        <f aca="false">IF(R486="","",Reconciliation!P487)</f>
        <v/>
      </c>
      <c r="Q486" s="32" t="str">
        <f aca="false">IF(R486="","",Reconciliation!Q487)</f>
        <v/>
      </c>
      <c r="R486" s="33" t="str">
        <f aca="false">IF(OR(Reconciliation!R487="✅ MATCH",Reconciliation!R487=""),"",Reconciliation!R487)</f>
        <v/>
      </c>
    </row>
    <row r="487" customFormat="false" ht="15" hidden="false" customHeight="true" outlineLevel="0" collapsed="false">
      <c r="A487" s="29" t="str">
        <f aca="false">IF(R487="","",Reconciliation!A488)</f>
        <v/>
      </c>
      <c r="B487" s="30" t="str">
        <f aca="false">IF(R487="","",Reconciliation!B488)</f>
        <v/>
      </c>
      <c r="C487" s="30" t="str">
        <f aca="false">IF(R487="","",Reconciliation!C488)</f>
        <v/>
      </c>
      <c r="D487" s="30" t="str">
        <f aca="false">IF(R487="","",Reconciliation!D488)</f>
        <v/>
      </c>
      <c r="E487" s="31" t="str">
        <f aca="false">IF(R487="","",Reconciliation!E488)</f>
        <v/>
      </c>
      <c r="F487" s="30" t="str">
        <f aca="false">IF(R487="","",Reconciliation!F488)</f>
        <v/>
      </c>
      <c r="G487" s="30" t="str">
        <f aca="false">IF(R487="","",Reconciliation!G488)</f>
        <v/>
      </c>
      <c r="H487" s="30" t="str">
        <f aca="false">IF(R487="","",Reconciliation!H488)</f>
        <v/>
      </c>
      <c r="I487" s="30" t="str">
        <f aca="false">IF(R487="","",Reconciliation!I488)</f>
        <v/>
      </c>
      <c r="J487" s="31" t="str">
        <f aca="false">IF(R487="","",Reconciliation!J488)</f>
        <v/>
      </c>
      <c r="K487" s="30" t="str">
        <f aca="false">IF(R487="","",Reconciliation!K488)</f>
        <v/>
      </c>
      <c r="L487" s="30" t="str">
        <f aca="false">IF(R487="","",Reconciliation!L488)</f>
        <v/>
      </c>
      <c r="M487" s="32" t="str">
        <f aca="false">IF(R487="","",Reconciliation!M488)</f>
        <v/>
      </c>
      <c r="N487" s="32" t="str">
        <f aca="false">IF(R487="","",Reconciliation!N488)</f>
        <v/>
      </c>
      <c r="O487" s="32" t="str">
        <f aca="false">IF(R487="","",Reconciliation!O488)</f>
        <v/>
      </c>
      <c r="P487" s="32" t="str">
        <f aca="false">IF(R487="","",Reconciliation!P488)</f>
        <v/>
      </c>
      <c r="Q487" s="32" t="str">
        <f aca="false">IF(R487="","",Reconciliation!Q488)</f>
        <v/>
      </c>
      <c r="R487" s="33" t="str">
        <f aca="false">IF(OR(Reconciliation!R488="✅ MATCH",Reconciliation!R488=""),"",Reconciliation!R488)</f>
        <v/>
      </c>
    </row>
    <row r="488" customFormat="false" ht="15" hidden="false" customHeight="true" outlineLevel="0" collapsed="false">
      <c r="A488" s="29" t="str">
        <f aca="false">IF(R488="","",Reconciliation!A489)</f>
        <v/>
      </c>
      <c r="B488" s="30" t="str">
        <f aca="false">IF(R488="","",Reconciliation!B489)</f>
        <v/>
      </c>
      <c r="C488" s="30" t="str">
        <f aca="false">IF(R488="","",Reconciliation!C489)</f>
        <v/>
      </c>
      <c r="D488" s="30" t="str">
        <f aca="false">IF(R488="","",Reconciliation!D489)</f>
        <v/>
      </c>
      <c r="E488" s="31" t="str">
        <f aca="false">IF(R488="","",Reconciliation!E489)</f>
        <v/>
      </c>
      <c r="F488" s="30" t="str">
        <f aca="false">IF(R488="","",Reconciliation!F489)</f>
        <v/>
      </c>
      <c r="G488" s="30" t="str">
        <f aca="false">IF(R488="","",Reconciliation!G489)</f>
        <v/>
      </c>
      <c r="H488" s="30" t="str">
        <f aca="false">IF(R488="","",Reconciliation!H489)</f>
        <v/>
      </c>
      <c r="I488" s="30" t="str">
        <f aca="false">IF(R488="","",Reconciliation!I489)</f>
        <v/>
      </c>
      <c r="J488" s="31" t="str">
        <f aca="false">IF(R488="","",Reconciliation!J489)</f>
        <v/>
      </c>
      <c r="K488" s="30" t="str">
        <f aca="false">IF(R488="","",Reconciliation!K489)</f>
        <v/>
      </c>
      <c r="L488" s="30" t="str">
        <f aca="false">IF(R488="","",Reconciliation!L489)</f>
        <v/>
      </c>
      <c r="M488" s="32" t="str">
        <f aca="false">IF(R488="","",Reconciliation!M489)</f>
        <v/>
      </c>
      <c r="N488" s="32" t="str">
        <f aca="false">IF(R488="","",Reconciliation!N489)</f>
        <v/>
      </c>
      <c r="O488" s="32" t="str">
        <f aca="false">IF(R488="","",Reconciliation!O489)</f>
        <v/>
      </c>
      <c r="P488" s="32" t="str">
        <f aca="false">IF(R488="","",Reconciliation!P489)</f>
        <v/>
      </c>
      <c r="Q488" s="32" t="str">
        <f aca="false">IF(R488="","",Reconciliation!Q489)</f>
        <v/>
      </c>
      <c r="R488" s="33" t="str">
        <f aca="false">IF(OR(Reconciliation!R489="✅ MATCH",Reconciliation!R489=""),"",Reconciliation!R489)</f>
        <v/>
      </c>
    </row>
    <row r="489" customFormat="false" ht="15" hidden="false" customHeight="true" outlineLevel="0" collapsed="false">
      <c r="A489" s="29" t="str">
        <f aca="false">IF(R489="","",Reconciliation!A490)</f>
        <v/>
      </c>
      <c r="B489" s="30" t="str">
        <f aca="false">IF(R489="","",Reconciliation!B490)</f>
        <v/>
      </c>
      <c r="C489" s="30" t="str">
        <f aca="false">IF(R489="","",Reconciliation!C490)</f>
        <v/>
      </c>
      <c r="D489" s="30" t="str">
        <f aca="false">IF(R489="","",Reconciliation!D490)</f>
        <v/>
      </c>
      <c r="E489" s="31" t="str">
        <f aca="false">IF(R489="","",Reconciliation!E490)</f>
        <v/>
      </c>
      <c r="F489" s="30" t="str">
        <f aca="false">IF(R489="","",Reconciliation!F490)</f>
        <v/>
      </c>
      <c r="G489" s="30" t="str">
        <f aca="false">IF(R489="","",Reconciliation!G490)</f>
        <v/>
      </c>
      <c r="H489" s="30" t="str">
        <f aca="false">IF(R489="","",Reconciliation!H490)</f>
        <v/>
      </c>
      <c r="I489" s="30" t="str">
        <f aca="false">IF(R489="","",Reconciliation!I490)</f>
        <v/>
      </c>
      <c r="J489" s="31" t="str">
        <f aca="false">IF(R489="","",Reconciliation!J490)</f>
        <v/>
      </c>
      <c r="K489" s="30" t="str">
        <f aca="false">IF(R489="","",Reconciliation!K490)</f>
        <v/>
      </c>
      <c r="L489" s="30" t="str">
        <f aca="false">IF(R489="","",Reconciliation!L490)</f>
        <v/>
      </c>
      <c r="M489" s="32" t="str">
        <f aca="false">IF(R489="","",Reconciliation!M490)</f>
        <v/>
      </c>
      <c r="N489" s="32" t="str">
        <f aca="false">IF(R489="","",Reconciliation!N490)</f>
        <v/>
      </c>
      <c r="O489" s="32" t="str">
        <f aca="false">IF(R489="","",Reconciliation!O490)</f>
        <v/>
      </c>
      <c r="P489" s="32" t="str">
        <f aca="false">IF(R489="","",Reconciliation!P490)</f>
        <v/>
      </c>
      <c r="Q489" s="32" t="str">
        <f aca="false">IF(R489="","",Reconciliation!Q490)</f>
        <v/>
      </c>
      <c r="R489" s="33" t="str">
        <f aca="false">IF(OR(Reconciliation!R490="✅ MATCH",Reconciliation!R490=""),"",Reconciliation!R490)</f>
        <v/>
      </c>
    </row>
    <row r="490" customFormat="false" ht="15" hidden="false" customHeight="true" outlineLevel="0" collapsed="false">
      <c r="A490" s="29" t="str">
        <f aca="false">IF(R490="","",Reconciliation!A491)</f>
        <v/>
      </c>
      <c r="B490" s="30" t="str">
        <f aca="false">IF(R490="","",Reconciliation!B491)</f>
        <v/>
      </c>
      <c r="C490" s="30" t="str">
        <f aca="false">IF(R490="","",Reconciliation!C491)</f>
        <v/>
      </c>
      <c r="D490" s="30" t="str">
        <f aca="false">IF(R490="","",Reconciliation!D491)</f>
        <v/>
      </c>
      <c r="E490" s="31" t="str">
        <f aca="false">IF(R490="","",Reconciliation!E491)</f>
        <v/>
      </c>
      <c r="F490" s="30" t="str">
        <f aca="false">IF(R490="","",Reconciliation!F491)</f>
        <v/>
      </c>
      <c r="G490" s="30" t="str">
        <f aca="false">IF(R490="","",Reconciliation!G491)</f>
        <v/>
      </c>
      <c r="H490" s="30" t="str">
        <f aca="false">IF(R490="","",Reconciliation!H491)</f>
        <v/>
      </c>
      <c r="I490" s="30" t="str">
        <f aca="false">IF(R490="","",Reconciliation!I491)</f>
        <v/>
      </c>
      <c r="J490" s="31" t="str">
        <f aca="false">IF(R490="","",Reconciliation!J491)</f>
        <v/>
      </c>
      <c r="K490" s="30" t="str">
        <f aca="false">IF(R490="","",Reconciliation!K491)</f>
        <v/>
      </c>
      <c r="L490" s="30" t="str">
        <f aca="false">IF(R490="","",Reconciliation!L491)</f>
        <v/>
      </c>
      <c r="M490" s="32" t="str">
        <f aca="false">IF(R490="","",Reconciliation!M491)</f>
        <v/>
      </c>
      <c r="N490" s="32" t="str">
        <f aca="false">IF(R490="","",Reconciliation!N491)</f>
        <v/>
      </c>
      <c r="O490" s="32" t="str">
        <f aca="false">IF(R490="","",Reconciliation!O491)</f>
        <v/>
      </c>
      <c r="P490" s="32" t="str">
        <f aca="false">IF(R490="","",Reconciliation!P491)</f>
        <v/>
      </c>
      <c r="Q490" s="32" t="str">
        <f aca="false">IF(R490="","",Reconciliation!Q491)</f>
        <v/>
      </c>
      <c r="R490" s="33" t="str">
        <f aca="false">IF(OR(Reconciliation!R491="✅ MATCH",Reconciliation!R491=""),"",Reconciliation!R491)</f>
        <v/>
      </c>
    </row>
    <row r="491" customFormat="false" ht="15" hidden="false" customHeight="true" outlineLevel="0" collapsed="false">
      <c r="A491" s="29" t="str">
        <f aca="false">IF(R491="","",Reconciliation!A492)</f>
        <v/>
      </c>
      <c r="B491" s="30" t="str">
        <f aca="false">IF(R491="","",Reconciliation!B492)</f>
        <v/>
      </c>
      <c r="C491" s="30" t="str">
        <f aca="false">IF(R491="","",Reconciliation!C492)</f>
        <v/>
      </c>
      <c r="D491" s="30" t="str">
        <f aca="false">IF(R491="","",Reconciliation!D492)</f>
        <v/>
      </c>
      <c r="E491" s="31" t="str">
        <f aca="false">IF(R491="","",Reconciliation!E492)</f>
        <v/>
      </c>
      <c r="F491" s="30" t="str">
        <f aca="false">IF(R491="","",Reconciliation!F492)</f>
        <v/>
      </c>
      <c r="G491" s="30" t="str">
        <f aca="false">IF(R491="","",Reconciliation!G492)</f>
        <v/>
      </c>
      <c r="H491" s="30" t="str">
        <f aca="false">IF(R491="","",Reconciliation!H492)</f>
        <v/>
      </c>
      <c r="I491" s="30" t="str">
        <f aca="false">IF(R491="","",Reconciliation!I492)</f>
        <v/>
      </c>
      <c r="J491" s="31" t="str">
        <f aca="false">IF(R491="","",Reconciliation!J492)</f>
        <v/>
      </c>
      <c r="K491" s="30" t="str">
        <f aca="false">IF(R491="","",Reconciliation!K492)</f>
        <v/>
      </c>
      <c r="L491" s="30" t="str">
        <f aca="false">IF(R491="","",Reconciliation!L492)</f>
        <v/>
      </c>
      <c r="M491" s="32" t="str">
        <f aca="false">IF(R491="","",Reconciliation!M492)</f>
        <v/>
      </c>
      <c r="N491" s="32" t="str">
        <f aca="false">IF(R491="","",Reconciliation!N492)</f>
        <v/>
      </c>
      <c r="O491" s="32" t="str">
        <f aca="false">IF(R491="","",Reconciliation!O492)</f>
        <v/>
      </c>
      <c r="P491" s="32" t="str">
        <f aca="false">IF(R491="","",Reconciliation!P492)</f>
        <v/>
      </c>
      <c r="Q491" s="32" t="str">
        <f aca="false">IF(R491="","",Reconciliation!Q492)</f>
        <v/>
      </c>
      <c r="R491" s="33" t="str">
        <f aca="false">IF(OR(Reconciliation!R492="✅ MATCH",Reconciliation!R492=""),"",Reconciliation!R492)</f>
        <v/>
      </c>
    </row>
    <row r="492" customFormat="false" ht="15" hidden="false" customHeight="true" outlineLevel="0" collapsed="false">
      <c r="A492" s="29" t="str">
        <f aca="false">IF(R492="","",Reconciliation!A493)</f>
        <v/>
      </c>
      <c r="B492" s="30" t="str">
        <f aca="false">IF(R492="","",Reconciliation!B493)</f>
        <v/>
      </c>
      <c r="C492" s="30" t="str">
        <f aca="false">IF(R492="","",Reconciliation!C493)</f>
        <v/>
      </c>
      <c r="D492" s="30" t="str">
        <f aca="false">IF(R492="","",Reconciliation!D493)</f>
        <v/>
      </c>
      <c r="E492" s="31" t="str">
        <f aca="false">IF(R492="","",Reconciliation!E493)</f>
        <v/>
      </c>
      <c r="F492" s="30" t="str">
        <f aca="false">IF(R492="","",Reconciliation!F493)</f>
        <v/>
      </c>
      <c r="G492" s="30" t="str">
        <f aca="false">IF(R492="","",Reconciliation!G493)</f>
        <v/>
      </c>
      <c r="H492" s="30" t="str">
        <f aca="false">IF(R492="","",Reconciliation!H493)</f>
        <v/>
      </c>
      <c r="I492" s="30" t="str">
        <f aca="false">IF(R492="","",Reconciliation!I493)</f>
        <v/>
      </c>
      <c r="J492" s="31" t="str">
        <f aca="false">IF(R492="","",Reconciliation!J493)</f>
        <v/>
      </c>
      <c r="K492" s="30" t="str">
        <f aca="false">IF(R492="","",Reconciliation!K493)</f>
        <v/>
      </c>
      <c r="L492" s="30" t="str">
        <f aca="false">IF(R492="","",Reconciliation!L493)</f>
        <v/>
      </c>
      <c r="M492" s="32" t="str">
        <f aca="false">IF(R492="","",Reconciliation!M493)</f>
        <v/>
      </c>
      <c r="N492" s="32" t="str">
        <f aca="false">IF(R492="","",Reconciliation!N493)</f>
        <v/>
      </c>
      <c r="O492" s="32" t="str">
        <f aca="false">IF(R492="","",Reconciliation!O493)</f>
        <v/>
      </c>
      <c r="P492" s="32" t="str">
        <f aca="false">IF(R492="","",Reconciliation!P493)</f>
        <v/>
      </c>
      <c r="Q492" s="32" t="str">
        <f aca="false">IF(R492="","",Reconciliation!Q493)</f>
        <v/>
      </c>
      <c r="R492" s="33" t="str">
        <f aca="false">IF(OR(Reconciliation!R493="✅ MATCH",Reconciliation!R493=""),"",Reconciliation!R493)</f>
        <v/>
      </c>
    </row>
    <row r="493" customFormat="false" ht="15" hidden="false" customHeight="true" outlineLevel="0" collapsed="false">
      <c r="A493" s="29" t="str">
        <f aca="false">IF(R493="","",Reconciliation!A494)</f>
        <v/>
      </c>
      <c r="B493" s="30" t="str">
        <f aca="false">IF(R493="","",Reconciliation!B494)</f>
        <v/>
      </c>
      <c r="C493" s="30" t="str">
        <f aca="false">IF(R493="","",Reconciliation!C494)</f>
        <v/>
      </c>
      <c r="D493" s="30" t="str">
        <f aca="false">IF(R493="","",Reconciliation!D494)</f>
        <v/>
      </c>
      <c r="E493" s="31" t="str">
        <f aca="false">IF(R493="","",Reconciliation!E494)</f>
        <v/>
      </c>
      <c r="F493" s="30" t="str">
        <f aca="false">IF(R493="","",Reconciliation!F494)</f>
        <v/>
      </c>
      <c r="G493" s="30" t="str">
        <f aca="false">IF(R493="","",Reconciliation!G494)</f>
        <v/>
      </c>
      <c r="H493" s="30" t="str">
        <f aca="false">IF(R493="","",Reconciliation!H494)</f>
        <v/>
      </c>
      <c r="I493" s="30" t="str">
        <f aca="false">IF(R493="","",Reconciliation!I494)</f>
        <v/>
      </c>
      <c r="J493" s="31" t="str">
        <f aca="false">IF(R493="","",Reconciliation!J494)</f>
        <v/>
      </c>
      <c r="K493" s="30" t="str">
        <f aca="false">IF(R493="","",Reconciliation!K494)</f>
        <v/>
      </c>
      <c r="L493" s="30" t="str">
        <f aca="false">IF(R493="","",Reconciliation!L494)</f>
        <v/>
      </c>
      <c r="M493" s="32" t="str">
        <f aca="false">IF(R493="","",Reconciliation!M494)</f>
        <v/>
      </c>
      <c r="N493" s="32" t="str">
        <f aca="false">IF(R493="","",Reconciliation!N494)</f>
        <v/>
      </c>
      <c r="O493" s="32" t="str">
        <f aca="false">IF(R493="","",Reconciliation!O494)</f>
        <v/>
      </c>
      <c r="P493" s="32" t="str">
        <f aca="false">IF(R493="","",Reconciliation!P494)</f>
        <v/>
      </c>
      <c r="Q493" s="32" t="str">
        <f aca="false">IF(R493="","",Reconciliation!Q494)</f>
        <v/>
      </c>
      <c r="R493" s="33" t="str">
        <f aca="false">IF(OR(Reconciliation!R494="✅ MATCH",Reconciliation!R494=""),"",Reconciliation!R494)</f>
        <v/>
      </c>
    </row>
    <row r="494" customFormat="false" ht="15" hidden="false" customHeight="true" outlineLevel="0" collapsed="false">
      <c r="A494" s="29" t="str">
        <f aca="false">IF(R494="","",Reconciliation!A495)</f>
        <v/>
      </c>
      <c r="B494" s="30" t="str">
        <f aca="false">IF(R494="","",Reconciliation!B495)</f>
        <v/>
      </c>
      <c r="C494" s="30" t="str">
        <f aca="false">IF(R494="","",Reconciliation!C495)</f>
        <v/>
      </c>
      <c r="D494" s="30" t="str">
        <f aca="false">IF(R494="","",Reconciliation!D495)</f>
        <v/>
      </c>
      <c r="E494" s="31" t="str">
        <f aca="false">IF(R494="","",Reconciliation!E495)</f>
        <v/>
      </c>
      <c r="F494" s="30" t="str">
        <f aca="false">IF(R494="","",Reconciliation!F495)</f>
        <v/>
      </c>
      <c r="G494" s="30" t="str">
        <f aca="false">IF(R494="","",Reconciliation!G495)</f>
        <v/>
      </c>
      <c r="H494" s="30" t="str">
        <f aca="false">IF(R494="","",Reconciliation!H495)</f>
        <v/>
      </c>
      <c r="I494" s="30" t="str">
        <f aca="false">IF(R494="","",Reconciliation!I495)</f>
        <v/>
      </c>
      <c r="J494" s="31" t="str">
        <f aca="false">IF(R494="","",Reconciliation!J495)</f>
        <v/>
      </c>
      <c r="K494" s="30" t="str">
        <f aca="false">IF(R494="","",Reconciliation!K495)</f>
        <v/>
      </c>
      <c r="L494" s="30" t="str">
        <f aca="false">IF(R494="","",Reconciliation!L495)</f>
        <v/>
      </c>
      <c r="M494" s="32" t="str">
        <f aca="false">IF(R494="","",Reconciliation!M495)</f>
        <v/>
      </c>
      <c r="N494" s="32" t="str">
        <f aca="false">IF(R494="","",Reconciliation!N495)</f>
        <v/>
      </c>
      <c r="O494" s="32" t="str">
        <f aca="false">IF(R494="","",Reconciliation!O495)</f>
        <v/>
      </c>
      <c r="P494" s="32" t="str">
        <f aca="false">IF(R494="","",Reconciliation!P495)</f>
        <v/>
      </c>
      <c r="Q494" s="32" t="str">
        <f aca="false">IF(R494="","",Reconciliation!Q495)</f>
        <v/>
      </c>
      <c r="R494" s="33" t="str">
        <f aca="false">IF(OR(Reconciliation!R495="✅ MATCH",Reconciliation!R495=""),"",Reconciliation!R495)</f>
        <v/>
      </c>
    </row>
    <row r="495" customFormat="false" ht="15" hidden="false" customHeight="true" outlineLevel="0" collapsed="false">
      <c r="A495" s="29" t="str">
        <f aca="false">IF(R495="","",Reconciliation!A496)</f>
        <v/>
      </c>
      <c r="B495" s="30" t="str">
        <f aca="false">IF(R495="","",Reconciliation!B496)</f>
        <v/>
      </c>
      <c r="C495" s="30" t="str">
        <f aca="false">IF(R495="","",Reconciliation!C496)</f>
        <v/>
      </c>
      <c r="D495" s="30" t="str">
        <f aca="false">IF(R495="","",Reconciliation!D496)</f>
        <v/>
      </c>
      <c r="E495" s="31" t="str">
        <f aca="false">IF(R495="","",Reconciliation!E496)</f>
        <v/>
      </c>
      <c r="F495" s="30" t="str">
        <f aca="false">IF(R495="","",Reconciliation!F496)</f>
        <v/>
      </c>
      <c r="G495" s="30" t="str">
        <f aca="false">IF(R495="","",Reconciliation!G496)</f>
        <v/>
      </c>
      <c r="H495" s="30" t="str">
        <f aca="false">IF(R495="","",Reconciliation!H496)</f>
        <v/>
      </c>
      <c r="I495" s="30" t="str">
        <f aca="false">IF(R495="","",Reconciliation!I496)</f>
        <v/>
      </c>
      <c r="J495" s="31" t="str">
        <f aca="false">IF(R495="","",Reconciliation!J496)</f>
        <v/>
      </c>
      <c r="K495" s="30" t="str">
        <f aca="false">IF(R495="","",Reconciliation!K496)</f>
        <v/>
      </c>
      <c r="L495" s="30" t="str">
        <f aca="false">IF(R495="","",Reconciliation!L496)</f>
        <v/>
      </c>
      <c r="M495" s="32" t="str">
        <f aca="false">IF(R495="","",Reconciliation!M496)</f>
        <v/>
      </c>
      <c r="N495" s="32" t="str">
        <f aca="false">IF(R495="","",Reconciliation!N496)</f>
        <v/>
      </c>
      <c r="O495" s="32" t="str">
        <f aca="false">IF(R495="","",Reconciliation!O496)</f>
        <v/>
      </c>
      <c r="P495" s="32" t="str">
        <f aca="false">IF(R495="","",Reconciliation!P496)</f>
        <v/>
      </c>
      <c r="Q495" s="32" t="str">
        <f aca="false">IF(R495="","",Reconciliation!Q496)</f>
        <v/>
      </c>
      <c r="R495" s="33" t="str">
        <f aca="false">IF(OR(Reconciliation!R496="✅ MATCH",Reconciliation!R496=""),"",Reconciliation!R496)</f>
        <v/>
      </c>
    </row>
    <row r="496" customFormat="false" ht="15" hidden="false" customHeight="true" outlineLevel="0" collapsed="false">
      <c r="A496" s="29" t="str">
        <f aca="false">IF(R496="","",Reconciliation!A497)</f>
        <v/>
      </c>
      <c r="B496" s="30" t="str">
        <f aca="false">IF(R496="","",Reconciliation!B497)</f>
        <v/>
      </c>
      <c r="C496" s="30" t="str">
        <f aca="false">IF(R496="","",Reconciliation!C497)</f>
        <v/>
      </c>
      <c r="D496" s="30" t="str">
        <f aca="false">IF(R496="","",Reconciliation!D497)</f>
        <v/>
      </c>
      <c r="E496" s="31" t="str">
        <f aca="false">IF(R496="","",Reconciliation!E497)</f>
        <v/>
      </c>
      <c r="F496" s="30" t="str">
        <f aca="false">IF(R496="","",Reconciliation!F497)</f>
        <v/>
      </c>
      <c r="G496" s="30" t="str">
        <f aca="false">IF(R496="","",Reconciliation!G497)</f>
        <v/>
      </c>
      <c r="H496" s="30" t="str">
        <f aca="false">IF(R496="","",Reconciliation!H497)</f>
        <v/>
      </c>
      <c r="I496" s="30" t="str">
        <f aca="false">IF(R496="","",Reconciliation!I497)</f>
        <v/>
      </c>
      <c r="J496" s="31" t="str">
        <f aca="false">IF(R496="","",Reconciliation!J497)</f>
        <v/>
      </c>
      <c r="K496" s="30" t="str">
        <f aca="false">IF(R496="","",Reconciliation!K497)</f>
        <v/>
      </c>
      <c r="L496" s="30" t="str">
        <f aca="false">IF(R496="","",Reconciliation!L497)</f>
        <v/>
      </c>
      <c r="M496" s="32" t="str">
        <f aca="false">IF(R496="","",Reconciliation!M497)</f>
        <v/>
      </c>
      <c r="N496" s="32" t="str">
        <f aca="false">IF(R496="","",Reconciliation!N497)</f>
        <v/>
      </c>
      <c r="O496" s="32" t="str">
        <f aca="false">IF(R496="","",Reconciliation!O497)</f>
        <v/>
      </c>
      <c r="P496" s="32" t="str">
        <f aca="false">IF(R496="","",Reconciliation!P497)</f>
        <v/>
      </c>
      <c r="Q496" s="32" t="str">
        <f aca="false">IF(R496="","",Reconciliation!Q497)</f>
        <v/>
      </c>
      <c r="R496" s="33" t="str">
        <f aca="false">IF(OR(Reconciliation!R497="✅ MATCH",Reconciliation!R497=""),"",Reconciliation!R497)</f>
        <v/>
      </c>
    </row>
    <row r="497" customFormat="false" ht="15" hidden="false" customHeight="true" outlineLevel="0" collapsed="false">
      <c r="A497" s="29" t="str">
        <f aca="false">IF(R497="","",Reconciliation!A498)</f>
        <v/>
      </c>
      <c r="B497" s="30" t="str">
        <f aca="false">IF(R497="","",Reconciliation!B498)</f>
        <v/>
      </c>
      <c r="C497" s="30" t="str">
        <f aca="false">IF(R497="","",Reconciliation!C498)</f>
        <v/>
      </c>
      <c r="D497" s="30" t="str">
        <f aca="false">IF(R497="","",Reconciliation!D498)</f>
        <v/>
      </c>
      <c r="E497" s="31" t="str">
        <f aca="false">IF(R497="","",Reconciliation!E498)</f>
        <v/>
      </c>
      <c r="F497" s="30" t="str">
        <f aca="false">IF(R497="","",Reconciliation!F498)</f>
        <v/>
      </c>
      <c r="G497" s="30" t="str">
        <f aca="false">IF(R497="","",Reconciliation!G498)</f>
        <v/>
      </c>
      <c r="H497" s="30" t="str">
        <f aca="false">IF(R497="","",Reconciliation!H498)</f>
        <v/>
      </c>
      <c r="I497" s="30" t="str">
        <f aca="false">IF(R497="","",Reconciliation!I498)</f>
        <v/>
      </c>
      <c r="J497" s="31" t="str">
        <f aca="false">IF(R497="","",Reconciliation!J498)</f>
        <v/>
      </c>
      <c r="K497" s="30" t="str">
        <f aca="false">IF(R497="","",Reconciliation!K498)</f>
        <v/>
      </c>
      <c r="L497" s="30" t="str">
        <f aca="false">IF(R497="","",Reconciliation!L498)</f>
        <v/>
      </c>
      <c r="M497" s="32" t="str">
        <f aca="false">IF(R497="","",Reconciliation!M498)</f>
        <v/>
      </c>
      <c r="N497" s="32" t="str">
        <f aca="false">IF(R497="","",Reconciliation!N498)</f>
        <v/>
      </c>
      <c r="O497" s="32" t="str">
        <f aca="false">IF(R497="","",Reconciliation!O498)</f>
        <v/>
      </c>
      <c r="P497" s="32" t="str">
        <f aca="false">IF(R497="","",Reconciliation!P498)</f>
        <v/>
      </c>
      <c r="Q497" s="32" t="str">
        <f aca="false">IF(R497="","",Reconciliation!Q498)</f>
        <v/>
      </c>
      <c r="R497" s="33" t="str">
        <f aca="false">IF(OR(Reconciliation!R498="✅ MATCH",Reconciliation!R498=""),"",Reconciliation!R498)</f>
        <v/>
      </c>
    </row>
    <row r="498" customFormat="false" ht="15" hidden="false" customHeight="true" outlineLevel="0" collapsed="false">
      <c r="A498" s="29" t="str">
        <f aca="false">IF(R498="","",Reconciliation!A499)</f>
        <v/>
      </c>
      <c r="B498" s="30" t="str">
        <f aca="false">IF(R498="","",Reconciliation!B499)</f>
        <v/>
      </c>
      <c r="C498" s="30" t="str">
        <f aca="false">IF(R498="","",Reconciliation!C499)</f>
        <v/>
      </c>
      <c r="D498" s="30" t="str">
        <f aca="false">IF(R498="","",Reconciliation!D499)</f>
        <v/>
      </c>
      <c r="E498" s="31" t="str">
        <f aca="false">IF(R498="","",Reconciliation!E499)</f>
        <v/>
      </c>
      <c r="F498" s="30" t="str">
        <f aca="false">IF(R498="","",Reconciliation!F499)</f>
        <v/>
      </c>
      <c r="G498" s="30" t="str">
        <f aca="false">IF(R498="","",Reconciliation!G499)</f>
        <v/>
      </c>
      <c r="H498" s="30" t="str">
        <f aca="false">IF(R498="","",Reconciliation!H499)</f>
        <v/>
      </c>
      <c r="I498" s="30" t="str">
        <f aca="false">IF(R498="","",Reconciliation!I499)</f>
        <v/>
      </c>
      <c r="J498" s="31" t="str">
        <f aca="false">IF(R498="","",Reconciliation!J499)</f>
        <v/>
      </c>
      <c r="K498" s="30" t="str">
        <f aca="false">IF(R498="","",Reconciliation!K499)</f>
        <v/>
      </c>
      <c r="L498" s="30" t="str">
        <f aca="false">IF(R498="","",Reconciliation!L499)</f>
        <v/>
      </c>
      <c r="M498" s="32" t="str">
        <f aca="false">IF(R498="","",Reconciliation!M499)</f>
        <v/>
      </c>
      <c r="N498" s="32" t="str">
        <f aca="false">IF(R498="","",Reconciliation!N499)</f>
        <v/>
      </c>
      <c r="O498" s="32" t="str">
        <f aca="false">IF(R498="","",Reconciliation!O499)</f>
        <v/>
      </c>
      <c r="P498" s="32" t="str">
        <f aca="false">IF(R498="","",Reconciliation!P499)</f>
        <v/>
      </c>
      <c r="Q498" s="32" t="str">
        <f aca="false">IF(R498="","",Reconciliation!Q499)</f>
        <v/>
      </c>
      <c r="R498" s="33" t="str">
        <f aca="false">IF(OR(Reconciliation!R499="✅ MATCH",Reconciliation!R499=""),"",Reconciliation!R499)</f>
        <v/>
      </c>
    </row>
    <row r="499" customFormat="false" ht="15" hidden="false" customHeight="true" outlineLevel="0" collapsed="false">
      <c r="A499" s="29" t="str">
        <f aca="false">IF(R499="","",Reconciliation!A500)</f>
        <v/>
      </c>
      <c r="B499" s="30" t="str">
        <f aca="false">IF(R499="","",Reconciliation!B500)</f>
        <v/>
      </c>
      <c r="C499" s="30" t="str">
        <f aca="false">IF(R499="","",Reconciliation!C500)</f>
        <v/>
      </c>
      <c r="D499" s="30" t="str">
        <f aca="false">IF(R499="","",Reconciliation!D500)</f>
        <v/>
      </c>
      <c r="E499" s="31" t="str">
        <f aca="false">IF(R499="","",Reconciliation!E500)</f>
        <v/>
      </c>
      <c r="F499" s="30" t="str">
        <f aca="false">IF(R499="","",Reconciliation!F500)</f>
        <v/>
      </c>
      <c r="G499" s="30" t="str">
        <f aca="false">IF(R499="","",Reconciliation!G500)</f>
        <v/>
      </c>
      <c r="H499" s="30" t="str">
        <f aca="false">IF(R499="","",Reconciliation!H500)</f>
        <v/>
      </c>
      <c r="I499" s="30" t="str">
        <f aca="false">IF(R499="","",Reconciliation!I500)</f>
        <v/>
      </c>
      <c r="J499" s="31" t="str">
        <f aca="false">IF(R499="","",Reconciliation!J500)</f>
        <v/>
      </c>
      <c r="K499" s="30" t="str">
        <f aca="false">IF(R499="","",Reconciliation!K500)</f>
        <v/>
      </c>
      <c r="L499" s="30" t="str">
        <f aca="false">IF(R499="","",Reconciliation!L500)</f>
        <v/>
      </c>
      <c r="M499" s="32" t="str">
        <f aca="false">IF(R499="","",Reconciliation!M500)</f>
        <v/>
      </c>
      <c r="N499" s="32" t="str">
        <f aca="false">IF(R499="","",Reconciliation!N500)</f>
        <v/>
      </c>
      <c r="O499" s="32" t="str">
        <f aca="false">IF(R499="","",Reconciliation!O500)</f>
        <v/>
      </c>
      <c r="P499" s="32" t="str">
        <f aca="false">IF(R499="","",Reconciliation!P500)</f>
        <v/>
      </c>
      <c r="Q499" s="32" t="str">
        <f aca="false">IF(R499="","",Reconciliation!Q500)</f>
        <v/>
      </c>
      <c r="R499" s="33" t="str">
        <f aca="false">IF(OR(Reconciliation!R500="✅ MATCH",Reconciliation!R500=""),"",Reconciliation!R500)</f>
        <v/>
      </c>
    </row>
    <row r="500" customFormat="false" ht="15" hidden="false" customHeight="true" outlineLevel="0" collapsed="false">
      <c r="A500" s="29" t="str">
        <f aca="false">IF(R500="","",Reconciliation!A501)</f>
        <v/>
      </c>
      <c r="B500" s="30" t="str">
        <f aca="false">IF(R500="","",Reconciliation!B501)</f>
        <v/>
      </c>
      <c r="C500" s="30" t="str">
        <f aca="false">IF(R500="","",Reconciliation!C501)</f>
        <v/>
      </c>
      <c r="D500" s="30" t="str">
        <f aca="false">IF(R500="","",Reconciliation!D501)</f>
        <v/>
      </c>
      <c r="E500" s="31" t="str">
        <f aca="false">IF(R500="","",Reconciliation!E501)</f>
        <v/>
      </c>
      <c r="F500" s="30" t="str">
        <f aca="false">IF(R500="","",Reconciliation!F501)</f>
        <v/>
      </c>
      <c r="G500" s="30" t="str">
        <f aca="false">IF(R500="","",Reconciliation!G501)</f>
        <v/>
      </c>
      <c r="H500" s="30" t="str">
        <f aca="false">IF(R500="","",Reconciliation!H501)</f>
        <v/>
      </c>
      <c r="I500" s="30" t="str">
        <f aca="false">IF(R500="","",Reconciliation!I501)</f>
        <v/>
      </c>
      <c r="J500" s="31" t="str">
        <f aca="false">IF(R500="","",Reconciliation!J501)</f>
        <v/>
      </c>
      <c r="K500" s="30" t="str">
        <f aca="false">IF(R500="","",Reconciliation!K501)</f>
        <v/>
      </c>
      <c r="L500" s="30" t="str">
        <f aca="false">IF(R500="","",Reconciliation!L501)</f>
        <v/>
      </c>
      <c r="M500" s="32" t="str">
        <f aca="false">IF(R500="","",Reconciliation!M501)</f>
        <v/>
      </c>
      <c r="N500" s="32" t="str">
        <f aca="false">IF(R500="","",Reconciliation!N501)</f>
        <v/>
      </c>
      <c r="O500" s="32" t="str">
        <f aca="false">IF(R500="","",Reconciliation!O501)</f>
        <v/>
      </c>
      <c r="P500" s="32" t="str">
        <f aca="false">IF(R500="","",Reconciliation!P501)</f>
        <v/>
      </c>
      <c r="Q500" s="32" t="str">
        <f aca="false">IF(R500="","",Reconciliation!Q501)</f>
        <v/>
      </c>
      <c r="R500" s="33" t="str">
        <f aca="false">IF(OR(Reconciliation!R501="✅ MATCH",Reconciliation!R501=""),"",Reconciliation!R501)</f>
        <v/>
      </c>
    </row>
    <row r="501" customFormat="false" ht="15" hidden="false" customHeight="true" outlineLevel="0" collapsed="false">
      <c r="A501" s="29" t="str">
        <f aca="false">IF(R501="","",Reconciliation!A502)</f>
        <v/>
      </c>
      <c r="B501" s="30" t="str">
        <f aca="false">IF(R501="","",Reconciliation!B502)</f>
        <v/>
      </c>
      <c r="C501" s="30" t="str">
        <f aca="false">IF(R501="","",Reconciliation!C502)</f>
        <v/>
      </c>
      <c r="D501" s="30" t="str">
        <f aca="false">IF(R501="","",Reconciliation!D502)</f>
        <v/>
      </c>
      <c r="E501" s="31" t="str">
        <f aca="false">IF(R501="","",Reconciliation!E502)</f>
        <v/>
      </c>
      <c r="F501" s="30" t="str">
        <f aca="false">IF(R501="","",Reconciliation!F502)</f>
        <v/>
      </c>
      <c r="G501" s="30" t="str">
        <f aca="false">IF(R501="","",Reconciliation!G502)</f>
        <v/>
      </c>
      <c r="H501" s="30" t="str">
        <f aca="false">IF(R501="","",Reconciliation!H502)</f>
        <v/>
      </c>
      <c r="I501" s="30" t="str">
        <f aca="false">IF(R501="","",Reconciliation!I502)</f>
        <v/>
      </c>
      <c r="J501" s="31" t="str">
        <f aca="false">IF(R501="","",Reconciliation!J502)</f>
        <v/>
      </c>
      <c r="K501" s="30" t="str">
        <f aca="false">IF(R501="","",Reconciliation!K502)</f>
        <v/>
      </c>
      <c r="L501" s="30" t="str">
        <f aca="false">IF(R501="","",Reconciliation!L502)</f>
        <v/>
      </c>
      <c r="M501" s="32" t="str">
        <f aca="false">IF(R501="","",Reconciliation!M502)</f>
        <v/>
      </c>
      <c r="N501" s="32" t="str">
        <f aca="false">IF(R501="","",Reconciliation!N502)</f>
        <v/>
      </c>
      <c r="O501" s="32" t="str">
        <f aca="false">IF(R501="","",Reconciliation!O502)</f>
        <v/>
      </c>
      <c r="P501" s="32" t="str">
        <f aca="false">IF(R501="","",Reconciliation!P502)</f>
        <v/>
      </c>
      <c r="Q501" s="32" t="str">
        <f aca="false">IF(R501="","",Reconciliation!Q502)</f>
        <v/>
      </c>
      <c r="R501" s="33" t="str">
        <f aca="false">IF(OR(Reconciliation!R502="✅ MATCH",Reconciliation!R502=""),"",Reconciliation!R502)</f>
        <v/>
      </c>
    </row>
    <row r="502" customFormat="false" ht="15" hidden="false" customHeight="true" outlineLevel="0" collapsed="false">
      <c r="A502" s="29" t="str">
        <f aca="false">IF(R502="","",Reconciliation!A503)</f>
        <v/>
      </c>
      <c r="B502" s="30" t="str">
        <f aca="false">IF(R502="","",Reconciliation!B503)</f>
        <v/>
      </c>
      <c r="C502" s="30" t="str">
        <f aca="false">IF(R502="","",Reconciliation!C503)</f>
        <v/>
      </c>
      <c r="D502" s="30" t="str">
        <f aca="false">IF(R502="","",Reconciliation!D503)</f>
        <v/>
      </c>
      <c r="E502" s="31" t="str">
        <f aca="false">IF(R502="","",Reconciliation!E503)</f>
        <v/>
      </c>
      <c r="F502" s="30" t="str">
        <f aca="false">IF(R502="","",Reconciliation!F503)</f>
        <v/>
      </c>
      <c r="G502" s="30" t="str">
        <f aca="false">IF(R502="","",Reconciliation!G503)</f>
        <v/>
      </c>
      <c r="H502" s="30" t="str">
        <f aca="false">IF(R502="","",Reconciliation!H503)</f>
        <v/>
      </c>
      <c r="I502" s="30" t="str">
        <f aca="false">IF(R502="","",Reconciliation!I503)</f>
        <v/>
      </c>
      <c r="J502" s="31" t="str">
        <f aca="false">IF(R502="","",Reconciliation!J503)</f>
        <v/>
      </c>
      <c r="K502" s="30" t="str">
        <f aca="false">IF(R502="","",Reconciliation!K503)</f>
        <v/>
      </c>
      <c r="L502" s="30" t="str">
        <f aca="false">IF(R502="","",Reconciliation!L503)</f>
        <v/>
      </c>
      <c r="M502" s="32" t="str">
        <f aca="false">IF(R502="","",Reconciliation!M503)</f>
        <v/>
      </c>
      <c r="N502" s="32" t="str">
        <f aca="false">IF(R502="","",Reconciliation!N503)</f>
        <v/>
      </c>
      <c r="O502" s="32" t="str">
        <f aca="false">IF(R502="","",Reconciliation!O503)</f>
        <v/>
      </c>
      <c r="P502" s="32" t="str">
        <f aca="false">IF(R502="","",Reconciliation!P503)</f>
        <v/>
      </c>
      <c r="Q502" s="32" t="str">
        <f aca="false">IF(R502="","",Reconciliation!Q503)</f>
        <v/>
      </c>
      <c r="R502" s="33" t="str">
        <f aca="false">IF(OR(Reconciliation!R503="✅ MATCH",Reconciliation!R503=""),"",Reconciliation!R503)</f>
        <v/>
      </c>
    </row>
  </sheetData>
  <autoFilter ref="A2:R2"/>
  <mergeCells count="1">
    <mergeCell ref="A1:R1"/>
  </mergeCells>
  <conditionalFormatting sqref="A3:R502">
    <cfRule type="expression" priority="2" aboveAverage="0" equalAverage="0" bottom="0" percent="0" rank="0" text="" dxfId="14">
      <formula>$R3="✅ MATCH"</formula>
    </cfRule>
    <cfRule type="expression" priority="3" aboveAverage="0" equalAverage="0" bottom="0" percent="0" rank="0" text="" dxfId="15">
      <formula>$R3="❌ MISMATCH"</formula>
    </cfRule>
    <cfRule type="expression" priority="4" aboveAverage="0" equalAverage="0" bottom="0" percent="0" rank="0" text="" dxfId="16">
      <formula>$R3="⚠ NO SCD ROW"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6"/>
    <col collapsed="false" customWidth="true" hidden="false" outlineLevel="0" max="5" min="5" style="1" width="14"/>
    <col collapsed="false" customWidth="true" hidden="false" outlineLevel="0" max="8" min="6" style="1" width="1"/>
  </cols>
  <sheetData>
    <row r="1" customFormat="false" ht="31.5" hidden="false" customHeight="true" outlineLevel="0" collapsed="false">
      <c r="A1" s="34" t="s">
        <v>70</v>
      </c>
      <c r="B1" s="34"/>
      <c r="C1" s="34"/>
      <c r="D1" s="34"/>
      <c r="E1" s="34"/>
      <c r="F1" s="34"/>
      <c r="G1" s="34"/>
      <c r="H1" s="34"/>
    </row>
    <row r="3" customFormat="false" ht="21.75" hidden="false" customHeight="true" outlineLevel="0" collapsed="false">
      <c r="A3" s="35" t="s">
        <v>71</v>
      </c>
      <c r="B3" s="35"/>
      <c r="C3" s="35"/>
      <c r="E3" s="35" t="s">
        <v>72</v>
      </c>
      <c r="F3" s="35"/>
      <c r="G3" s="35"/>
    </row>
    <row r="4" customFormat="false" ht="43.5" hidden="false" customHeight="true" outlineLevel="0" collapsed="false">
      <c r="A4" s="36" t="n">
        <f aca="false">COUNTA(Daily_Data!A3:A502)</f>
        <v>11</v>
      </c>
      <c r="B4" s="36"/>
      <c r="C4" s="36"/>
      <c r="E4" s="36" t="n">
        <f aca="false">COUNTA(SCD_Data!A3:A502)</f>
        <v>7</v>
      </c>
      <c r="F4" s="36"/>
      <c r="G4" s="36"/>
    </row>
    <row r="7" customFormat="false" ht="21.75" hidden="false" customHeight="true" outlineLevel="0" collapsed="false">
      <c r="A7" s="37" t="s">
        <v>73</v>
      </c>
      <c r="B7" s="37"/>
      <c r="C7" s="37"/>
      <c r="E7" s="38" t="s">
        <v>74</v>
      </c>
      <c r="F7" s="38"/>
      <c r="G7" s="38"/>
    </row>
    <row r="8" customFormat="false" ht="43.5" hidden="false" customHeight="true" outlineLevel="0" collapsed="false">
      <c r="A8" s="39" t="n">
        <f aca="false">COUNTIF(Reconciliation!R4:R503,"✅ MATCH")</f>
        <v>9</v>
      </c>
      <c r="B8" s="39"/>
      <c r="C8" s="39"/>
      <c r="E8" s="40" t="n">
        <f aca="false">COUNTIF(Reconciliation!R4:R503,"❌ MISMATCH")</f>
        <v>2</v>
      </c>
      <c r="F8" s="40"/>
      <c r="G8" s="40"/>
    </row>
    <row r="11" customFormat="false" ht="21.75" hidden="false" customHeight="true" outlineLevel="0" collapsed="false">
      <c r="A11" s="41" t="s">
        <v>75</v>
      </c>
      <c r="B11" s="41"/>
      <c r="C11" s="41"/>
      <c r="E11" s="42" t="s">
        <v>76</v>
      </c>
      <c r="F11" s="42"/>
      <c r="G11" s="42"/>
    </row>
    <row r="12" customFormat="false" ht="43.5" hidden="false" customHeight="true" outlineLevel="0" collapsed="false">
      <c r="A12" s="43" t="n">
        <f aca="false">COUNTIF(Reconciliation!R4:R503,"⚠ NO SCD ROW")</f>
        <v>0</v>
      </c>
      <c r="B12" s="43"/>
      <c r="C12" s="43"/>
      <c r="E12" s="44" t="n">
        <f aca="false">IFERROR(COUNTIF(Reconciliation!R4:R503,"✅ MATCH")/COUNTA(Reconciliation!R4:R503),"—")</f>
        <v>0.018</v>
      </c>
      <c r="F12" s="44"/>
      <c r="G12" s="44"/>
    </row>
    <row r="14" customFormat="false" ht="21.75" hidden="false" customHeight="true" outlineLevel="0" collapsed="false">
      <c r="A14" s="45" t="s">
        <v>77</v>
      </c>
      <c r="B14" s="45"/>
      <c r="C14" s="45"/>
      <c r="D14" s="45"/>
      <c r="E14" s="45"/>
      <c r="F14" s="45"/>
      <c r="G14" s="45"/>
      <c r="H14" s="45"/>
    </row>
    <row r="15" customFormat="false" ht="23.25" hidden="false" customHeight="true" outlineLevel="0" collapsed="false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</row>
    <row r="16" customFormat="false" ht="21.75" hidden="false" customHeight="true" outlineLevel="0" collapsed="false">
      <c r="A16" s="8" t="s">
        <v>83</v>
      </c>
      <c r="B16" s="8" t="s">
        <v>84</v>
      </c>
      <c r="C16" s="8" t="s">
        <v>85</v>
      </c>
      <c r="D16" s="46" t="n">
        <f aca="false">COUNTIF(Reconciliation!M4:M503,"✗")</f>
        <v>0</v>
      </c>
      <c r="E16" s="47" t="n">
        <f aca="false">IFERROR(D16/COUNTA(Reconciliation!R4:R503),"—")</f>
        <v>0</v>
      </c>
    </row>
    <row r="17" customFormat="false" ht="21.75" hidden="false" customHeight="true" outlineLevel="0" collapsed="false">
      <c r="A17" s="5" t="s">
        <v>86</v>
      </c>
      <c r="B17" s="5" t="s">
        <v>87</v>
      </c>
      <c r="C17" s="5" t="s">
        <v>88</v>
      </c>
      <c r="D17" s="48" t="n">
        <f aca="false">COUNTIF(Reconciliation!N4:N503,"✗")</f>
        <v>0</v>
      </c>
      <c r="E17" s="49" t="n">
        <f aca="false">IFERROR(D17/COUNTA(Reconciliation!R4:R503),"—")</f>
        <v>0</v>
      </c>
    </row>
    <row r="18" customFormat="false" ht="21.75" hidden="false" customHeight="true" outlineLevel="0" collapsed="false">
      <c r="A18" s="8" t="s">
        <v>89</v>
      </c>
      <c r="B18" s="8" t="s">
        <v>90</v>
      </c>
      <c r="C18" s="8" t="s">
        <v>91</v>
      </c>
      <c r="D18" s="46" t="n">
        <f aca="false">COUNTIF(Reconciliation!O4:O503,"✗")</f>
        <v>2</v>
      </c>
      <c r="E18" s="47" t="n">
        <f aca="false">IFERROR(D18/COUNTA(Reconciliation!R4:R503),"—")</f>
        <v>0.004</v>
      </c>
    </row>
    <row r="19" customFormat="false" ht="21.75" hidden="false" customHeight="true" outlineLevel="0" collapsed="false">
      <c r="A19" s="5" t="s">
        <v>92</v>
      </c>
      <c r="B19" s="5" t="s">
        <v>93</v>
      </c>
      <c r="C19" s="5" t="s">
        <v>94</v>
      </c>
      <c r="D19" s="48" t="n">
        <f aca="false">COUNTIF(Reconciliation!P4:P503,"✗")</f>
        <v>0</v>
      </c>
      <c r="E19" s="49" t="n">
        <f aca="false">IFERROR(D19/COUNTA(Reconciliation!R4:R503),"—")</f>
        <v>0</v>
      </c>
    </row>
    <row r="20" customFormat="false" ht="21.75" hidden="false" customHeight="true" outlineLevel="0" collapsed="false">
      <c r="A20" s="8" t="s">
        <v>95</v>
      </c>
      <c r="B20" s="8" t="s">
        <v>96</v>
      </c>
      <c r="C20" s="8" t="s">
        <v>97</v>
      </c>
      <c r="D20" s="46" t="n">
        <f aca="false">COUNTIF(Reconciliation!Q4:Q503,"✗")</f>
        <v>0</v>
      </c>
      <c r="E20" s="47" t="n">
        <f aca="false">IFERROR(D20/COUNTA(Reconciliation!R4:R503),"—")</f>
        <v>0</v>
      </c>
    </row>
  </sheetData>
  <mergeCells count="14">
    <mergeCell ref="A1:H1"/>
    <mergeCell ref="A3:C3"/>
    <mergeCell ref="E3:G3"/>
    <mergeCell ref="A4:C4"/>
    <mergeCell ref="E4:G4"/>
    <mergeCell ref="A7:C7"/>
    <mergeCell ref="E7:G7"/>
    <mergeCell ref="A8:C8"/>
    <mergeCell ref="E8:G8"/>
    <mergeCell ref="A11:C11"/>
    <mergeCell ref="E11:G11"/>
    <mergeCell ref="A12:C12"/>
    <mergeCell ref="E12:G1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2"/>
  </cols>
  <sheetData>
    <row r="1" customFormat="false" ht="30" hidden="false" customHeight="true" outlineLevel="0" collapsed="false">
      <c r="A1" s="50" t="s">
        <v>98</v>
      </c>
      <c r="B1" s="50"/>
    </row>
    <row r="2" customFormat="false" ht="31.5" hidden="false" customHeight="true" outlineLevel="0" collapsed="false">
      <c r="A2" s="51" t="s">
        <v>99</v>
      </c>
      <c r="B2" s="51" t="s">
        <v>100</v>
      </c>
    </row>
    <row r="3" customFormat="false" ht="31.5" hidden="false" customHeight="true" outlineLevel="0" collapsed="false">
      <c r="A3" s="52" t="s">
        <v>101</v>
      </c>
      <c r="B3" s="53" t="s">
        <v>102</v>
      </c>
    </row>
    <row r="4" customFormat="false" ht="31.5" hidden="false" customHeight="true" outlineLevel="0" collapsed="false">
      <c r="A4" s="52" t="s">
        <v>103</v>
      </c>
      <c r="B4" s="53" t="s">
        <v>104</v>
      </c>
    </row>
    <row r="5" customFormat="false" ht="31.5" hidden="false" customHeight="true" outlineLevel="0" collapsed="false">
      <c r="A5" s="52" t="s">
        <v>105</v>
      </c>
      <c r="B5" s="53" t="s">
        <v>106</v>
      </c>
    </row>
    <row r="6" customFormat="false" ht="31.5" hidden="false" customHeight="true" outlineLevel="0" collapsed="false">
      <c r="A6" s="52" t="s">
        <v>107</v>
      </c>
      <c r="B6" s="53" t="s">
        <v>108</v>
      </c>
    </row>
    <row r="7" customFormat="false" ht="31.5" hidden="false" customHeight="true" outlineLevel="0" collapsed="false">
      <c r="A7" s="52" t="s">
        <v>109</v>
      </c>
      <c r="B7" s="53" t="s">
        <v>110</v>
      </c>
    </row>
    <row r="8" customFormat="false" ht="31.5" hidden="false" customHeight="true" outlineLevel="0" collapsed="false">
      <c r="A8" s="52" t="s">
        <v>111</v>
      </c>
      <c r="B8" s="53" t="s">
        <v>112</v>
      </c>
    </row>
    <row r="9" customFormat="false" ht="31.5" hidden="false" customHeight="true" outlineLevel="0" collapsed="false">
      <c r="A9" s="54"/>
      <c r="B9" s="55"/>
    </row>
    <row r="10" customFormat="false" ht="31.5" hidden="false" customHeight="true" outlineLevel="0" collapsed="false">
      <c r="A10" s="56" t="s">
        <v>113</v>
      </c>
      <c r="B10" s="56"/>
    </row>
    <row r="11" customFormat="false" ht="31.5" hidden="false" customHeight="true" outlineLevel="0" collapsed="false">
      <c r="A11" s="54" t="s">
        <v>114</v>
      </c>
      <c r="B11" s="55" t="s">
        <v>115</v>
      </c>
    </row>
    <row r="12" customFormat="false" ht="31.5" hidden="false" customHeight="true" outlineLevel="0" collapsed="false">
      <c r="A12" s="57" t="s">
        <v>116</v>
      </c>
      <c r="B12" s="58" t="s">
        <v>117</v>
      </c>
    </row>
    <row r="13" customFormat="false" ht="31.5" hidden="false" customHeight="true" outlineLevel="0" collapsed="false">
      <c r="A13" s="54" t="s">
        <v>118</v>
      </c>
      <c r="B13" s="55" t="s">
        <v>119</v>
      </c>
    </row>
    <row r="14" customFormat="false" ht="31.5" hidden="false" customHeight="true" outlineLevel="0" collapsed="false">
      <c r="A14" s="57" t="s">
        <v>120</v>
      </c>
      <c r="B14" s="58" t="s">
        <v>121</v>
      </c>
    </row>
    <row r="15" customFormat="false" ht="31.5" hidden="false" customHeight="true" outlineLevel="0" collapsed="false">
      <c r="A15" s="54" t="s">
        <v>122</v>
      </c>
      <c r="B15" s="55" t="s">
        <v>123</v>
      </c>
    </row>
    <row r="16" customFormat="false" ht="31.5" hidden="false" customHeight="true" outlineLevel="0" collapsed="false">
      <c r="A16" s="57"/>
      <c r="B16" s="58"/>
    </row>
    <row r="17" customFormat="false" ht="31.5" hidden="false" customHeight="true" outlineLevel="0" collapsed="false">
      <c r="A17" s="56" t="s">
        <v>124</v>
      </c>
      <c r="B17" s="56"/>
    </row>
    <row r="18" customFormat="false" ht="31.5" hidden="false" customHeight="true" outlineLevel="0" collapsed="false">
      <c r="A18" s="57" t="s">
        <v>125</v>
      </c>
      <c r="B18" s="58" t="s">
        <v>126</v>
      </c>
    </row>
    <row r="19" customFormat="false" ht="31.5" hidden="false" customHeight="true" outlineLevel="0" collapsed="false">
      <c r="A19" s="54" t="s">
        <v>127</v>
      </c>
      <c r="B19" s="55" t="s">
        <v>128</v>
      </c>
    </row>
    <row r="20" customFormat="false" ht="31.5" hidden="false" customHeight="true" outlineLevel="0" collapsed="false">
      <c r="A20" s="57" t="s">
        <v>129</v>
      </c>
      <c r="B20" s="58" t="s">
        <v>130</v>
      </c>
    </row>
    <row r="21" customFormat="false" ht="31.5" hidden="false" customHeight="true" outlineLevel="0" collapsed="false">
      <c r="A21" s="54" t="s">
        <v>131</v>
      </c>
      <c r="B21" s="55" t="s">
        <v>132</v>
      </c>
    </row>
    <row r="22" customFormat="false" ht="31.5" hidden="false" customHeight="true" outlineLevel="0" collapsed="false">
      <c r="A22" s="57"/>
      <c r="B22" s="58"/>
    </row>
    <row r="23" customFormat="false" ht="31.5" hidden="false" customHeight="true" outlineLevel="0" collapsed="false">
      <c r="A23" s="56" t="s">
        <v>133</v>
      </c>
      <c r="B23" s="56"/>
    </row>
    <row r="24" customFormat="false" ht="31.5" hidden="false" customHeight="true" outlineLevel="0" collapsed="false">
      <c r="A24" s="57" t="s">
        <v>134</v>
      </c>
      <c r="B24" s="58" t="s">
        <v>135</v>
      </c>
    </row>
    <row r="25" customFormat="false" ht="31.5" hidden="false" customHeight="true" outlineLevel="0" collapsed="false">
      <c r="A25" s="54" t="s">
        <v>136</v>
      </c>
      <c r="B25" s="55" t="s">
        <v>137</v>
      </c>
    </row>
    <row r="26" customFormat="false" ht="31.5" hidden="false" customHeight="true" outlineLevel="0" collapsed="false">
      <c r="A26" s="57" t="s">
        <v>138</v>
      </c>
      <c r="B26" s="58" t="s">
        <v>139</v>
      </c>
    </row>
    <row r="27" customFormat="false" ht="31.5" hidden="false" customHeight="true" outlineLevel="0" collapsed="false">
      <c r="A27" s="54" t="s">
        <v>140</v>
      </c>
      <c r="B27" s="55" t="s">
        <v>141</v>
      </c>
    </row>
  </sheetData>
  <mergeCells count="4">
    <mergeCell ref="A1:B1"/>
    <mergeCell ref="A10:B10"/>
    <mergeCell ref="A17:B17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2026-06-12T16:46:45Z</dcterms:created>
  <dc:creator>openpyxl</dc:creator>
  <dc:description/>
  <dc:language>en-US</dc:language>
  <cp:lastModifiedBy/>
  <dcterms:modified xsi:type="dcterms:W3CDTF">2026-06-13T19:55:49Z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